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Business Analysis" sheetId="2" r:id="rId6"/>
    <sheet state="visible" name="Keyword Master Database" sheetId="3" r:id="rId7"/>
    <sheet state="visible" name="Keyword Clusters" sheetId="4" r:id="rId8"/>
    <sheet state="visible" name="Competitor Analysis" sheetId="5" r:id="rId9"/>
    <sheet state="visible" name="Keyword Mapping" sheetId="6" r:id="rId10"/>
    <sheet state="visible" name="Topical Authority Map" sheetId="7" r:id="rId11"/>
    <sheet state="visible" name="SEO Silo Architecture" sheetId="8" r:id="rId12"/>
    <sheet state="visible" name="Internal Linking Blueprint" sheetId="9" r:id="rId13"/>
    <sheet state="visible" name="Content Roadmap" sheetId="10" r:id="rId14"/>
    <sheet state="visible" name="Quick Wins" sheetId="11" r:id="rId15"/>
    <sheet state="visible" name="Methodology" sheetId="12" r:id="rId16"/>
  </sheets>
  <definedNames/>
  <calcPr/>
</workbook>
</file>

<file path=xl/sharedStrings.xml><?xml version="1.0" encoding="utf-8"?>
<sst xmlns="http://schemas.openxmlformats.org/spreadsheetml/2006/main" count="3582" uniqueCount="925">
  <si>
    <t>SEO KEYWORD RESEARCH &amp; STRATEGY WORKBOOK</t>
  </si>
  <si>
    <t>Carter Family Dentistry, LLC  |  Rainsville, Alabama  |  United States Of America</t>
  </si>
  <si>
    <t>Prepared by Md. Abdul Alim – Dental SEO &amp; AI Search Optimization Consultant</t>
  </si>
  <si>
    <t>Headline Numbers</t>
  </si>
  <si>
    <t>Keywords researched</t>
  </si>
  <si>
    <t>Keyword clusters</t>
  </si>
  <si>
    <t>Est. monthly volume – local + regional keywords</t>
  </si>
  <si>
    <t>National benchmark keywords (excluded from volume)</t>
  </si>
  <si>
    <t>Avg. est. KD – local + regional keywords</t>
  </si>
  <si>
    <t>Critical + High priority keywords</t>
  </si>
  <si>
    <t>Pages mapped (existing + new)</t>
  </si>
  <si>
    <t>New pages to create</t>
  </si>
  <si>
    <t>Internal links planned</t>
  </si>
  <si>
    <t>Content roadmap items</t>
  </si>
  <si>
    <t>Search Intent Mix</t>
  </si>
  <si>
    <t>Informational</t>
  </si>
  <si>
    <t>Navigational</t>
  </si>
  <si>
    <t>Commercial</t>
  </si>
  <si>
    <t>Transactional</t>
  </si>
  <si>
    <t>Funnel Stage Mix</t>
  </si>
  <si>
    <t>TOFU</t>
  </si>
  <si>
    <t>MOFU</t>
  </si>
  <si>
    <t>BOFU</t>
  </si>
  <si>
    <t>Priority Level Mix</t>
  </si>
  <si>
    <t>Critical</t>
  </si>
  <si>
    <t>High</t>
  </si>
  <si>
    <t>Medium</t>
  </si>
  <si>
    <t>Low</t>
  </si>
  <si>
    <t>Optional</t>
  </si>
  <si>
    <t>Workbook Contents</t>
  </si>
  <si>
    <t>Business Analysis</t>
  </si>
  <si>
    <t>Client profile and live website review</t>
  </si>
  <si>
    <t>Keyword Master Database</t>
  </si>
  <si>
    <t>Keywords with intent, funnel, volume, KD, CPC and priority</t>
  </si>
  <si>
    <t>Keyword Clusters</t>
  </si>
  <si>
    <t>Keyword groups with questions and entities</t>
  </si>
  <si>
    <t>Competitor Analysis</t>
  </si>
  <si>
    <t>Client competitors and SERP competitor types</t>
  </si>
  <si>
    <t>Keyword Mapping</t>
  </si>
  <si>
    <t>One primary keyword per URL; cannibalization risk</t>
  </si>
  <si>
    <t>Topical Authority Map</t>
  </si>
  <si>
    <t>Topic depth for each service</t>
  </si>
  <si>
    <t>SEO Silo Architecture</t>
  </si>
  <si>
    <t>Proposed site structure</t>
  </si>
  <si>
    <t>Internal Linking Blueprint</t>
  </si>
  <si>
    <t>Planned links, anchors and purpose</t>
  </si>
  <si>
    <t>Content Roadmap</t>
  </si>
  <si>
    <t>Six-month publishing and optimization plan</t>
  </si>
  <si>
    <t>Quick Wins</t>
  </si>
  <si>
    <t>First-30-day opportunities</t>
  </si>
  <si>
    <t>Methodology</t>
  </si>
  <si>
    <t>Scoring model, assumptions and data notes</t>
  </si>
  <si>
    <t>Field</t>
  </si>
  <si>
    <t>Detail</t>
  </si>
  <si>
    <t>Business Name</t>
  </si>
  <si>
    <t>Carter Family Dentistry, LLC</t>
  </si>
  <si>
    <t>Website</t>
  </si>
  <si>
    <t>https://www.carterdentistry.com/</t>
  </si>
  <si>
    <t>Industry</t>
  </si>
  <si>
    <t>Dental Clinic (general, restorative and cosmetic dentistry)</t>
  </si>
  <si>
    <t>Country</t>
  </si>
  <si>
    <t>United States</t>
  </si>
  <si>
    <t>Location</t>
  </si>
  <si>
    <t>20 Bartlett Ave, Rainsville, AL 35986 – serves DeKalb County, Jackson County and surrounding areas</t>
  </si>
  <si>
    <t>Services</t>
  </si>
  <si>
    <t>Dental Exams; Emergency Exam; Digital Imaging; Fillings; Silver Diamine Fluoride (SDF); Crowns; Veneers; Bridges; Root Canals; Extractions; Implants; Dentures; Partial Dentures</t>
  </si>
  <si>
    <t>Products</t>
  </si>
  <si>
    <t>None – service business (no retail products)</t>
  </si>
  <si>
    <t>Primary Business Goals</t>
  </si>
  <si>
    <t>Generate more local leads; increase organic traffic; improve service page rankings; build topical authority</t>
  </si>
  <si>
    <t>Primary SEO Focus</t>
  </si>
  <si>
    <t>Local SEO</t>
  </si>
  <si>
    <t>Contact (per website)</t>
  </si>
  <si>
    <t>(256) 638-2121; info@carterdentistry.com; Mon–Fri 8am–5pm, closed Sat/Sun</t>
  </si>
  <si>
    <t>Provider</t>
  </si>
  <si>
    <t>Dr. Emily Carter</t>
  </si>
  <si>
    <t>Website Analysis – Current SEO Position</t>
  </si>
  <si>
    <t>Area</t>
  </si>
  <si>
    <t>Finding</t>
  </si>
  <si>
    <t>SEO Implication / Opportunity</t>
  </si>
  <si>
    <t>Type</t>
  </si>
  <si>
    <t>Title tag</t>
  </si>
  <si>
    <t>Homepage title: "Carter Family Dentistry, LLC | Dentist in Rainsville, AL | Dentist Near Me | Female Dentist" (91 characters).</t>
  </si>
  <si>
    <t>Strength: city and 'female dentist' differentiator are present. Gap: too long (truncates in search results) and 'Dentist Near Me' looks stuffed. Shorten to under ~60 characters, e.g. 'Dentist in Rainsville, AL | Carter Family Dentistry'.</t>
  </si>
  <si>
    <t>Observation</t>
  </si>
  <si>
    <t>Meta description</t>
  </si>
  <si>
    <t>Mentions Dr. Emily Carter, comprehensive general, restorative and cosmetic care, Rainsville, and the whole family. No phone number or call-to-action; appears longer than ~160 characters.</t>
  </si>
  <si>
    <t>Tighten to ~155 characters with a CTA and phone number.</t>
  </si>
  <si>
    <t>Homepage H1 / copy</t>
  </si>
  <si>
    <t>The H1 is the brand name only. Most homepage text is short headings and images with little service or location copy.</t>
  </si>
  <si>
    <t>Add a keyword-led H1 (e.g. 'Family Dentist in Rainsville, AL') and 300–500 words covering services, towns served and insurance.</t>
  </si>
  <si>
    <t>Gap</t>
  </si>
  <si>
    <t>Service pages</t>
  </si>
  <si>
    <t>13 dedicated service pages are linked in the navigation (exams, emergency exam, imaging, fillings, SDF, crowns, veneers, bridges, root canals, extractions, implants, dentures, partial dentures).</t>
  </si>
  <si>
    <t>Strong foundation for service-level targeting. Individual page copy was not audited in this version – review depth, headings and FAQs per page.</t>
  </si>
  <si>
    <t>Strength</t>
  </si>
  <si>
    <t>Service area</t>
  </si>
  <si>
    <t>Homepage says it serves DeKalb County, Jackson County and surrounding areas, but no dedicated service-area or town pages were found in the navigation.</t>
  </si>
  <si>
    <t>Create a service-area hub plus Fort Payne and Scottsboro pages.</t>
  </si>
  <si>
    <t>Insurance</t>
  </si>
  <si>
    <t>Homepage states all major plans are accepted and the practice is in-network with Blue Cross Blue Shield of Alabama and Southland. No dedicated insurance/payment page in navigation.</t>
  </si>
  <si>
    <t>A dedicated insurance page targets high-intent 'dentist that accepts [insurance]' searches.</t>
  </si>
  <si>
    <t>Opportunity</t>
  </si>
  <si>
    <t>Content / blog</t>
  </si>
  <si>
    <t>No blog, resources or FAQ section appears in the main navigation.</t>
  </si>
  <si>
    <t>No TOFU/MOFU content exists to capture informational searches – see Content Roadmap.</t>
  </si>
  <si>
    <t>Trust / E-E-A-T</t>
  </si>
  <si>
    <t>Meet Dr. Emily Carter, Meet the Team, Office Tour and Testimonials pages exist.</t>
  </si>
  <si>
    <t>Good trust assets; add credentials, reviewed-by bylines and review schema.</t>
  </si>
  <si>
    <t>NAP &amp; hours</t>
  </si>
  <si>
    <t>Name, address, phone, email and weekday hours (8am–5pm) are present on the homepage footer.</t>
  </si>
  <si>
    <t>Keep identical on GBP and directories; add LocalBusiness/Dentist schema.</t>
  </si>
  <si>
    <t>Conversion path</t>
  </si>
  <si>
    <t>Appointment request page exists; new-patient forms are hosted on an external domain (patientviewer.com).</t>
  </si>
  <si>
    <t>Track clicks to the external form as a conversion event; add click-to-call tracking.</t>
  </si>
  <si>
    <t>Freshness</t>
  </si>
  <si>
    <t>Footer copyright reads 2022, while the privacy notice link is dated 2026.</t>
  </si>
  <si>
    <t>Update the copyright year and publish new content to show the site is current.</t>
  </si>
  <si>
    <t>Platform</t>
  </si>
  <si>
    <t>Site assets are served from the Squarespace content network.</t>
  </si>
  <si>
    <t>Squarespace supports blog posts, schema injection and URL redirects – no platform barrier to the roadmap.</t>
  </si>
  <si>
    <t>Brand collision</t>
  </si>
  <si>
    <t>A Boise, Idaho practice (carterfamilydds.com) shares the name 'Carter Family Dentistry'; Carter Braces (an orthodontist) is also in Rainsville.</t>
  </si>
  <si>
    <t>Always pair the brand with 'Rainsville, AL' and Dr. Emily Carter in titles, schema and citations to own the branded SERP.</t>
  </si>
  <si>
    <t>Risk</t>
  </si>
  <si>
    <t>Keyword</t>
  </si>
  <si>
    <t>Keyword Type</t>
  </si>
  <si>
    <t>Parent Topic</t>
  </si>
  <si>
    <t>Cluster</t>
  </si>
  <si>
    <t>Search Intent</t>
  </si>
  <si>
    <t>Funnel Stage</t>
  </si>
  <si>
    <t>Primary / Secondary</t>
  </si>
  <si>
    <t>Search Volume (monthly)</t>
  </si>
  <si>
    <t>KD</t>
  </si>
  <si>
    <t>KD Source</t>
  </si>
  <si>
    <t>Estimated CPC (USD)</t>
  </si>
  <si>
    <t>CPC Source</t>
  </si>
  <si>
    <t>SERP Competition</t>
  </si>
  <si>
    <t>Ranking Competitors</t>
  </si>
  <si>
    <t>Business Value (1-5)</t>
  </si>
  <si>
    <t>Search Demand (1-5)</t>
  </si>
  <si>
    <t>Ranking Opportunity (1-5)</t>
  </si>
  <si>
    <t>Intent Strength (1-5)</t>
  </si>
  <si>
    <t>Conversion Potential (1-5)</t>
  </si>
  <si>
    <t>Topical Importance (1-5)</t>
  </si>
  <si>
    <t>SEO Priority Score (0-100)</t>
  </si>
  <si>
    <t>Priority Level</t>
  </si>
  <si>
    <t>Target URL</t>
  </si>
  <si>
    <t>Recommended Action</t>
  </si>
  <si>
    <t>Notes</t>
  </si>
  <si>
    <t>Volume Scope</t>
  </si>
  <si>
    <t>carter family dentistry rainsville al</t>
  </si>
  <si>
    <t>Brand</t>
  </si>
  <si>
    <t>Carter Family Dentistry (Brand)</t>
  </si>
  <si>
    <t>Brand &amp; Navigational</t>
  </si>
  <si>
    <t>Primary</t>
  </si>
  <si>
    <t>SERP Competition Analysis</t>
  </si>
  <si>
    <t>Commercial Intent Analysis</t>
  </si>
  <si>
    <t>Own brand SERP; Facebook; directories; carterfamilydds.com (Boise, ID – name overlap)</t>
  </si>
  <si>
    <t>/</t>
  </si>
  <si>
    <t>Keep</t>
  </si>
  <si>
    <t>Protect branded SERP; pair brand with city + Dr. Emily Carter in title/schema.</t>
  </si>
  <si>
    <t>Local</t>
  </si>
  <si>
    <t>carter family dentistry</t>
  </si>
  <si>
    <t>Secondary</t>
  </si>
  <si>
    <t>Optimize</t>
  </si>
  <si>
    <t>Name overlap with a Boise, ID practice (carterfamilydds.com) – always disambiguate with Rainsville, AL.</t>
  </si>
  <si>
    <t>National</t>
  </si>
  <si>
    <t>carterdentistry.com</t>
  </si>
  <si>
    <t>carter family dentistry reviews</t>
  </si>
  <si>
    <t>/testimonials</t>
  </si>
  <si>
    <t>Add review schema and embed Google reviews.</t>
  </si>
  <si>
    <t>carter family dentistry phone number</t>
  </si>
  <si>
    <t>/contact</t>
  </si>
  <si>
    <t>Click-to-call + NAP consistency: (256) 638-2121.</t>
  </si>
  <si>
    <t>carter family dentistry hours</t>
  </si>
  <si>
    <t>Website lists Mon–Fri 8am–5pm; keep identical on GBP.</t>
  </si>
  <si>
    <t>carter family dentistry insurance</t>
  </si>
  <si>
    <t>/dental-insurance-payment</t>
  </si>
  <si>
    <t>Create</t>
  </si>
  <si>
    <t>dentist in rainsville al</t>
  </si>
  <si>
    <t>Local Service</t>
  </si>
  <si>
    <t>Dentist in Rainsville, AL</t>
  </si>
  <si>
    <t>Local Dentist – Rainsville &amp; DeKalb</t>
  </si>
  <si>
    <t>Local GBP pack; nearby dental practices (Fort Payne / Scottsboro area); Yelp; Healthgrades</t>
  </si>
  <si>
    <t>Core money keyword – homepage H1/title/body.</t>
  </si>
  <si>
    <t>dentist rainsville alabama</t>
  </si>
  <si>
    <t>dental office rainsville al</t>
  </si>
  <si>
    <t>general dentist rainsville al</t>
  </si>
  <si>
    <t>Core Service</t>
  </si>
  <si>
    <t>/services</t>
  </si>
  <si>
    <t>Services hub page.</t>
  </si>
  <si>
    <t>best dentist in rainsville al</t>
  </si>
  <si>
    <t>Support with reviews / testimonials block.</t>
  </si>
  <si>
    <t>affordable dentist rainsville al</t>
  </si>
  <si>
    <t>Cost guides (Delta Dental, Colgate, Healthline); regional practices; directories</t>
  </si>
  <si>
    <t>Website promises affordable pricing – back it with an insurance/payment page.</t>
  </si>
  <si>
    <t>new patient dentist rainsville al</t>
  </si>
  <si>
    <t>/appointment</t>
  </si>
  <si>
    <t>dentist accepting new patients rainsville al</t>
  </si>
  <si>
    <t>dentist near me</t>
  </si>
  <si>
    <t>Benchmark head term only – win via GBP proximity, reviews and NAP, not on-page targeting.</t>
  </si>
  <si>
    <t>dental exam rainsville al</t>
  </si>
  <si>
    <t>Dental Exams &amp; Cleanings</t>
  </si>
  <si>
    <t>Exams &amp; Preventive Care</t>
  </si>
  <si>
    <t>/dental-exams</t>
  </si>
  <si>
    <t>dental cleaning rainsville al</t>
  </si>
  <si>
    <t>new patient dental exam</t>
  </si>
  <si>
    <t>WebMD; Colgate; Healthline; Mayo Clinic; ADA MouthHealthy</t>
  </si>
  <si>
    <t>dental checkup near me</t>
  </si>
  <si>
    <t>teeth cleaning near me</t>
  </si>
  <si>
    <t>what happens at a dental exam</t>
  </si>
  <si>
    <t>/blog/what-happens-at-a-dental-exam</t>
  </si>
  <si>
    <t>family dentist rainsville al</t>
  </si>
  <si>
    <t>/family-dentistry</t>
  </si>
  <si>
    <t>Family-care page – keep distinct from homepage.</t>
  </si>
  <si>
    <t>kids dentist rainsville al</t>
  </si>
  <si>
    <t>Confirm pediatric age range before publishing.</t>
  </si>
  <si>
    <t>emergency dentist rainsville al</t>
  </si>
  <si>
    <t>Emergency Dentist</t>
  </si>
  <si>
    <t>Emergency Dental Care</t>
  </si>
  <si>
    <t>/emergency-exam</t>
  </si>
  <si>
    <t>Highest-urgency local lead keyword.</t>
  </si>
  <si>
    <t>emergency dentist dekalb county al</t>
  </si>
  <si>
    <t>Local GBP pack; nearby town practices; directories (Yelp / Healthgrades / Vitals)</t>
  </si>
  <si>
    <t>Regional</t>
  </si>
  <si>
    <t>dentist for tooth pain rainsville al</t>
  </si>
  <si>
    <t>Problem-Based</t>
  </si>
  <si>
    <t>emergency dentist near me</t>
  </si>
  <si>
    <t>Benchmark head term.</t>
  </si>
  <si>
    <t>same day dentist appointment near me</t>
  </si>
  <si>
    <t>what to do for a toothache at night</t>
  </si>
  <si>
    <t>/blog/toothache-at-night-what-to-do</t>
  </si>
  <si>
    <t>chipped tooth what to do</t>
  </si>
  <si>
    <t>/blog/dental-emergencies-chipped-or-knocked-out-tooth</t>
  </si>
  <si>
    <t>knocked out tooth what to do</t>
  </si>
  <si>
    <t>dental abscess symptoms</t>
  </si>
  <si>
    <t>/blog/dental-abscess-symptoms-when-to-seek-care</t>
  </si>
  <si>
    <t>dental fillings rainsville al</t>
  </si>
  <si>
    <t>Dental Fillings</t>
  </si>
  <si>
    <t>Fillings &amp; Cavity Care</t>
  </si>
  <si>
    <t>/fillings</t>
  </si>
  <si>
    <t>tooth filling near me</t>
  </si>
  <si>
    <t>cavity filling cost</t>
  </si>
  <si>
    <t>white fillings</t>
  </si>
  <si>
    <t>composite vs amalgam fillings</t>
  </si>
  <si>
    <t>Comparison</t>
  </si>
  <si>
    <t>/blog/composite-vs-amalgam-fillings</t>
  </si>
  <si>
    <t>signs of a cavity</t>
  </si>
  <si>
    <t>/blog/signs-of-a-cavity</t>
  </si>
  <si>
    <t>how to prevent cavities</t>
  </si>
  <si>
    <t>/blog/how-to-prevent-cavities</t>
  </si>
  <si>
    <t>silver diamine fluoride rainsville al</t>
  </si>
  <si>
    <t>Silver Diamine Fluoride</t>
  </si>
  <si>
    <t>Silver Diamine Fluoride (SDF)</t>
  </si>
  <si>
    <t>/silver-diamine-fluoride</t>
  </si>
  <si>
    <t>Low-competition differentiator service.</t>
  </si>
  <si>
    <t>silver diamine fluoride</t>
  </si>
  <si>
    <t>silver diamine fluoride for adults</t>
  </si>
  <si>
    <t>silver diamine fluoride cost</t>
  </si>
  <si>
    <t>silver diamine fluoride side effects</t>
  </si>
  <si>
    <t>/blog/silver-diamine-fluoride-side-effects</t>
  </si>
  <si>
    <t>dental crowns rainsville al</t>
  </si>
  <si>
    <t>Dental Crowns</t>
  </si>
  <si>
    <t>/crowns</t>
  </si>
  <si>
    <t>dental crown cost</t>
  </si>
  <si>
    <t>crown vs filling</t>
  </si>
  <si>
    <t>tooth crown procedure</t>
  </si>
  <si>
    <t>how long do dental crowns last</t>
  </si>
  <si>
    <t>/blog/how-long-do-dental-crowns-last</t>
  </si>
  <si>
    <t>same day crowns near me</t>
  </si>
  <si>
    <t>Verify same-day crown availability before targeting.</t>
  </si>
  <si>
    <t>dental bridges rainsville al</t>
  </si>
  <si>
    <t>Dental Bridges</t>
  </si>
  <si>
    <t>/bridges</t>
  </si>
  <si>
    <t>dental bridge cost</t>
  </si>
  <si>
    <t>how long does a dental bridge last</t>
  </si>
  <si>
    <t>dental bridge vs implant</t>
  </si>
  <si>
    <t>/blog/dental-bridge-vs-implant</t>
  </si>
  <si>
    <t>root canal rainsville al</t>
  </si>
  <si>
    <t>Root Canal Treatment</t>
  </si>
  <si>
    <t>Root Canals</t>
  </si>
  <si>
    <t>/root-canals</t>
  </si>
  <si>
    <t>Highest CPC local service – strong lead value.</t>
  </si>
  <si>
    <t>root canal near me</t>
  </si>
  <si>
    <t>root canal cost</t>
  </si>
  <si>
    <t>root canal symptoms</t>
  </si>
  <si>
    <t>/blog/signs-you-need-a-root-canal</t>
  </si>
  <si>
    <t>is a root canal painful</t>
  </si>
  <si>
    <t>/blog/root-canal-pain-and-recovery</t>
  </si>
  <si>
    <t>root canal recovery time</t>
  </si>
  <si>
    <t>root canal vs extraction</t>
  </si>
  <si>
    <t>/blog/root-canal-vs-extraction</t>
  </si>
  <si>
    <t>tooth extraction rainsville al</t>
  </si>
  <si>
    <t>Tooth Extractions</t>
  </si>
  <si>
    <t>/extractions</t>
  </si>
  <si>
    <t>wisdom tooth removal rainsville al</t>
  </si>
  <si>
    <t>Verify wisdom-tooth extractions are performed in-house.</t>
  </si>
  <si>
    <t>tooth extraction near me</t>
  </si>
  <si>
    <t>tooth extraction cost</t>
  </si>
  <si>
    <t>tooth extraction aftercare</t>
  </si>
  <si>
    <t>/blog/tooth-extraction-aftercare-and-dry-socket</t>
  </si>
  <si>
    <t>dry socket symptoms</t>
  </si>
  <si>
    <t>dental implants rainsville al</t>
  </si>
  <si>
    <t>Dental Implants</t>
  </si>
  <si>
    <t>/implants</t>
  </si>
  <si>
    <t>Highest-value service – top priority page.</t>
  </si>
  <si>
    <t>dental implants near me</t>
  </si>
  <si>
    <t>dental implant cost</t>
  </si>
  <si>
    <t>how much do dental implants cost in alabama</t>
  </si>
  <si>
    <t>/blog/dental-implant-cost-in-alabama</t>
  </si>
  <si>
    <t>dental implants vs dentures</t>
  </si>
  <si>
    <t>/blog/dental-implants-vs-dentures</t>
  </si>
  <si>
    <t>are dental implants worth it</t>
  </si>
  <si>
    <t>dental implant procedure steps</t>
  </si>
  <si>
    <t>dental implant recovery time</t>
  </si>
  <si>
    <t>single tooth implant cost</t>
  </si>
  <si>
    <t>dental implants financing</t>
  </si>
  <si>
    <t>Verify financing options are offered before publishing.</t>
  </si>
  <si>
    <t>dentures rainsville al</t>
  </si>
  <si>
    <t>Dentures</t>
  </si>
  <si>
    <t>/dentures</t>
  </si>
  <si>
    <t>dentures near me</t>
  </si>
  <si>
    <t>how much do dentures cost</t>
  </si>
  <si>
    <t>affordable dentures alabama</t>
  </si>
  <si>
    <t>immediate dentures</t>
  </si>
  <si>
    <t>full dentures vs partial dentures</t>
  </si>
  <si>
    <t>partial dentures rainsville al</t>
  </si>
  <si>
    <t>Partial Dentures</t>
  </si>
  <si>
    <t>/partial-dentures</t>
  </si>
  <si>
    <t>partial dentures near me</t>
  </si>
  <si>
    <t>partial dentures cost</t>
  </si>
  <si>
    <t>flexible partial dentures</t>
  </si>
  <si>
    <t>Verify materials offered.</t>
  </si>
  <si>
    <t>how long do partial dentures last</t>
  </si>
  <si>
    <t>partial denture vs bridge</t>
  </si>
  <si>
    <t>/blog/partial-denture-vs-bridge</t>
  </si>
  <si>
    <t>veneers rainsville al</t>
  </si>
  <si>
    <t>Veneers &amp; Cosmetic</t>
  </si>
  <si>
    <t>Veneers &amp; Cosmetic Dentistry</t>
  </si>
  <si>
    <t>/veneers</t>
  </si>
  <si>
    <t>cosmetic dentist rainsville al</t>
  </si>
  <si>
    <t>veneers near me</t>
  </si>
  <si>
    <t>porcelain veneers cost</t>
  </si>
  <si>
    <t>are veneers worth it</t>
  </si>
  <si>
    <t>how long do veneers last</t>
  </si>
  <si>
    <t>composite vs porcelain veneers</t>
  </si>
  <si>
    <t>/blog/composite-vs-porcelain-veneers</t>
  </si>
  <si>
    <t>dental x-rays rainsville al</t>
  </si>
  <si>
    <t>Dental X-Rays</t>
  </si>
  <si>
    <t>Digital Imaging &amp; X-Rays</t>
  </si>
  <si>
    <t>/digital-imaging</t>
  </si>
  <si>
    <t>digital dental x-rays</t>
  </si>
  <si>
    <t>digital x-rays vs traditional</t>
  </si>
  <si>
    <t>are dental x-rays safe</t>
  </si>
  <si>
    <t>/blog/are-dental-x-rays-safe</t>
  </si>
  <si>
    <t>how often should you get dental x-rays</t>
  </si>
  <si>
    <t>dentist that accepts blue cross blue shield rainsville al</t>
  </si>
  <si>
    <t>Dental Insurance &amp; Cost</t>
  </si>
  <si>
    <t>Insurance, Cost &amp; Payment</t>
  </si>
  <si>
    <t>Website states in-network with BCBS of Alabama and Southland.</t>
  </si>
  <si>
    <t>bcbs of alabama dental in-network dentist</t>
  </si>
  <si>
    <t>southland dental insurance dentist</t>
  </si>
  <si>
    <t>dentist that accepts insurance near me</t>
  </si>
  <si>
    <t>low cost dentist near me</t>
  </si>
  <si>
    <t>dental payment plans near me</t>
  </si>
  <si>
    <t>Verify payment/financing options before publishing.</t>
  </si>
  <si>
    <t>dental exam cost without insurance</t>
  </si>
  <si>
    <t>/blog/dental-exam-cost-without-insurance</t>
  </si>
  <si>
    <t>dentist fort payne al</t>
  </si>
  <si>
    <t>Dentist by Town / County</t>
  </si>
  <si>
    <t>Service-Area Local Pages</t>
  </si>
  <si>
    <t>/dentist-fort-payne-al</t>
  </si>
  <si>
    <t>Largest nearby town in DeKalb County.</t>
  </si>
  <si>
    <t>dentist scottsboro al</t>
  </si>
  <si>
    <t>/dentist-scottsboro-al</t>
  </si>
  <si>
    <t>Largest nearby town in Jackson County.</t>
  </si>
  <si>
    <t>emergency dentist fort payne al</t>
  </si>
  <si>
    <t>dental implants fort payne al</t>
  </si>
  <si>
    <t>dentures fort payne al</t>
  </si>
  <si>
    <t>emergency dentist scottsboro al</t>
  </si>
  <si>
    <t>dentist dekalb county al</t>
  </si>
  <si>
    <t>/service-area</t>
  </si>
  <si>
    <t>dentist jackson county al</t>
  </si>
  <si>
    <t>dentist henagar al</t>
  </si>
  <si>
    <t>Covered as a section on the service-area hub (no thin doorway pages).</t>
  </si>
  <si>
    <t>dentist valley head al</t>
  </si>
  <si>
    <t>dentist sylvania al</t>
  </si>
  <si>
    <t>dentist collinsville al</t>
  </si>
  <si>
    <t>dentist section al</t>
  </si>
  <si>
    <t>dentist bryant al</t>
  </si>
  <si>
    <t>dentist geraldine al</t>
  </si>
  <si>
    <t>dentist pisgah al</t>
  </si>
  <si>
    <t>dentist fyffe al</t>
  </si>
  <si>
    <t>how often should you go to the dentist</t>
  </si>
  <si>
    <t>Oral Health Education</t>
  </si>
  <si>
    <t>Dental Education &amp; Problem Solving</t>
  </si>
  <si>
    <t>/blog/how-often-should-you-go-to-the-dentist</t>
  </si>
  <si>
    <t>sensitive teeth causes</t>
  </si>
  <si>
    <t>/blog/sensitive-teeth-causes-and-treatment</t>
  </si>
  <si>
    <t>why does my tooth hurt when i bite down</t>
  </si>
  <si>
    <t>/blog/tooth-pain-when-biting-down</t>
  </si>
  <si>
    <t>missing tooth replacement options</t>
  </si>
  <si>
    <t>Solution-Based</t>
  </si>
  <si>
    <t>/blog/missing-tooth-replacement-options</t>
  </si>
  <si>
    <t>Hub article linking implants, bridges, dentures, partials.</t>
  </si>
  <si>
    <t>how to choose a family dentist</t>
  </si>
  <si>
    <t>/blog/how-to-choose-a-family-dentist</t>
  </si>
  <si>
    <t>what to expect at first dental appointment</t>
  </si>
  <si>
    <t>/blog/first-dental-visit-what-to-expect</t>
  </si>
  <si>
    <t>female dentist rainsville al</t>
  </si>
  <si>
    <t>Dr. Emily Carter &amp; Female Dentist</t>
  </si>
  <si>
    <t>/meet-dr-emily-carter</t>
  </si>
  <si>
    <t>Already in homepage title – reinforce on bio page.</t>
  </si>
  <si>
    <t>dr emily carter rainsville al</t>
  </si>
  <si>
    <t>dr emily carter dentist</t>
  </si>
  <si>
    <t>female dentist near me</t>
  </si>
  <si>
    <t>Cluster Name</t>
  </si>
  <si>
    <t>Primary Keyword</t>
  </si>
  <si>
    <t>Secondary Keywords</t>
  </si>
  <si>
    <t>Questions</t>
  </si>
  <si>
    <t>Entities</t>
  </si>
  <si>
    <t>Intent</t>
  </si>
  <si>
    <t>Recommended Page</t>
  </si>
  <si>
    <t>Page Type</t>
  </si>
  <si>
    <t># Keywords in Cluster</t>
  </si>
  <si>
    <t>Est. Local + Regional Monthly Volume</t>
  </si>
  <si>
    <t>carter family dentistry; carterdentistry.com; carter family dentistry reviews; carter family dentistry phone number; carter family dentistry hours</t>
  </si>
  <si>
    <t>Where is Carter Family Dentistry in Rainsville?
What are Carter Family Dentistry's hours?</t>
  </si>
  <si>
    <t>Carter Family Dentistry, LLC; Rainsville AL; 20 Bartlett Ave; (256) 638-2121</t>
  </si>
  <si>
    <t>Homepage</t>
  </si>
  <si>
    <t>dentist rainsville alabama; dental office rainsville al; general dentist rainsville al; best dentist in rainsville al; dentist near me</t>
  </si>
  <si>
    <t>Who is the best dentist in Rainsville, AL?
Is there a dentist near me accepting new patients?</t>
  </si>
  <si>
    <t>Rainsville; DeKalb County; Sand Mountain; Google Business Profile</t>
  </si>
  <si>
    <t>dental cleaning rainsville al; new patient dental exam; dental checkup near me; family dentist rainsville al; kids dentist rainsville al</t>
  </si>
  <si>
    <t>What happens at a dental exam?
How often should I get a cleaning?</t>
  </si>
  <si>
    <t>Dental exam; prophylaxis; oral cancer screening; hygienist</t>
  </si>
  <si>
    <t>Service Page</t>
  </si>
  <si>
    <t>emergency dentist dekalb county al; dentist for tooth pain rainsville al; same day dentist appointment near me; dental abscess symptoms; chipped tooth what to do</t>
  </si>
  <si>
    <t>What counts as a dental emergency?
What do I do about a toothache at night?</t>
  </si>
  <si>
    <t>Toothache; abscess; broken tooth; swelling; emergency exam</t>
  </si>
  <si>
    <t>tooth filling near me; cavity filling cost; white fillings; composite vs amalgam fillings; signs of a cavity</t>
  </si>
  <si>
    <t>How much does a filling cost?
Are white fillings better than silver?</t>
  </si>
  <si>
    <t>Composite resin; amalgam; tooth decay; cavity</t>
  </si>
  <si>
    <t>silver diamine fluoride; silver diamine fluoride for adults; silver diamine fluoride cost; silver diamine fluoride side effects</t>
  </si>
  <si>
    <t>What is silver diamine fluoride?
Does SDF stain teeth?</t>
  </si>
  <si>
    <t>SDF; fluoride; non-invasive cavity arrest; tooth decay</t>
  </si>
  <si>
    <t>dental crown cost; crown vs filling; tooth crown procedure; how long do dental crowns last; same day crowns near me</t>
  </si>
  <si>
    <t>How much does a dental crown cost?
How long do crowns last?</t>
  </si>
  <si>
    <t>Porcelain; ceramic; zirconia; cap; tooth restoration</t>
  </si>
  <si>
    <t>dental bridge cost; how long does a dental bridge last; dental bridge vs implant</t>
  </si>
  <si>
    <t>Is a bridge or an implant better?
How long does a bridge last?</t>
  </si>
  <si>
    <t>Pontic; abutment teeth; fixed bridge; tooth replacement</t>
  </si>
  <si>
    <t>root canal near me; root canal cost; root canal symptoms; is a root canal painful; root canal vs extraction</t>
  </si>
  <si>
    <t>Is a root canal painful?
How much does a root canal cost?</t>
  </si>
  <si>
    <t>Endodontic therapy; pulp; infection; crown after root canal</t>
  </si>
  <si>
    <t>tooth extraction near me; tooth extraction cost; wisdom tooth removal rainsville al; tooth extraction aftercare; dry socket symptoms</t>
  </si>
  <si>
    <t>How long does extraction healing take?
What is dry socket?</t>
  </si>
  <si>
    <t>Simple extraction; surgical extraction; wisdom teeth; socket</t>
  </si>
  <si>
    <t>dental implants near me; dental implant cost; dental implants vs dentures; are dental implants worth it; single tooth implant cost</t>
  </si>
  <si>
    <t>How much do dental implants cost in Alabama?
Are implants better than dentures?</t>
  </si>
  <si>
    <t>Titanium post; abutment; osseointegration; implant crown</t>
  </si>
  <si>
    <t>dentures near me; how much do dentures cost; affordable dentures alabama; immediate dentures; full dentures vs partial dentures</t>
  </si>
  <si>
    <t>How much do dentures cost?
How long do dentures last?</t>
  </si>
  <si>
    <t>Full dentures; immediate dentures; denture fitting; edentulism</t>
  </si>
  <si>
    <t>partial dentures near me; partial dentures cost; flexible partial dentures; how long do partial dentures last; partial denture vs bridge</t>
  </si>
  <si>
    <t>Partial denture or bridge?
How long do partials last?</t>
  </si>
  <si>
    <t>Removable partial; clasp; framework; missing teeth</t>
  </si>
  <si>
    <t>cosmetic dentist rainsville al; veneers near me; porcelain veneers cost; composite vs porcelain veneers; how long do veneers last</t>
  </si>
  <si>
    <t>Are veneers worth it?
How much do porcelain veneers cost?</t>
  </si>
  <si>
    <t>Porcelain; composite; smile makeover; enamel</t>
  </si>
  <si>
    <t>digital dental x-rays; digital x-rays vs traditional; are dental x-rays safe; how often should you get dental x-rays</t>
  </si>
  <si>
    <t>Are dental x-rays safe?
How often are x-rays needed?</t>
  </si>
  <si>
    <t>Bitewing; panoramic; radiation exposure; digital sensor</t>
  </si>
  <si>
    <t>bcbs of alabama dental in-network dentist; southland dental insurance dentist; dentist that accepts insurance near me; low cost dentist near me; dental payment plans near me</t>
  </si>
  <si>
    <t>Does my dentist take Blue Cross Blue Shield of Alabama?
How can I afford dental care without insurance?</t>
  </si>
  <si>
    <t>Blue Cross Blue Shield of Alabama; Southland; in-network; payment plans</t>
  </si>
  <si>
    <t>Service Page (new)</t>
  </si>
  <si>
    <t>dentist scottsboro al; dentist dekalb county al; dentist jackson county al; dentist henagar al; dentist valley head al</t>
  </si>
  <si>
    <t>Is there a dentist near Fort Payne?
Where is the closest dentist to Scottsboro?</t>
  </si>
  <si>
    <t>Fort Payne; Scottsboro; Henagar; Valley Head; Sylvania; Section; DeKalb County; Jackson County</t>
  </si>
  <si>
    <t>/dentist-fort-payne-al + /dentist-scottsboro-al + /service-area</t>
  </si>
  <si>
    <t>Location Pages (new)</t>
  </si>
  <si>
    <t>sensitive teeth causes; why does my tooth hurt when i bite down; missing tooth replacement options; how to choose a family dentist; what to expect at first dental appointment</t>
  </si>
  <si>
    <t>How often should you go to the dentist?
What causes sensitive teeth?</t>
  </si>
  <si>
    <t>Oral hygiene; preventive care; tooth sensitivity; dental anxiety</t>
  </si>
  <si>
    <t>/blog/*</t>
  </si>
  <si>
    <t>Blog Posts (new)</t>
  </si>
  <si>
    <t>dr emily carter rainsville al; dr emily carter dentist; female dentist near me</t>
  </si>
  <si>
    <t>Is there a female dentist in Rainsville?
Who is Dr. Emily Carter?</t>
  </si>
  <si>
    <t>Dr. Emily Carter; female dentist; credentials; patient care philosophy</t>
  </si>
  <si>
    <t>Trust / E-E-A-T Page</t>
  </si>
  <si>
    <t>Competitor</t>
  </si>
  <si>
    <t>URL</t>
  </si>
  <si>
    <t>Ranking Topics</t>
  </si>
  <si>
    <t>Strong Pages</t>
  </si>
  <si>
    <t>Weakness</t>
  </si>
  <si>
    <t>Content Gap</t>
  </si>
  <si>
    <t>Verification Status</t>
  </si>
  <si>
    <t>Carter Family Dentistry (Boise, ID)</t>
  </si>
  <si>
    <t>carterfamilydds.com</t>
  </si>
  <si>
    <t>Branded 'Carter Family Dentistry' queries; Boise / Treasure Valley general dentistry, cosmetic, Invisalign and veneers (per public listings).</t>
  </si>
  <si>
    <t>Not audited – organic data unavailable. Public listings show a family-owned practice established 1973 with strong Google ratings.</t>
  </si>
  <si>
    <t>Located in Boise, Idaho – no local-pack overlap with Rainsville, AL. Competes only for the shared brand name.</t>
  </si>
  <si>
    <t>No Alabama relevance; Rainsville-specific, DeKalb/Jackson County content is entirely absent.</t>
  </si>
  <si>
    <t>Own the branded SERP with city + Dr. Emily Carter in titles, LocalBusiness schema, consistent NAP and GBP. Always use 'Rainsville, AL' in brand anchors.</t>
  </si>
  <si>
    <t>Partially verified (public listings). Organic keywords to be pulled in Semrush.</t>
  </si>
  <si>
    <t>Dr. Tara's Dental Village</t>
  </si>
  <si>
    <t>drtarasdentalvillage.com</t>
  </si>
  <si>
    <t>To be validated in Semrush Organic Research.</t>
  </si>
  <si>
    <t>To be validated.</t>
  </si>
  <si>
    <t>Could not be confirmed as a Rainsville-area practice through public search – location/relevance unverified.</t>
  </si>
  <si>
    <t>To be determined after Semrush export.</t>
  </si>
  <si>
    <t>If confirmed local, mine its ranking service pages for keyword gaps (implants, dentures, emergency).</t>
  </si>
  <si>
    <t>Unverified – client-supplied. Confirm location and organic footprint.</t>
  </si>
  <si>
    <t>Carter Orthodontics / Carter Braces (Rainsville, AL)</t>
  </si>
  <si>
    <t>carterbraces.com</t>
  </si>
  <si>
    <t>Orthodontics / braces in Rainsville, AL (practice of Dr. Jared Carter, DMD, MS, per AAO and directory listings).</t>
  </si>
  <si>
    <t>Not audited.</t>
  </si>
  <si>
    <t>Specialty orthodontic practice – little overlap with general, restorative and emergency services. Similar Carter name can cause local brand confusion.</t>
  </si>
  <si>
    <t>General dentistry, restorative and tooth-replacement content is outside its scope.</t>
  </si>
  <si>
    <t>Differentiate on general/family/restorative care; keep branded SERP clean; consider a referral relationship for ortho cases.</t>
  </si>
  <si>
    <t>Partially verified (AAO / directory listings). Organic data to be pulled.</t>
  </si>
  <si>
    <t>Fort Payne &amp; Scottsboro general dental practices</t>
  </si>
  <si>
    <t>(identify in Semrush / local-pack check)</t>
  </si>
  <si>
    <t>dentist fort payne al; dentist scottsboro al; implants, dentures and emergency dentist in nearby towns.</t>
  </si>
  <si>
    <t>Typically service pages and location pages for the larger towns.</t>
  </si>
  <si>
    <t>Pattern-based: many small-practice sites have thin service pages and no FAQ/blog content.</t>
  </si>
  <si>
    <t>Rainsville and smaller-town (Henagar, Valley Head, Sylvania, Section) demand is often under-served.</t>
  </si>
  <si>
    <t>Create Fort Payne / Scottsboro pages and a service-area hub to capture overflow demand.</t>
  </si>
  <si>
    <t>Pattern-based estimate – named competitors not verified.</t>
  </si>
  <si>
    <t>Dental directories (Healthgrades, Vitals, WebMD Care, Yelp)</t>
  </si>
  <si>
    <t>healthgrades.com / vitals.com / doctor.webmd.com / yelp.com</t>
  </si>
  <si>
    <t>Provider and practice name searches; 'dentist in [town]' directory pages.</t>
  </si>
  <si>
    <t>Practice and provider profile pages.</t>
  </si>
  <si>
    <t>Generic profiles, no service depth, no conversion path owned by the practice.</t>
  </si>
  <si>
    <t>Detailed service, cost and insurance information.</t>
  </si>
  <si>
    <t>Claim and complete profiles with consistent NAP; use reviews and service lists to feed citation signals.</t>
  </si>
  <si>
    <t>Observed in public search results for Carter-name dentist queries.</t>
  </si>
  <si>
    <t>Practice-finder / AI-profile aggregators</t>
  </si>
  <si>
    <t>local.newpatientsinc.com / lantern.llc</t>
  </si>
  <si>
    <t>Practice-name and 'dentist in [city]' queries.</t>
  </si>
  <si>
    <t>Auto-generated practice pages.</t>
  </si>
  <si>
    <t>Third-party data may be incomplete or outdated.</t>
  </si>
  <si>
    <t>Accurate hours, services and insurance details.</t>
  </si>
  <si>
    <t>Keep website facts identical to listings; add structured data so AI search tools read accurate details.</t>
  </si>
  <si>
    <t>Observed in public search results.</t>
  </si>
  <si>
    <t>National dental education publishers (Colgate, Healthline, Delta Dental, Mayo Clinic, ADA MouthHealthy)</t>
  </si>
  <si>
    <t>colgate.com / healthline.com / deltadental.com / mayoclinic.org</t>
  </si>
  <si>
    <t>Informational and problem keywords: root canal symptoms, dry socket, implant procedure, x-ray safety.</t>
  </si>
  <si>
    <t>Long-form guides with high domain authority.</t>
  </si>
  <si>
    <t>Not local, no appointment path, no Alabama pricing or insurance context.</t>
  </si>
  <si>
    <t>Local cost context (Alabama), BCBS of Alabama / Southland insurance questions, Dr. Emily Carter's expert voice.</t>
  </si>
  <si>
    <t>Publish concise, locally framed answers with FAQ schema; target the lowest-KD questions first.</t>
  </si>
  <si>
    <t>Pattern-based estimate for these SERPs.</t>
  </si>
  <si>
    <t>Page Name</t>
  </si>
  <si>
    <t>Existing / New</t>
  </si>
  <si>
    <t>Action</t>
  </si>
  <si>
    <t>Cannibalization Risk</t>
  </si>
  <si>
    <t>carter family dentistry rainsville al; carter family dentistry; carterdentistry.com; dentist rainsville alabama; dental office rainsville al; best dentist in rainsville al; dentist near me</t>
  </si>
  <si>
    <t>Existing</t>
  </si>
  <si>
    <t>Services Hub</t>
  </si>
  <si>
    <t>–</t>
  </si>
  <si>
    <t>Dental Exams</t>
  </si>
  <si>
    <t>dental cleaning rainsville al; new patient dental exam; dental checkup near me; teeth cleaning near me</t>
  </si>
  <si>
    <t>Emergency Exam</t>
  </si>
  <si>
    <t>emergency dentist dekalb county al; dentist for tooth pain rainsville al; emergency dentist near me; same day dentist appointment near me</t>
  </si>
  <si>
    <t>Digital Imaging</t>
  </si>
  <si>
    <t>digital dental x-rays; digital x-rays vs traditional</t>
  </si>
  <si>
    <t>Fillings</t>
  </si>
  <si>
    <t>tooth filling near me; cavity filling cost; white fillings</t>
  </si>
  <si>
    <t>silver diamine fluoride; silver diamine fluoride for adults; silver diamine fluoride cost</t>
  </si>
  <si>
    <t>Crowns</t>
  </si>
  <si>
    <t>dental crown cost; crown vs filling; tooth crown procedure; same day crowns near me</t>
  </si>
  <si>
    <t>Veneers</t>
  </si>
  <si>
    <t>cosmetic dentist rainsville al; veneers near me; porcelain veneers cost; are veneers worth it; how long do veneers last</t>
  </si>
  <si>
    <t>Bridges</t>
  </si>
  <si>
    <t>dental bridge cost; how long does a dental bridge last</t>
  </si>
  <si>
    <t>root canal near me; root canal cost</t>
  </si>
  <si>
    <t>Extractions</t>
  </si>
  <si>
    <t>wisdom tooth removal rainsville al; tooth extraction near me; tooth extraction cost</t>
  </si>
  <si>
    <t>Implants</t>
  </si>
  <si>
    <t>dental implants near me; dental implant cost; are dental implants worth it; dental implant procedure steps; dental implant recovery time; single tooth implant cost</t>
  </si>
  <si>
    <t>partial dentures near me; partial dentures cost; flexible partial dentures; how long do partial dentures last</t>
  </si>
  <si>
    <t>Meet Dr. Emily Carter</t>
  </si>
  <si>
    <t>Testimonials</t>
  </si>
  <si>
    <t>Contact</t>
  </si>
  <si>
    <t>Appointment Request</t>
  </si>
  <si>
    <t>Service Area Hub – DeKalb &amp; Jackson County</t>
  </si>
  <si>
    <t>dentist jackson county al; dentist henagar al; dentist valley head al; dentist sylvania al; dentist collinsville al; dentist section al; dentist bryant al; dentist geraldine al; dentist pisgah al; dentist fyffe al</t>
  </si>
  <si>
    <t>New</t>
  </si>
  <si>
    <t>Dentist in Fort Payne, AL</t>
  </si>
  <si>
    <t>emergency dentist fort payne al; dental implants fort payne al; dentures fort payne al</t>
  </si>
  <si>
    <t>Dentist in Scottsboro, AL</t>
  </si>
  <si>
    <t>Insurance &amp; Payment Options</t>
  </si>
  <si>
    <t>carter family dentistry insurance; affordable dentist rainsville al; dental implants financing; bcbs of alabama dental in-network dentist; southland dental insurance dentist; dentist that accepts insurance near me; low cost dentist near me; dental payment plans near me</t>
  </si>
  <si>
    <t>Family Dentistry</t>
  </si>
  <si>
    <t>How Much Do Dental Implants Cost in Alabama?</t>
  </si>
  <si>
    <t>Dental Implants vs Dentures: Which Is Right for You?</t>
  </si>
  <si>
    <t>Dental Emergencies: What to Do If You Chip or Knock Out a Tooth</t>
  </si>
  <si>
    <t>Root Canal vs Extraction: How to Decide</t>
  </si>
  <si>
    <t>7 Signs You May Need a Root Canal</t>
  </si>
  <si>
    <t>Is a Root Canal Painful? Pain Levels and Recovery Time</t>
  </si>
  <si>
    <t>Dental Bridge vs Implant: Cost, Longevity and Comfort</t>
  </si>
  <si>
    <t>Partial Denture vs Bridge: Choosing a Tooth Replacement</t>
  </si>
  <si>
    <t>Composite vs Porcelain Veneers: What Is the Difference?</t>
  </si>
  <si>
    <t>Missing a Tooth? Your Replacement Options Explained</t>
  </si>
  <si>
    <t>Tooth Extraction Aftercare and How to Avoid Dry Socket</t>
  </si>
  <si>
    <t>Dental Abscess Symptoms: When to Seek Emergency Care</t>
  </si>
  <si>
    <t>How Long Do Dental Crowns Last?</t>
  </si>
  <si>
    <t>Are Dental X-Rays Safe? How Often Do You Need Them?</t>
  </si>
  <si>
    <t>Composite vs Amalgam Fillings</t>
  </si>
  <si>
    <t>Silver Diamine Fluoride: Benefits, Side Effects and Staining</t>
  </si>
  <si>
    <t>Toothache at Night: What to Do Until You See a Dentist</t>
  </si>
  <si>
    <t>Signs of a Cavity and When to Get a Filling</t>
  </si>
  <si>
    <t>What Happens at a Dental Exam?</t>
  </si>
  <si>
    <t>How Often Should You Go to the Dentist?</t>
  </si>
  <si>
    <t>Sensitive Teeth: Causes and Treatment Options</t>
  </si>
  <si>
    <t>Why Does My Tooth Hurt When I Bite Down?</t>
  </si>
  <si>
    <t>How to Choose a Family Dentist in DeKalb County</t>
  </si>
  <si>
    <t>First Dental Visit: What to Expect as a New Patient</t>
  </si>
  <si>
    <t>Dental Exam Cost Without Insurance</t>
  </si>
  <si>
    <t>How to Prevent Cavities: A Family Guide</t>
  </si>
  <si>
    <t>Main Topic</t>
  </si>
  <si>
    <t>Sub Topics</t>
  </si>
  <si>
    <t>Supporting Content</t>
  </si>
  <si>
    <t>Commercial Connection</t>
  </si>
  <si>
    <t>Tooth Replacement (Implants, Bridges, Dentures, Partials)</t>
  </si>
  <si>
    <t>Dental implants; dental bridges; full dentures; partial dentures; extractions; missing-tooth options; cost and financing</t>
  </si>
  <si>
    <t>Implants vs dentures; bridge vs implant; partial denture vs bridge; implant cost in Alabama; missing tooth options hub; extraction aftercare</t>
  </si>
  <si>
    <t>Titanium implant; abutment; pontic; denture base; edentulism; bone density</t>
  </si>
  <si>
    <t>/implants, /bridges, /dentures, /partial-dentures, /extractions → appointment request</t>
  </si>
  <si>
    <t>Emergency &amp; Urgent Dental Care</t>
  </si>
  <si>
    <t>Toothache; abscess; chipped / knocked-out tooth; swelling; same-day care</t>
  </si>
  <si>
    <t>Toothache at night; dental abscess symptoms; chipped or knocked-out tooth; tooth pain when biting down</t>
  </si>
  <si>
    <t>Dental emergency; pulp infection; trauma; pain management</t>
  </si>
  <si>
    <t>/emergency-exam, /root-canals → call now / same-day request</t>
  </si>
  <si>
    <t>Root Canals &amp; Endodontics</t>
  </si>
  <si>
    <t>Root canal procedure; symptoms; pain and recovery; root canal vs extraction; crown after root canal</t>
  </si>
  <si>
    <t>Signs you need a root canal; is a root canal painful; recovery time; root canal vs extraction</t>
  </si>
  <si>
    <t>Endodontic therapy; pulp; infection; crown</t>
  </si>
  <si>
    <t>/root-canals, /crowns → appointment request</t>
  </si>
  <si>
    <t>Restorative Dentistry (Fillings, Crowns, SDF)</t>
  </si>
  <si>
    <t>Cavity detection; composite vs amalgam; crowns; silver diamine fluoride; prevention</t>
  </si>
  <si>
    <t>Signs of a cavity; composite vs amalgam fillings; how long crowns last; SDF side effects; how to prevent cavities</t>
  </si>
  <si>
    <t>Composite; amalgam; porcelain; zirconia; fluoride; enamel</t>
  </si>
  <si>
    <t>/fillings, /crowns, /silver-diamine-fluoride → appointment request</t>
  </si>
  <si>
    <t>Preventive Care &amp; Diagnostics</t>
  </si>
  <si>
    <t>Exams; cleanings; digital x-rays; first visit; visit frequency</t>
  </si>
  <si>
    <t>What happens at a dental exam; how often to visit; are dental x-rays safe; first dental visit</t>
  </si>
  <si>
    <t>Bitewing x-ray; prophylaxis; hygienist; oral exam</t>
  </si>
  <si>
    <t>/dental-exams, /digital-imaging → new patient appointment</t>
  </si>
  <si>
    <t>Cosmetic Dentistry (Veneers)</t>
  </si>
  <si>
    <t>Porcelain vs composite veneers; longevity; cost; smile makeover</t>
  </si>
  <si>
    <t>Composite vs porcelain veneers; are veneers worth it; how long veneers last</t>
  </si>
  <si>
    <t>Porcelain; composite resin; enamel; shade matching</t>
  </si>
  <si>
    <t>/veneers → consultation request</t>
  </si>
  <si>
    <t>Insurance, Cost &amp; Affordability</t>
  </si>
  <si>
    <t>BCBS of Alabama; Southland; payment options; cost without insurance</t>
  </si>
  <si>
    <t>Insurance &amp; payment page; dental exam cost without insurance; implant and denture cost pages</t>
  </si>
  <si>
    <t>/dental-insurance-payment → new patient appointment</t>
  </si>
  <si>
    <t>Local Authority (Rainsville, DeKalb &amp; Jackson County)</t>
  </si>
  <si>
    <t>Rainsville; Fort Payne; Scottsboro; Henagar; Valley Head; Sylvania; Section</t>
  </si>
  <si>
    <t>Service-area hub; Fort Payne page; Scottsboro page; community and patient stories; GBP posts</t>
  </si>
  <si>
    <t>Rainsville AL; DeKalb County; Jackson County; Sand Mountain</t>
  </si>
  <si>
    <t>/, /service-area, location pages → call / directions / appointment</t>
  </si>
  <si>
    <t>Trust &amp; Provider Expertise (E-E-A-T)</t>
  </si>
  <si>
    <t>Dr. Emily Carter bio; credentials; female dentist; reviews; office tour</t>
  </si>
  <si>
    <t>Expanded Dr. Carter bio with credentials; reviewed-by byline on clinical posts; testimonials with schema</t>
  </si>
  <si>
    <t>Dr. Emily Carter; Carter Family Dentistry team; patient reviews</t>
  </si>
  <si>
    <t>/meet-dr-emily-carter, /testimonials → trust for every BOFU page</t>
  </si>
  <si>
    <t>Silo</t>
  </si>
  <si>
    <t>Parent Page</t>
  </si>
  <si>
    <t>Child Pages</t>
  </si>
  <si>
    <t>Purpose</t>
  </si>
  <si>
    <t>Internal Linking Flow</t>
  </si>
  <si>
    <t>Silo 1 – Tooth Replacement</t>
  </si>
  <si>
    <t>/bridges
/dentures
/partial-dentures
/extractions
/blog/dental-implant-cost-in-alabama
/blog/dental-implants-vs-dentures
/blog/dental-bridge-vs-implant
/blog/partial-denture-vs-bridge
/blog/missing-tooth-replacement-options
/blog/tooth-extraction-aftercare-and-dry-socket</t>
  </si>
  <si>
    <t>Capture the highest-value searches (implants, dentures, bridges) and educate on options.</t>
  </si>
  <si>
    <t>Services hub → parent → child service pages; every blog links up to its service page and across to the 'missing tooth replacement options' hub; service pages cross-link by 'alternative option'.</t>
  </si>
  <si>
    <t>Silo 2 – Emergency &amp; Endodontic Care</t>
  </si>
  <si>
    <t>/root-canals
/extractions
/blog/dental-emergencies-chipped-or-knocked-out-tooth
/blog/root-canal-vs-extraction
/blog/signs-you-need-a-root-canal
/blog/root-canal-pain-and-recovery
/blog/dental-abscess-symptoms-when-to-seek-care
/blog/toothache-at-night-what-to-do
/blog/tooth-pain-when-biting-down</t>
  </si>
  <si>
    <t>Own urgent, high-CPC searches in Rainsville and DeKalb County.</t>
  </si>
  <si>
    <t>Homepage → /emergency-exam (prominent call-out); emergency page → root canals / extractions; blog posts link to emergency page with call-to-action.</t>
  </si>
  <si>
    <t>Silo 3 – Restorative Dentistry</t>
  </si>
  <si>
    <t>/fillings
/crowns
/blog/how-long-do-dental-crowns-last
/blog/composite-vs-amalgam-fillings
/blog/signs-of-a-cavity
/blog/how-to-prevent-cavities</t>
  </si>
  <si>
    <t>Support everyday restorative demand and funnel patients to crowns/implants when needed.</t>
  </si>
  <si>
    <t>Fillings ↔ crowns; fillings → SDF; crowns → root canals; blogs link up to their service page.</t>
  </si>
  <si>
    <t>Silo 4 – Preventive &amp; Diagnostics</t>
  </si>
  <si>
    <t>/digital-imaging
/silver-diamine-fluoride
/blog/are-dental-x-rays-safe
/blog/silver-diamine-fluoride-side-effects
/blog/what-happens-at-a-dental-exam
/blog/how-often-should-you-go-to-the-dentist
/blog/sensitive-teeth-causes-and-treatment
/blog/how-to-choose-a-family-dentist
/blog/first-dental-visit-what-to-expect</t>
  </si>
  <si>
    <t>Attract new patients and families; feed appointment requests.</t>
  </si>
  <si>
    <t>Exams ↔ digital imaging; exams → family dentistry; blogs link up to exams / appointment.</t>
  </si>
  <si>
    <t>Silo 5 – Cosmetic Dentistry</t>
  </si>
  <si>
    <t>/crowns
/blog/composite-vs-porcelain-veneers</t>
  </si>
  <si>
    <t>Capture high-CPC cosmetic demand with a small, focused cluster.</t>
  </si>
  <si>
    <t>Veneers ↔ crowns; veneer blog → veneers page → consultation.</t>
  </si>
  <si>
    <t>Silo 6 – Local &amp; Trust</t>
  </si>
  <si>
    <t>/ (Homepage)</t>
  </si>
  <si>
    <t>/service-area
/dentist-fort-payne-al
/dentist-scottsboro-al
/meet-dr-emily-carter
/testimonials
/contact
/appointment</t>
  </si>
  <si>
    <t>Build local relevance across DeKalb and Jackson County and reinforce E-E-A-T.</t>
  </si>
  <si>
    <t>Homepage → area hub → town pages → services; every page footer → contact / appointment; bio and testimonials linked from every service page.</t>
  </si>
  <si>
    <t>Silo 7 – Insurance &amp; Cost</t>
  </si>
  <si>
    <t>/blog/dental-implant-cost-in-alabama
/blog/dental-exam-cost-without-insurance</t>
  </si>
  <si>
    <t>Convert price- and insurance-sensitive searchers (BCBS of Alabama, Southland).</t>
  </si>
  <si>
    <t>Insurance page linked from implants, dentures, crowns and homepage; cost posts link back to the insurance page and the related service.</t>
  </si>
  <si>
    <t>Source Page</t>
  </si>
  <si>
    <t>Target Page</t>
  </si>
  <si>
    <t>Anchor Concept</t>
  </si>
  <si>
    <t>dental exams in Rainsville</t>
  </si>
  <si>
    <t>Hub-to-spoke: pass authority and crawl paths to every service page.</t>
  </si>
  <si>
    <t>emergency exam in Rainsville</t>
  </si>
  <si>
    <t>digital imaging in Rainsville</t>
  </si>
  <si>
    <t>fillings in Rainsville</t>
  </si>
  <si>
    <t>silver diamine fluoride (sdf) in Rainsville</t>
  </si>
  <si>
    <t>crowns in Rainsville</t>
  </si>
  <si>
    <t>veneers in Rainsville</t>
  </si>
  <si>
    <t>bridges in Rainsville</t>
  </si>
  <si>
    <t>root canals in Rainsville</t>
  </si>
  <si>
    <t>extractions in Rainsville</t>
  </si>
  <si>
    <t>implants in Rainsville</t>
  </si>
  <si>
    <t>dentures in Rainsville</t>
  </si>
  <si>
    <t>partial dentures in Rainsville</t>
  </si>
  <si>
    <t>dental implants in Rainsville</t>
  </si>
  <si>
    <t>Homepage service tiles pass authority to highest-value services.</t>
  </si>
  <si>
    <t>emergency dentist in Rainsville</t>
  </si>
  <si>
    <t>root canal treatment</t>
  </si>
  <si>
    <t>dental crowns</t>
  </si>
  <si>
    <t>veneers</t>
  </si>
  <si>
    <t>meet Dr. Emily Carter</t>
  </si>
  <si>
    <t>E-E-A-T: show the provider behind the care.</t>
  </si>
  <si>
    <t>patient testimonials</t>
  </si>
  <si>
    <t>Social proof near conversion.</t>
  </si>
  <si>
    <t>insurance and payment options</t>
  </si>
  <si>
    <t>Answer cost/insurance questions on the homepage.</t>
  </si>
  <si>
    <t>serving DeKalb and Jackson County</t>
  </si>
  <si>
    <t>Pass authority to the service-area hub.</t>
  </si>
  <si>
    <t>request an appointment</t>
  </si>
  <si>
    <t>Primary conversion path.</t>
  </si>
  <si>
    <t>dentures as an alternative</t>
  </si>
  <si>
    <t>Alternative option – retain users comparing replacements.</t>
  </si>
  <si>
    <t>dental implants</t>
  </si>
  <si>
    <t>Upsell path from dentures to implants.</t>
  </si>
  <si>
    <t>partial dentures</t>
  </si>
  <si>
    <t>Link full vs partial options.</t>
  </si>
  <si>
    <t>full dentures</t>
  </si>
  <si>
    <t>dental bridges</t>
  </si>
  <si>
    <t>Alternative option.</t>
  </si>
  <si>
    <t>replace the tooth with an implant</t>
  </si>
  <si>
    <t>Post-extraction replacement path.</t>
  </si>
  <si>
    <t>dentures after extractions</t>
  </si>
  <si>
    <t>crown after root canal</t>
  </si>
  <si>
    <t>Treatment sequence.</t>
  </si>
  <si>
    <t>when extraction is needed</t>
  </si>
  <si>
    <t>Alternative treatment.</t>
  </si>
  <si>
    <t>Related treatment.</t>
  </si>
  <si>
    <t>dental crowns for larger cavities</t>
  </si>
  <si>
    <t>Escalation path.</t>
  </si>
  <si>
    <t>Non-invasive alternative.</t>
  </si>
  <si>
    <t>dental fillings</t>
  </si>
  <si>
    <t>digital imaging</t>
  </si>
  <si>
    <t>Diagnostic link.</t>
  </si>
  <si>
    <t>dental exams</t>
  </si>
  <si>
    <t>family dentistry</t>
  </si>
  <si>
    <t>Family conversion path.</t>
  </si>
  <si>
    <t>Common emergency outcome.</t>
  </si>
  <si>
    <t>tooth extractions</t>
  </si>
  <si>
    <t>Related cosmetic restoration.</t>
  </si>
  <si>
    <t>Related cosmetic option.</t>
  </si>
  <si>
    <t>financing and insurance options</t>
  </si>
  <si>
    <t>Reduce cost friction on high-value page.</t>
  </si>
  <si>
    <t>Reduce cost friction.</t>
  </si>
  <si>
    <t>our dental services</t>
  </si>
  <si>
    <t>Move bio visitors into service pages.</t>
  </si>
  <si>
    <t>Conversion from proof.</t>
  </si>
  <si>
    <t>Conversion.</t>
  </si>
  <si>
    <t>call our office</t>
  </si>
  <si>
    <t>emergency dentist</t>
  </si>
  <si>
    <t>Local page → money pages with town context.</t>
  </si>
  <si>
    <t>dentures</t>
  </si>
  <si>
    <t>root canal</t>
  </si>
  <si>
    <t>contact and directions</t>
  </si>
  <si>
    <t>dentist in Fort Payne</t>
  </si>
  <si>
    <t>Hub → town page.</t>
  </si>
  <si>
    <t>all communities we serve</t>
  </si>
  <si>
    <t>Town page → hub.</t>
  </si>
  <si>
    <t>dentist in Scottsboro</t>
  </si>
  <si>
    <t>Blog → money page (primary conversion link).</t>
  </si>
  <si>
    <t>Blog → conversion CTA.</t>
  </si>
  <si>
    <t>root canal in Rainsville</t>
  </si>
  <si>
    <t>tooth replacement options</t>
  </si>
  <si>
    <t>emergency dental care</t>
  </si>
  <si>
    <t>digital dental imaging</t>
  </si>
  <si>
    <t>silver diamine fluoride (SDF)</t>
  </si>
  <si>
    <t>emergency dental exam</t>
  </si>
  <si>
    <t>dental exams and cleanings</t>
  </si>
  <si>
    <t>dental exam</t>
  </si>
  <si>
    <t>new patient appointment</t>
  </si>
  <si>
    <t>Hub post → option page.</t>
  </si>
  <si>
    <t>Comparison post → both options.</t>
  </si>
  <si>
    <t>tooth extraction</t>
  </si>
  <si>
    <t>dental bridge</t>
  </si>
  <si>
    <t>Timeline</t>
  </si>
  <si>
    <t>Priority</t>
  </si>
  <si>
    <t>Content Type</t>
  </si>
  <si>
    <t>Title</t>
  </si>
  <si>
    <t>Target Keyword</t>
  </si>
  <si>
    <t>Business Goal</t>
  </si>
  <si>
    <t>Weeks 1–2</t>
  </si>
  <si>
    <t>Local SEO / GBP</t>
  </si>
  <si>
    <t>Google Business Profile optimization: primary category, services list, photos, Q&amp;A, weekly posts</t>
  </si>
  <si>
    <t>Increase local-pack visibility and calls</t>
  </si>
  <si>
    <t>Page Optimization</t>
  </si>
  <si>
    <t>Homepage rewrite: Dentist in Rainsville, AL (shorter title, keyword H1, service and location copy, FAQ)</t>
  </si>
  <si>
    <t>Increase local leads</t>
  </si>
  <si>
    <t>Implants page: procedure, candidacy, cost range, FAQ and CTA</t>
  </si>
  <si>
    <t>Improve service page rankings</t>
  </si>
  <si>
    <t>Emergency exam page: symptoms list, same-day call CTA, hours</t>
  </si>
  <si>
    <t>Root canals page: process, pain myths, recovery, CTA</t>
  </si>
  <si>
    <t>Dentures page: types, fitting process, insurance mention</t>
  </si>
  <si>
    <t>Meet Dr. Emily Carter: credentials, philosophy, female-dentist positioning, Person schema</t>
  </si>
  <si>
    <t>Build trust / E-E-A-T</t>
  </si>
  <si>
    <t>Weeks 3–4</t>
  </si>
  <si>
    <t>Partial dentures page</t>
  </si>
  <si>
    <t>Crowns page</t>
  </si>
  <si>
    <t>Bridges page</t>
  </si>
  <si>
    <t>Veneers page</t>
  </si>
  <si>
    <t>Fillings page</t>
  </si>
  <si>
    <t>Silver diamine fluoride page</t>
  </si>
  <si>
    <t>Differentiate with a low-competition service</t>
  </si>
  <si>
    <t>Extractions page</t>
  </si>
  <si>
    <t>Dental exams page</t>
  </si>
  <si>
    <t>Attract new patients</t>
  </si>
  <si>
    <t>Digital imaging page</t>
  </si>
  <si>
    <t>Technical / Local SEO</t>
  </si>
  <si>
    <t>Contact page: NAP, hours, map, click-to-call, LocalBusiness + Dentist schema</t>
  </si>
  <si>
    <t>Increase calls and protect brand SERP</t>
  </si>
  <si>
    <t>Month 2</t>
  </si>
  <si>
    <t>New Location Page</t>
  </si>
  <si>
    <t>Dentist in Fort Payne, AL – serving patients from Fort Payne</t>
  </si>
  <si>
    <t>Expand local reach</t>
  </si>
  <si>
    <t>Dentist in Scottsboro, AL – serving patients from Scottsboro</t>
  </si>
  <si>
    <t>New Hub Page</t>
  </si>
  <si>
    <t>Service area hub: DeKalb &amp; Jackson County towns served</t>
  </si>
  <si>
    <t>Capture small-town local searches</t>
  </si>
  <si>
    <t>New Service Page</t>
  </si>
  <si>
    <t>Insurance &amp; payment options (BCBS of Alabama, Southland)</t>
  </si>
  <si>
    <t>Reduce cost friction</t>
  </si>
  <si>
    <t>Family dentistry page</t>
  </si>
  <si>
    <t>Attract families</t>
  </si>
  <si>
    <t>Month 3</t>
  </si>
  <si>
    <t>Blog Post</t>
  </si>
  <si>
    <t>Build topical authority and feed service pages</t>
  </si>
  <si>
    <t>Month 4</t>
  </si>
  <si>
    <t>Month 5</t>
  </si>
  <si>
    <t>Month 6</t>
  </si>
  <si>
    <t>Reason</t>
  </si>
  <si>
    <t>Est. Monthly Volume</t>
  </si>
  <si>
    <t>Est. KD</t>
  </si>
  <si>
    <t>Low KD, very high CPC, urgent intent.</t>
  </si>
  <si>
    <t>Rewrite /emergency-exam with symptoms, hours and a click-to-call CTA; add to GBP services.</t>
  </si>
  <si>
    <t>Highest-value service with low local competition.</t>
  </si>
  <si>
    <t>Expand /implants copy, add FAQ schema, cost-range section and BCBS mention.</t>
  </si>
  <si>
    <t>High CPC and low KD for the local modifier.</t>
  </si>
  <si>
    <t>Optimize title/H1/body for the local keyword; add recovery FAQ.</t>
  </si>
  <si>
    <t>Core money term; current homepage lacks a keyword H1 and body copy.</t>
  </si>
  <si>
    <t>Rewrite homepage title (&lt;60 chars), H1 and add location + service copy.</t>
  </si>
  <si>
    <t>Aging local population; low KD.</t>
  </si>
  <si>
    <t>Optimize /dentures; link to partial dentures and implants.</t>
  </si>
  <si>
    <t>Very low competition.</t>
  </si>
  <si>
    <t>Optimize /partial-dentures with comparison table and FAQ.</t>
  </si>
  <si>
    <t>Differentiator already in title tag; almost no competition.</t>
  </si>
  <si>
    <t>Add a female-dentist section and Person schema on the Dr. Emily Carter page.</t>
  </si>
  <si>
    <t>Niche service few local practices promote.</t>
  </si>
  <si>
    <t>Strengthen /silver-diamine-fluoride; add Q&amp;A and GBP service.</t>
  </si>
  <si>
    <t>Practice is in-network with BCBS of Alabama but no page says so.</t>
  </si>
  <si>
    <t>Create /dental-insurance-payment and link from homepage.</t>
  </si>
  <si>
    <t>Regional modifier with low KD.</t>
  </si>
  <si>
    <t>Create a service-area hub page listing towns served.</t>
  </si>
  <si>
    <t>Largest nearby town with real volume at moderate KD.</t>
  </si>
  <si>
    <t>Build a unique Fort Payne page (drive time, directions, testimonials).</t>
  </si>
  <si>
    <t>Large Jackson County town, moderate KD.</t>
  </si>
  <si>
    <t>Build a unique Scottsboro page.</t>
  </si>
  <si>
    <t>Regional cost query with moderate KD and high CPC.</t>
  </si>
  <si>
    <t>Publish an Alabama implant-cost guide that links to /implants.</t>
  </si>
  <si>
    <t>Low-KD comparison query.</t>
  </si>
  <si>
    <t>Publish a comparison article with a decision table.</t>
  </si>
  <si>
    <t>Informational query with lower KD and a service tie-in.</t>
  </si>
  <si>
    <t>Add an adult SDF FAQ block to the SDF page.</t>
  </si>
  <si>
    <t>Branded, easy win and trust signal.</t>
  </si>
  <si>
    <t>Embed Google reviews and add review schema on /testimonials.</t>
  </si>
  <si>
    <t>Methodology, Scoring Model &amp; Data Notes</t>
  </si>
  <si>
    <t>Priority Score weights (SEO Priority Score = weighted 1–5 score × 20 → 0–100 scale)</t>
  </si>
  <si>
    <t>Factor</t>
  </si>
  <si>
    <t>Weight</t>
  </si>
  <si>
    <t>Basis</t>
  </si>
  <si>
    <t>Business Value</t>
  </si>
  <si>
    <t>Revenue potential of the service (implants, root canals and emergency visits rank highest).</t>
  </si>
  <si>
    <t>Search Demand</t>
  </si>
  <si>
    <t>Looked up from estimated monthly volume (table below).</t>
  </si>
  <si>
    <t>Ranking Opportunity</t>
  </si>
  <si>
    <t>Looked up from estimated keyword difficulty (table below).</t>
  </si>
  <si>
    <t>Intent Strength</t>
  </si>
  <si>
    <t>Looked up from search intent (table below).</t>
  </si>
  <si>
    <t>Conversion Potential</t>
  </si>
  <si>
    <t>Likelihood the searcher books/calls: Transactional 5, Navigational 4, Commercial 3, Informational 1.</t>
  </si>
  <si>
    <t>Topical Importance</t>
  </si>
  <si>
    <t>Role of the keyword in building the service-silo authority.</t>
  </si>
  <si>
    <t>Total (must equal 1.00)</t>
  </si>
  <si>
    <t>Search Demand score – minimum monthly volume → score (calibrated for a small rural market)</t>
  </si>
  <si>
    <t>Min. monthly volume</t>
  </si>
  <si>
    <t>Score</t>
  </si>
  <si>
    <t>Remarks</t>
  </si>
  <si>
    <t>Ranking Opportunity score – minimum KD → score (lower KD = better opportunity)</t>
  </si>
  <si>
    <t>Min. KD</t>
  </si>
  <si>
    <t>Intent Strength score</t>
  </si>
  <si>
    <t>Search intent</t>
  </si>
  <si>
    <t>Priority level – minimum score → level</t>
  </si>
  <si>
    <t>Min. score</t>
  </si>
  <si>
    <t>Level</t>
  </si>
  <si>
    <t>Keyword difficulty label – minimum KD → label</t>
  </si>
  <si>
    <t>Label</t>
  </si>
  <si>
    <t>Easy</t>
  </si>
  <si>
    <t>Moderate</t>
  </si>
  <si>
    <t>Competitive</t>
  </si>
  <si>
    <t>Very Competitive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</si>
</sst>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Arial"/>
    </font>
    <font/>
    <font>
      <b/>
      <sz val="12.0"/>
      <color rgb="FFC9D3E0"/>
      <name val="Arial"/>
    </font>
    <font>
      <b/>
      <sz val="10.0"/>
      <color theme="0"/>
      <name val="Arial"/>
    </font>
    <font>
      <b/>
      <sz val="12.0"/>
      <color rgb="FF0B2545"/>
      <name val="Arial"/>
    </font>
    <font>
      <sz val="10.0"/>
      <color rgb="FF000000"/>
      <name val="Arial"/>
    </font>
    <font>
      <b/>
      <sz val="11.0"/>
      <color rgb="FF0B2545"/>
      <name val="Arial"/>
    </font>
    <font>
      <b/>
      <sz val="10.0"/>
      <color rgb="FF000000"/>
      <name val="Arial"/>
    </font>
    <font>
      <u/>
      <sz val="10.0"/>
      <color rgb="FF0563C1"/>
      <name val="Arial"/>
    </font>
    <font>
      <sz val="9.0"/>
      <color rgb="FF000000"/>
      <name val="Arial"/>
    </font>
    <font>
      <b/>
      <sz val="16.0"/>
      <color rgb="FFFFFFFF"/>
      <name val="Arial"/>
    </font>
    <font>
      <i/>
      <sz val="9.0"/>
      <color rgb="FF44546A"/>
      <name val="Arial"/>
    </font>
    <font>
      <b/>
      <sz val="10.0"/>
      <color rgb="FFFFFFFF"/>
      <name val="Arial"/>
    </font>
    <font>
      <b/>
      <sz val="14.0"/>
      <color rgb="FF0B2545"/>
      <name val="Arial"/>
    </font>
    <font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0F243E"/>
        <bgColor rgb="FF0F243E"/>
      </patternFill>
    </fill>
    <fill>
      <patternFill patternType="solid">
        <fgColor rgb="FF13315C"/>
        <bgColor rgb="FF13315C"/>
      </patternFill>
    </fill>
    <fill>
      <patternFill patternType="solid">
        <fgColor rgb="FFEEF3F9"/>
        <bgColor rgb="FFEEF3F9"/>
      </patternFill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medium">
        <color rgb="FF0B2545"/>
      </bottom>
    </border>
    <border>
      <bottom style="hair">
        <color rgb="FFC9D3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9D3E0"/>
      </bottom>
    </border>
    <border>
      <left style="thin">
        <color rgb="FFC9D3E0"/>
      </left>
      <right style="thin">
        <color rgb="FFC9D3E0"/>
      </right>
      <top style="thin">
        <color rgb="FFC9D3E0"/>
      </top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/>
    </xf>
    <xf borderId="5" fillId="0" fontId="6" numFmtId="0" xfId="0" applyBorder="1" applyFont="1"/>
    <xf borderId="5" fillId="0" fontId="1" numFmtId="0" xfId="0" applyBorder="1" applyFont="1"/>
    <xf borderId="6" fillId="0" fontId="7" numFmtId="0" xfId="0" applyAlignment="1" applyBorder="1" applyFont="1">
      <alignment horizontal="left" shrinkToFit="0" vertical="center" wrapText="1"/>
    </xf>
    <xf borderId="6" fillId="0" fontId="8" numFmtId="1" xfId="0" applyAlignment="1" applyBorder="1" applyFont="1" applyNumberFormat="1">
      <alignment horizontal="right" shrinkToFit="0" vertical="center" wrapText="1"/>
    </xf>
    <xf borderId="6" fillId="0" fontId="8" numFmtId="3" xfId="0" applyAlignment="1" applyBorder="1" applyFont="1" applyNumberFormat="1">
      <alignment horizontal="right" shrinkToFit="0" vertical="center" wrapText="1"/>
    </xf>
    <xf borderId="0" fillId="0" fontId="7" numFmtId="0" xfId="0" applyFont="1"/>
    <xf borderId="0" fillId="0" fontId="9" numFmtId="0" xfId="0" applyAlignment="1" applyFont="1">
      <alignment horizontal="right"/>
    </xf>
    <xf borderId="0" fillId="0" fontId="10" numFmtId="0" xfId="0" applyFont="1"/>
    <xf borderId="0" fillId="0" fontId="11" numFmtId="0" xfId="0" applyAlignment="1" applyFont="1">
      <alignment vertical="top"/>
    </xf>
    <xf borderId="2" fillId="2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shrinkToFit="0" vertical="center" wrapText="1"/>
    </xf>
    <xf borderId="7" fillId="4" fontId="14" numFmtId="0" xfId="0" applyAlignment="1" applyBorder="1" applyFill="1" applyFont="1">
      <alignment horizontal="center" shrinkToFit="0" vertical="center" wrapText="1"/>
    </xf>
    <xf borderId="8" fillId="4" fontId="14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7" fillId="5" fontId="9" numFmtId="0" xfId="0" applyAlignment="1" applyBorder="1" applyFill="1" applyFont="1">
      <alignment horizontal="left" shrinkToFit="0" vertical="center" wrapText="1"/>
    </xf>
    <xf borderId="8" fillId="6" fontId="7" numFmtId="0" xfId="0" applyAlignment="1" applyBorder="1" applyFill="1" applyFont="1">
      <alignment horizontal="left" shrinkToFit="0" vertical="center" wrapText="1"/>
    </xf>
    <xf borderId="11" fillId="0" fontId="15" numFmtId="0" xfId="0" applyAlignment="1" applyBorder="1" applyFont="1">
      <alignment horizontal="center" vertical="center"/>
    </xf>
    <xf borderId="11" fillId="0" fontId="3" numFmtId="0" xfId="0" applyBorder="1" applyFont="1"/>
    <xf borderId="12" fillId="4" fontId="14" numFmtId="0" xfId="0" applyAlignment="1" applyBorder="1" applyFill="1" applyFont="1">
      <alignment horizontal="center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5" fontId="7" numFmtId="0" xfId="0" applyAlignment="1" applyBorder="1" applyFill="1" applyFont="1">
      <alignment horizontal="left" shrinkToFit="0" vertical="center" wrapText="1"/>
    </xf>
    <xf borderId="7" fillId="5" fontId="7" numFmtId="0" xfId="0" applyAlignment="1" applyBorder="1" applyFill="1" applyFont="1">
      <alignment horizontal="center" shrinkToFit="0" vertical="center" wrapText="1"/>
    </xf>
    <xf borderId="7" fillId="0" fontId="16" numFmtId="3" xfId="0" applyAlignment="1" applyBorder="1" applyFont="1" applyNumberFormat="1">
      <alignment horizontal="left" shrinkToFit="0" vertical="center" wrapText="1"/>
    </xf>
    <xf borderId="7" fillId="0" fontId="16" numFmtId="1" xfId="0" applyAlignment="1" applyBorder="1" applyFont="1" applyNumberFormat="1">
      <alignment horizontal="left" shrinkToFit="0" vertical="center" wrapText="1"/>
    </xf>
    <xf borderId="7" fillId="0" fontId="16" numFmtId="164" xfId="0" applyAlignment="1" applyBorder="1" applyFont="1" applyNumberFormat="1">
      <alignment horizontal="left" shrinkToFit="0" vertical="center" wrapText="1"/>
    </xf>
    <xf borderId="7" fillId="0" fontId="16" numFmtId="0" xfId="0" applyAlignment="1" applyBorder="1" applyFont="1">
      <alignment horizontal="left" shrinkToFit="0" vertical="center" wrapText="1"/>
    </xf>
    <xf borderId="7" fillId="5" fontId="16" numFmtId="3" xfId="0" applyAlignment="1" applyBorder="1" applyFill="1" applyFont="1" applyNumberFormat="1">
      <alignment horizontal="left" shrinkToFit="0" vertical="center" wrapText="1"/>
    </xf>
    <xf borderId="7" fillId="5" fontId="16" numFmtId="1" xfId="0" applyAlignment="1" applyBorder="1" applyFill="1" applyFont="1" applyNumberFormat="1">
      <alignment horizontal="left" shrinkToFit="0" vertical="center" wrapText="1"/>
    </xf>
    <xf borderId="7" fillId="5" fontId="16" numFmtId="164" xfId="0" applyAlignment="1" applyBorder="1" applyFill="1" applyFont="1" applyNumberFormat="1">
      <alignment horizontal="left" shrinkToFit="0" vertical="center" wrapText="1"/>
    </xf>
    <xf borderId="7" fillId="5" fontId="16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7" fillId="0" fontId="7" numFmtId="3" xfId="0" applyAlignment="1" applyBorder="1" applyFont="1" applyNumberFormat="1">
      <alignment horizontal="left" shrinkToFit="0" vertical="center" wrapText="1"/>
    </xf>
    <xf borderId="7" fillId="5" fontId="7" numFmtId="3" xfId="0" applyAlignment="1" applyBorder="1" applyFill="1" applyFont="1" applyNumberFormat="1">
      <alignment horizontal="left" shrinkToFit="0" vertical="center" wrapText="1"/>
    </xf>
    <xf borderId="7" fillId="0" fontId="7" numFmtId="3" xfId="0" applyAlignment="1" applyBorder="1" applyFont="1" applyNumberFormat="1">
      <alignment horizontal="center" shrinkToFit="0" vertical="center" wrapText="1"/>
    </xf>
    <xf borderId="7" fillId="0" fontId="7" numFmtId="1" xfId="0" applyAlignment="1" applyBorder="1" applyFont="1" applyNumberFormat="1">
      <alignment horizontal="center" shrinkToFit="0" vertical="center" wrapText="1"/>
    </xf>
    <xf borderId="7" fillId="5" fontId="7" numFmtId="3" xfId="0" applyAlignment="1" applyBorder="1" applyFill="1" applyFont="1" applyNumberFormat="1">
      <alignment horizontal="center" shrinkToFit="0" vertical="center" wrapText="1"/>
    </xf>
    <xf borderId="7" fillId="5" fontId="7" numFmtId="1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7" fillId="0" fontId="16" numFmtId="2" xfId="0" applyAlignment="1" applyBorder="1" applyFont="1" applyNumberFormat="1">
      <alignment horizontal="center" shrinkToFit="0" vertical="center" wrapText="1"/>
    </xf>
    <xf borderId="7" fillId="0" fontId="9" numFmtId="2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vertical="center"/>
    </xf>
    <xf borderId="8" fillId="0" fontId="8" numFmtId="0" xfId="0" applyAlignment="1" applyBorder="1" applyFont="1">
      <alignment horizontal="center" shrinkToFit="0" vertical="center" wrapText="1"/>
    </xf>
    <xf borderId="7" fillId="4" fontId="14" numFmtId="0" xfId="0" applyAlignment="1" applyBorder="1" applyFill="1" applyFont="1">
      <alignment horizontal="center" shrinkToFit="0" vertical="top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top" wrapText="1"/>
    </xf>
    <xf borderId="7" fillId="0" fontId="1" numFmtId="0" xfId="0" applyBorder="1" applyFont="1"/>
    <xf borderId="7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>
        <b/>
        <color rgb="FFFFFFFF"/>
        <name val="Arial"/>
      </font>
      <fill>
        <patternFill patternType="solid">
          <fgColor rgb="FFC00000"/>
          <bgColor rgb="FFC00000"/>
        </patternFill>
      </fill>
      <border/>
    </dxf>
    <dxf>
      <font>
        <b/>
        <name val="Arial"/>
      </font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>
        <b/>
        <color rgb="FF000000"/>
        <name val="Arial"/>
      </font>
      <fill>
        <patternFill patternType="solid">
          <fgColor rgb="FFF4B183"/>
          <bgColor rgb="FFF4B183"/>
        </patternFill>
      </fill>
      <border/>
    </dxf>
    <dxf>
      <font>
        <color rgb="FF000000"/>
        <name val="Arial"/>
      </font>
      <fill>
        <patternFill patternType="solid">
          <fgColor rgb="FFFFE699"/>
          <bgColor rgb="FFFFE6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Keywords by search intent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Cover!$B$21:$B$24</c:f>
            </c:strRef>
          </c:cat>
          <c:val>
            <c:numRef>
              <c:f>Cover!$C$21:$C$24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Keywords by funnel stage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Cover!$B$27:$B$29</c:f>
            </c:strRef>
          </c:cat>
          <c:val>
            <c:numRef>
              <c:f>Cover!$C$27:$C$29</c:f>
              <c:numCache/>
            </c:numRef>
          </c:val>
        </c:ser>
        <c:axId val="1997083900"/>
        <c:axId val="1995782793"/>
      </c:barChart>
      <c:catAx>
        <c:axId val="1997083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5782793"/>
      </c:catAx>
      <c:valAx>
        <c:axId val="1995782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7083900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Keywords by priority level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Cover!$B$32:$B$36</c:f>
            </c:strRef>
          </c:cat>
          <c:val>
            <c:numRef>
              <c:f>Cover!$C$32:$C$36</c:f>
              <c:numCache/>
            </c:numRef>
          </c:val>
        </c:ser>
        <c:axId val="1137741753"/>
        <c:axId val="2099032092"/>
      </c:barChart>
      <c:catAx>
        <c:axId val="1137741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9032092"/>
      </c:catAx>
      <c:valAx>
        <c:axId val="2099032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7741753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3790950" cy="2705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23</xdr:row>
      <xdr:rowOff>0</xdr:rowOff>
    </xdr:from>
    <xdr:ext cx="3790950" cy="2828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276225</xdr:colOff>
      <xdr:row>7</xdr:row>
      <xdr:rowOff>0</xdr:rowOff>
    </xdr:from>
    <xdr:ext cx="3771900" cy="2705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rter_family_dentistry_seo_keyword_research.xlsx" TargetMode="External"/><Relationship Id="rId2" Type="http://schemas.openxmlformats.org/officeDocument/2006/relationships/hyperlink" Target="http://carter_family_dentistry_seo_keyword_research.xlsx" TargetMode="External"/><Relationship Id="rId3" Type="http://schemas.openxmlformats.org/officeDocument/2006/relationships/hyperlink" Target="http://carter_family_dentistry_seo_keyword_research.xlsx" TargetMode="External"/><Relationship Id="rId4" Type="http://schemas.openxmlformats.org/officeDocument/2006/relationships/hyperlink" Target="http://carter_family_dentistry_seo_keyword_research.xlsx" TargetMode="External"/><Relationship Id="rId11" Type="http://schemas.openxmlformats.org/officeDocument/2006/relationships/hyperlink" Target="http://carter_family_dentistry_seo_keyword_research.xlsx" TargetMode="External"/><Relationship Id="rId10" Type="http://schemas.openxmlformats.org/officeDocument/2006/relationships/hyperlink" Target="http://carter_family_dentistry_seo_keyword_research.xlsx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carter_family_dentistry_seo_keyword_research.xlsx" TargetMode="External"/><Relationship Id="rId5" Type="http://schemas.openxmlformats.org/officeDocument/2006/relationships/hyperlink" Target="http://carter_family_dentistry_seo_keyword_research.xlsx" TargetMode="External"/><Relationship Id="rId6" Type="http://schemas.openxmlformats.org/officeDocument/2006/relationships/hyperlink" Target="http://carter_family_dentistry_seo_keyword_research.xlsx" TargetMode="External"/><Relationship Id="rId7" Type="http://schemas.openxmlformats.org/officeDocument/2006/relationships/hyperlink" Target="http://carter_family_dentistry_seo_keyword_research.xlsx" TargetMode="External"/><Relationship Id="rId8" Type="http://schemas.openxmlformats.org/officeDocument/2006/relationships/hyperlink" Target="http://carter_family_dentistry_seo_keyword_research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2545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2.0"/>
    <col customWidth="1" min="3" max="3" width="16.0"/>
    <col customWidth="1" min="4" max="4" width="4.0"/>
    <col customWidth="1" min="5" max="5" width="28.0"/>
    <col customWidth="1" min="6" max="6" width="12.0"/>
    <col customWidth="1" min="7" max="7" width="4.0"/>
    <col customWidth="1" min="8" max="8" width="30.0"/>
    <col customWidth="1" min="9" max="9" width="12.0"/>
    <col customWidth="1" min="10" max="10" width="3.0"/>
    <col customWidth="1" min="11" max="26" width="8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</row>
    <row r="2" ht="36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ht="21.75" customHeight="1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</row>
    <row r="5">
      <c r="A5" s="7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8">
      <c r="B8" s="9" t="s">
        <v>3</v>
      </c>
      <c r="C8" s="10"/>
    </row>
    <row r="9" ht="19.5" customHeight="1">
      <c r="B9" s="11" t="s">
        <v>4</v>
      </c>
      <c r="C9" s="12">
        <f>COUNTA('Keyword Master Database'!$A$2:$A$137)</f>
        <v>136</v>
      </c>
    </row>
    <row r="10" ht="19.5" customHeight="1">
      <c r="B10" s="11" t="s">
        <v>5</v>
      </c>
      <c r="C10" s="12">
        <f>COUNTA('Keyword Clusters'!A2:A20)</f>
        <v>19</v>
      </c>
    </row>
    <row r="11" ht="19.5" customHeight="1">
      <c r="B11" s="11" t="s">
        <v>6</v>
      </c>
      <c r="C11" s="13">
        <f>SUMIFS('Keyword Master Database'!$H$2:$H$137,'Keyword Master Database'!$Z$2:$Z$137,"&lt;&gt;National")</f>
        <v>2570</v>
      </c>
    </row>
    <row r="12" ht="19.5" customHeight="1">
      <c r="B12" s="11" t="s">
        <v>7</v>
      </c>
      <c r="C12" s="12">
        <f>COUNTIF('Keyword Master Database'!$Z$2:$Z$137,"National")</f>
        <v>77</v>
      </c>
    </row>
    <row r="13" ht="19.5" customHeight="1">
      <c r="B13" s="11" t="s">
        <v>8</v>
      </c>
      <c r="C13" s="12">
        <f>ROUND(SUMPRODUCT(('Keyword Master Database'!$Z$2:$Z$137&lt;&gt;"National")*'Keyword Master Database'!$I$2:$I$137)/(COUNTA('Keyword Master Database'!$A$2:$A$137)-COUNTIF('Keyword Master Database'!$Z$2:$Z$137,"National")),0)</f>
        <v>11</v>
      </c>
    </row>
    <row r="14" ht="19.5" customHeight="1">
      <c r="B14" s="11" t="s">
        <v>9</v>
      </c>
      <c r="C14" s="12">
        <f>COUNTIF('Keyword Master Database'!$V$2:$V$137,"Critical")+COUNTIF('Keyword Master Database'!$V$2:$V$137,"High")</f>
        <v>70</v>
      </c>
    </row>
    <row r="15" ht="19.5" customHeight="1">
      <c r="B15" s="11" t="s">
        <v>10</v>
      </c>
      <c r="C15" s="12">
        <f>COUNTA('Keyword Mapping'!A2:A51)</f>
        <v>50</v>
      </c>
    </row>
    <row r="16" ht="19.5" customHeight="1">
      <c r="B16" s="11" t="s">
        <v>11</v>
      </c>
      <c r="C16" s="12">
        <f>COUNTIF('Keyword Mapping'!G2:G51,"New")</f>
        <v>31</v>
      </c>
    </row>
    <row r="17" ht="19.5" customHeight="1">
      <c r="B17" s="11" t="s">
        <v>12</v>
      </c>
      <c r="C17" s="12">
        <f>COUNTA('Internal Linking Blueprint'!A2:A129)</f>
        <v>128</v>
      </c>
    </row>
    <row r="18" ht="19.5" customHeight="1">
      <c r="B18" s="11" t="s">
        <v>13</v>
      </c>
      <c r="C18" s="12">
        <f>COUNTA('Content Roadmap'!A2:A49)</f>
        <v>48</v>
      </c>
    </row>
    <row r="20">
      <c r="B20" s="9" t="s">
        <v>14</v>
      </c>
      <c r="C20" s="10"/>
    </row>
    <row r="21" ht="15.75" customHeight="1">
      <c r="B21" s="14" t="s">
        <v>15</v>
      </c>
      <c r="C21" s="15">
        <f>COUNTIF('Keyword Master Database'!$E$2:$E$137,B21)</f>
        <v>30</v>
      </c>
    </row>
    <row r="22" ht="15.75" customHeight="1">
      <c r="B22" s="14" t="s">
        <v>16</v>
      </c>
      <c r="C22" s="15">
        <f>COUNTIF('Keyword Master Database'!$E$2:$E$137,B22)</f>
        <v>9</v>
      </c>
    </row>
    <row r="23" ht="15.75" customHeight="1">
      <c r="B23" s="14" t="s">
        <v>17</v>
      </c>
      <c r="C23" s="15">
        <f>COUNTIF('Keyword Master Database'!$E$2:$E$137,B23)</f>
        <v>37</v>
      </c>
    </row>
    <row r="24" ht="15.75" customHeight="1">
      <c r="B24" s="14" t="s">
        <v>18</v>
      </c>
      <c r="C24" s="15">
        <f>COUNTIF('Keyword Master Database'!$E$2:$E$137,B24)</f>
        <v>60</v>
      </c>
    </row>
    <row r="25" ht="15.75" customHeight="1"/>
    <row r="26" ht="15.75" customHeight="1">
      <c r="B26" s="9" t="s">
        <v>19</v>
      </c>
      <c r="C26" s="10"/>
    </row>
    <row r="27" ht="15.75" customHeight="1">
      <c r="B27" s="14" t="s">
        <v>20</v>
      </c>
      <c r="C27" s="15">
        <f>COUNTIF('Keyword Master Database'!$F$2:$F$137,B27)</f>
        <v>30</v>
      </c>
    </row>
    <row r="28" ht="15.75" customHeight="1">
      <c r="B28" s="14" t="s">
        <v>21</v>
      </c>
      <c r="C28" s="15">
        <f>COUNTIF('Keyword Master Database'!$F$2:$F$137,B28)</f>
        <v>41</v>
      </c>
    </row>
    <row r="29" ht="15.75" customHeight="1">
      <c r="B29" s="14" t="s">
        <v>22</v>
      </c>
      <c r="C29" s="15">
        <f>COUNTIF('Keyword Master Database'!$F$2:$F$137,B29)</f>
        <v>65</v>
      </c>
    </row>
    <row r="30" ht="15.75" customHeight="1"/>
    <row r="31" ht="15.75" customHeight="1">
      <c r="B31" s="9" t="s">
        <v>23</v>
      </c>
      <c r="C31" s="10"/>
    </row>
    <row r="32" ht="15.75" customHeight="1">
      <c r="B32" s="14" t="s">
        <v>24</v>
      </c>
      <c r="C32" s="15">
        <f>COUNTIF('Keyword Master Database'!$V$2:$V$137,B32)</f>
        <v>6</v>
      </c>
    </row>
    <row r="33" ht="15.75" customHeight="1">
      <c r="B33" s="14" t="s">
        <v>25</v>
      </c>
      <c r="C33" s="15">
        <f>COUNTIF('Keyword Master Database'!$V$2:$V$137,B33)</f>
        <v>64</v>
      </c>
    </row>
    <row r="34" ht="15.75" customHeight="1">
      <c r="B34" s="14" t="s">
        <v>26</v>
      </c>
      <c r="C34" s="15">
        <f>COUNTIF('Keyword Master Database'!$V$2:$V$137,B34)</f>
        <v>42</v>
      </c>
    </row>
    <row r="35" ht="15.75" customHeight="1">
      <c r="B35" s="14" t="s">
        <v>27</v>
      </c>
      <c r="C35" s="15">
        <f>COUNTIF('Keyword Master Database'!$V$2:$V$137,B35)</f>
        <v>24</v>
      </c>
    </row>
    <row r="36" ht="15.75" customHeight="1">
      <c r="B36" s="14" t="s">
        <v>28</v>
      </c>
      <c r="C36" s="15">
        <f>COUNTIF('Keyword Master Database'!$V$2:$V$137,B36)</f>
        <v>0</v>
      </c>
    </row>
    <row r="37" ht="15.75" customHeight="1"/>
    <row r="38" ht="15.75" customHeight="1">
      <c r="B38" s="9" t="s">
        <v>29</v>
      </c>
      <c r="C38" s="10"/>
    </row>
    <row r="39" ht="15.75" customHeight="1">
      <c r="B39" s="16" t="s">
        <v>30</v>
      </c>
      <c r="C39" s="17" t="s">
        <v>31</v>
      </c>
    </row>
    <row r="40" ht="15.75" customHeight="1">
      <c r="B40" s="16" t="s">
        <v>32</v>
      </c>
      <c r="C40" s="17" t="s">
        <v>33</v>
      </c>
    </row>
    <row r="41" ht="15.75" customHeight="1">
      <c r="B41" s="16" t="s">
        <v>34</v>
      </c>
      <c r="C41" s="17" t="s">
        <v>35</v>
      </c>
    </row>
    <row r="42" ht="15.75" customHeight="1">
      <c r="B42" s="16" t="s">
        <v>36</v>
      </c>
      <c r="C42" s="17" t="s">
        <v>37</v>
      </c>
    </row>
    <row r="43" ht="15.75" customHeight="1">
      <c r="B43" s="16" t="s">
        <v>38</v>
      </c>
      <c r="C43" s="17" t="s">
        <v>39</v>
      </c>
    </row>
    <row r="44" ht="15.75" customHeight="1">
      <c r="B44" s="16" t="s">
        <v>40</v>
      </c>
      <c r="C44" s="17" t="s">
        <v>41</v>
      </c>
    </row>
    <row r="45" ht="15.75" customHeight="1">
      <c r="B45" s="16" t="s">
        <v>42</v>
      </c>
      <c r="C45" s="17" t="s">
        <v>43</v>
      </c>
    </row>
    <row r="46" ht="15.75" customHeight="1">
      <c r="B46" s="16" t="s">
        <v>44</v>
      </c>
      <c r="C46" s="17" t="s">
        <v>45</v>
      </c>
    </row>
    <row r="47" ht="15.75" customHeight="1">
      <c r="B47" s="16" t="s">
        <v>46</v>
      </c>
      <c r="C47" s="17" t="s">
        <v>47</v>
      </c>
    </row>
    <row r="48" ht="15.75" customHeight="1">
      <c r="B48" s="16" t="s">
        <v>48</v>
      </c>
      <c r="C48" s="17" t="s">
        <v>49</v>
      </c>
    </row>
    <row r="49" ht="15.75" customHeight="1">
      <c r="B49" s="16" t="s">
        <v>50</v>
      </c>
      <c r="C49" s="17" t="s">
        <v>51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43:I43"/>
    <mergeCell ref="C44:I44"/>
    <mergeCell ref="C45:I45"/>
    <mergeCell ref="C46:I46"/>
    <mergeCell ref="C47:I47"/>
    <mergeCell ref="C48:I48"/>
    <mergeCell ref="C49:I49"/>
    <mergeCell ref="A2:Q2"/>
    <mergeCell ref="A3:Q3"/>
    <mergeCell ref="A5:Q5"/>
    <mergeCell ref="C39:I39"/>
    <mergeCell ref="C40:I40"/>
    <mergeCell ref="C41:I41"/>
    <mergeCell ref="C42:I42"/>
  </mergeCells>
  <hyperlinks>
    <hyperlink r:id="rId1" location="'Business%20Analysis'!A1" ref="B39"/>
    <hyperlink r:id="rId2" location="'Keyword%20Master%20Database'!A1" ref="B40"/>
    <hyperlink r:id="rId3" location="'Keyword%20Clusters'!A1" ref="B41"/>
    <hyperlink r:id="rId4" location="'Competitor%20Analysis'!A1" ref="B42"/>
    <hyperlink r:id="rId5" location="'Keyword%20Mapping'!A1" ref="B43"/>
    <hyperlink r:id="rId6" location="'Topical%20Authority%20Map'!A1" ref="B44"/>
    <hyperlink r:id="rId7" location="'SEO%20Silo%20Architecture'!A1" ref="B45"/>
    <hyperlink r:id="rId8" location="'Internal%20Linking%20Blueprint'!A1" ref="B46"/>
    <hyperlink r:id="rId9" location="'Content%20Roadmap'!A1" ref="B47"/>
    <hyperlink r:id="rId10" location="'Quick%20Wins'!A1" ref="B48"/>
    <hyperlink r:id="rId11" location="'Methodology'!A1" ref="B49"/>
  </hyperlinks>
  <printOptions/>
  <pageMargins bottom="1.0" footer="0.0" header="0.0" left="0.75" right="0.75" top="1.0"/>
  <pageSetup paperSize="9" orientation="portrait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315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62.0"/>
    <col customWidth="1" min="3" max="3" width="56.0"/>
    <col customWidth="1" min="4" max="4" width="34.0"/>
    <col customWidth="1" min="5" max="26" width="8.71"/>
  </cols>
  <sheetData>
    <row r="1" ht="31.5" customHeight="1">
      <c r="A1" s="18" t="s">
        <v>30</v>
      </c>
      <c r="B1" s="4"/>
      <c r="C1" s="4"/>
      <c r="D1" s="5"/>
    </row>
    <row r="2" ht="27.75" customHeight="1">
      <c r="A2" s="19"/>
    </row>
    <row r="4" ht="33.75" customHeight="1">
      <c r="A4" s="20" t="s">
        <v>52</v>
      </c>
      <c r="B4" s="21" t="s">
        <v>53</v>
      </c>
      <c r="C4" s="22"/>
      <c r="D4" s="23"/>
    </row>
    <row r="5" ht="19.5" customHeight="1">
      <c r="A5" s="24" t="s">
        <v>54</v>
      </c>
      <c r="B5" s="25" t="s">
        <v>55</v>
      </c>
      <c r="C5" s="22"/>
      <c r="D5" s="23"/>
    </row>
    <row r="6" ht="19.5" customHeight="1">
      <c r="A6" s="24" t="s">
        <v>56</v>
      </c>
      <c r="B6" s="25" t="s">
        <v>57</v>
      </c>
      <c r="C6" s="22"/>
      <c r="D6" s="23"/>
    </row>
    <row r="7" ht="19.5" customHeight="1">
      <c r="A7" s="24" t="s">
        <v>58</v>
      </c>
      <c r="B7" s="25" t="s">
        <v>59</v>
      </c>
      <c r="C7" s="22"/>
      <c r="D7" s="23"/>
    </row>
    <row r="8" ht="19.5" customHeight="1">
      <c r="A8" s="24" t="s">
        <v>60</v>
      </c>
      <c r="B8" s="25" t="s">
        <v>61</v>
      </c>
      <c r="C8" s="22"/>
      <c r="D8" s="23"/>
    </row>
    <row r="9" ht="19.5" customHeight="1">
      <c r="A9" s="24" t="s">
        <v>62</v>
      </c>
      <c r="B9" s="25" t="s">
        <v>63</v>
      </c>
      <c r="C9" s="22"/>
      <c r="D9" s="23"/>
    </row>
    <row r="10" ht="33.75" customHeight="1">
      <c r="A10" s="24" t="s">
        <v>64</v>
      </c>
      <c r="B10" s="25" t="s">
        <v>65</v>
      </c>
      <c r="C10" s="22"/>
      <c r="D10" s="23"/>
    </row>
    <row r="11" ht="43.5" customHeight="1">
      <c r="A11" s="24" t="s">
        <v>66</v>
      </c>
      <c r="B11" s="25" t="s">
        <v>67</v>
      </c>
      <c r="C11" s="22"/>
      <c r="D11" s="23"/>
    </row>
    <row r="12" ht="19.5" customHeight="1">
      <c r="A12" s="24" t="s">
        <v>68</v>
      </c>
      <c r="B12" s="25" t="s">
        <v>69</v>
      </c>
      <c r="C12" s="22"/>
      <c r="D12" s="23"/>
    </row>
    <row r="13" ht="19.5" customHeight="1">
      <c r="A13" s="24" t="s">
        <v>70</v>
      </c>
      <c r="B13" s="25" t="s">
        <v>71</v>
      </c>
      <c r="C13" s="22"/>
      <c r="D13" s="23"/>
    </row>
    <row r="14" ht="19.5" customHeight="1">
      <c r="A14" s="24" t="s">
        <v>72</v>
      </c>
      <c r="B14" s="25" t="s">
        <v>73</v>
      </c>
      <c r="C14" s="22"/>
      <c r="D14" s="23"/>
    </row>
    <row r="15" ht="19.5" customHeight="1">
      <c r="A15" s="24" t="s">
        <v>74</v>
      </c>
      <c r="B15" s="25" t="s">
        <v>75</v>
      </c>
      <c r="C15" s="22"/>
      <c r="D15" s="23"/>
    </row>
    <row r="17" ht="29.25" customHeight="1">
      <c r="A17" s="26" t="s">
        <v>76</v>
      </c>
      <c r="B17" s="27"/>
      <c r="C17" s="27"/>
      <c r="D17" s="27"/>
    </row>
    <row r="18" ht="33.75" customHeight="1">
      <c r="A18" s="28" t="s">
        <v>77</v>
      </c>
      <c r="B18" s="28" t="s">
        <v>78</v>
      </c>
      <c r="C18" s="28" t="s">
        <v>79</v>
      </c>
      <c r="D18" s="28" t="s">
        <v>80</v>
      </c>
    </row>
    <row r="19" ht="60.75" customHeight="1">
      <c r="A19" s="29" t="s">
        <v>81</v>
      </c>
      <c r="B19" s="30" t="s">
        <v>82</v>
      </c>
      <c r="C19" s="30" t="s">
        <v>83</v>
      </c>
      <c r="D19" s="31" t="s">
        <v>84</v>
      </c>
    </row>
    <row r="20" ht="47.25" customHeight="1">
      <c r="A20" s="24" t="s">
        <v>85</v>
      </c>
      <c r="B20" s="32" t="s">
        <v>86</v>
      </c>
      <c r="C20" s="32" t="s">
        <v>87</v>
      </c>
      <c r="D20" s="33" t="s">
        <v>84</v>
      </c>
    </row>
    <row r="21" ht="49.5" customHeight="1">
      <c r="A21" s="29" t="s">
        <v>88</v>
      </c>
      <c r="B21" s="30" t="s">
        <v>89</v>
      </c>
      <c r="C21" s="30" t="s">
        <v>90</v>
      </c>
      <c r="D21" s="31" t="s">
        <v>91</v>
      </c>
    </row>
    <row r="22" ht="45.75" customHeight="1">
      <c r="A22" s="24" t="s">
        <v>92</v>
      </c>
      <c r="B22" s="32" t="s">
        <v>93</v>
      </c>
      <c r="C22" s="32" t="s">
        <v>94</v>
      </c>
      <c r="D22" s="33" t="s">
        <v>95</v>
      </c>
    </row>
    <row r="23" ht="51.0" customHeight="1">
      <c r="A23" s="29" t="s">
        <v>96</v>
      </c>
      <c r="B23" s="30" t="s">
        <v>97</v>
      </c>
      <c r="C23" s="30" t="s">
        <v>98</v>
      </c>
      <c r="D23" s="31" t="s">
        <v>91</v>
      </c>
    </row>
    <row r="24" ht="51.0" customHeight="1">
      <c r="A24" s="24" t="s">
        <v>99</v>
      </c>
      <c r="B24" s="32" t="s">
        <v>100</v>
      </c>
      <c r="C24" s="32" t="s">
        <v>101</v>
      </c>
      <c r="D24" s="33" t="s">
        <v>102</v>
      </c>
    </row>
    <row r="25" ht="33.75" customHeight="1">
      <c r="A25" s="29" t="s">
        <v>103</v>
      </c>
      <c r="B25" s="30" t="s">
        <v>104</v>
      </c>
      <c r="C25" s="30" t="s">
        <v>105</v>
      </c>
      <c r="D25" s="31" t="s">
        <v>91</v>
      </c>
    </row>
    <row r="26" ht="35.25" customHeight="1">
      <c r="A26" s="24" t="s">
        <v>106</v>
      </c>
      <c r="B26" s="32" t="s">
        <v>107</v>
      </c>
      <c r="C26" s="32" t="s">
        <v>108</v>
      </c>
      <c r="D26" s="33" t="s">
        <v>95</v>
      </c>
    </row>
    <row r="27" ht="37.5" customHeight="1">
      <c r="A27" s="29" t="s">
        <v>109</v>
      </c>
      <c r="B27" s="30" t="s">
        <v>110</v>
      </c>
      <c r="C27" s="30" t="s">
        <v>111</v>
      </c>
      <c r="D27" s="31" t="s">
        <v>95</v>
      </c>
    </row>
    <row r="28" ht="37.5" customHeight="1">
      <c r="A28" s="24" t="s">
        <v>112</v>
      </c>
      <c r="B28" s="32" t="s">
        <v>113</v>
      </c>
      <c r="C28" s="32" t="s">
        <v>114</v>
      </c>
      <c r="D28" s="33" t="s">
        <v>102</v>
      </c>
    </row>
    <row r="29" ht="38.25" customHeight="1">
      <c r="A29" s="29" t="s">
        <v>115</v>
      </c>
      <c r="B29" s="30" t="s">
        <v>116</v>
      </c>
      <c r="C29" s="30" t="s">
        <v>117</v>
      </c>
      <c r="D29" s="31" t="s">
        <v>84</v>
      </c>
    </row>
    <row r="30" ht="37.5" customHeight="1">
      <c r="A30" s="24" t="s">
        <v>118</v>
      </c>
      <c r="B30" s="32" t="s">
        <v>119</v>
      </c>
      <c r="C30" s="32" t="s">
        <v>120</v>
      </c>
      <c r="D30" s="33" t="s">
        <v>84</v>
      </c>
    </row>
    <row r="31" ht="37.5" customHeight="1">
      <c r="A31" s="29" t="s">
        <v>121</v>
      </c>
      <c r="B31" s="30" t="s">
        <v>122</v>
      </c>
      <c r="C31" s="30" t="s">
        <v>123</v>
      </c>
      <c r="D31" s="31" t="s">
        <v>124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9:D9"/>
    <mergeCell ref="B10:D10"/>
    <mergeCell ref="B11:D11"/>
    <mergeCell ref="B12:D12"/>
    <mergeCell ref="B13:D13"/>
    <mergeCell ref="B14:D14"/>
    <mergeCell ref="B15:D15"/>
    <mergeCell ref="A17:D17"/>
    <mergeCell ref="A1:D1"/>
    <mergeCell ref="A2:D2"/>
    <mergeCell ref="B4:D4"/>
    <mergeCell ref="B5:D5"/>
    <mergeCell ref="B6:D6"/>
    <mergeCell ref="B7:D7"/>
    <mergeCell ref="B8:D8"/>
  </mergeCells>
  <conditionalFormatting sqref="D19:D31">
    <cfRule type="cellIs" dxfId="0" priority="1" operator="equal">
      <formula>"Gap"</formula>
    </cfRule>
  </conditionalFormatting>
  <conditionalFormatting sqref="D19:D31">
    <cfRule type="cellIs" dxfId="0" priority="2" operator="equal">
      <formula>"Risk"</formula>
    </cfRule>
  </conditionalFormatting>
  <conditionalFormatting sqref="D19:D31">
    <cfRule type="cellIs" dxfId="1" priority="3" operator="equal">
      <formula>"Strength"</formula>
    </cfRule>
  </conditionalFormatting>
  <conditionalFormatting sqref="D19:D31">
    <cfRule type="cellIs" dxfId="2" priority="4" operator="equal">
      <formula>"Opportunity"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FB2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2" width="15.0"/>
    <col customWidth="1" min="3" max="3" width="26.0"/>
    <col customWidth="1" min="4" max="4" width="30.0"/>
    <col customWidth="1" min="5" max="5" width="15.0"/>
    <col customWidth="1" min="6" max="6" width="10.0"/>
    <col customWidth="1" min="7" max="7" width="12.0"/>
    <col customWidth="1" min="8" max="8" width="17.71"/>
    <col customWidth="1" min="9" max="9" width="8.0"/>
    <col customWidth="1" min="10" max="10" width="22.0"/>
    <col customWidth="1" min="11" max="11" width="11.0"/>
    <col customWidth="1" min="12" max="12" width="22.0"/>
    <col customWidth="1" min="13" max="13" width="14.0"/>
    <col customWidth="1" min="14" max="14" width="44.0"/>
    <col customWidth="1" min="15" max="15" width="12.0"/>
    <col customWidth="1" min="16" max="16" width="10.0"/>
    <col customWidth="1" min="17" max="17" width="12.57"/>
    <col customWidth="1" min="18" max="18" width="10.0"/>
    <col customWidth="1" min="19" max="19" width="14.43"/>
    <col customWidth="1" min="20" max="20" width="12.71"/>
    <col customWidth="1" min="21" max="21" width="13.29"/>
    <col customWidth="1" min="22" max="22" width="12.0"/>
    <col customWidth="1" min="23" max="23" width="44.0"/>
    <col customWidth="1" min="24" max="24" width="16.14"/>
    <col customWidth="1" min="25" max="25" width="52.0"/>
    <col customWidth="1" min="26" max="26" width="11.0"/>
  </cols>
  <sheetData>
    <row r="1">
      <c r="A1" s="20" t="s">
        <v>125</v>
      </c>
      <c r="B1" s="20" t="s">
        <v>126</v>
      </c>
      <c r="C1" s="20" t="s">
        <v>127</v>
      </c>
      <c r="D1" s="20" t="s">
        <v>128</v>
      </c>
      <c r="E1" s="20" t="s">
        <v>129</v>
      </c>
      <c r="F1" s="20" t="s">
        <v>130</v>
      </c>
      <c r="G1" s="20" t="s">
        <v>131</v>
      </c>
      <c r="H1" s="20" t="s">
        <v>132</v>
      </c>
      <c r="I1" s="20" t="s">
        <v>133</v>
      </c>
      <c r="J1" s="20" t="s">
        <v>134</v>
      </c>
      <c r="K1" s="20" t="s">
        <v>135</v>
      </c>
      <c r="L1" s="20" t="s">
        <v>136</v>
      </c>
      <c r="M1" s="20" t="s">
        <v>137</v>
      </c>
      <c r="N1" s="20" t="s">
        <v>138</v>
      </c>
      <c r="O1" s="20" t="s">
        <v>139</v>
      </c>
      <c r="P1" s="20" t="s">
        <v>140</v>
      </c>
      <c r="Q1" s="20" t="s">
        <v>141</v>
      </c>
      <c r="R1" s="20" t="s">
        <v>142</v>
      </c>
      <c r="S1" s="20" t="s">
        <v>143</v>
      </c>
      <c r="T1" s="20" t="s">
        <v>144</v>
      </c>
      <c r="U1" s="20" t="s">
        <v>145</v>
      </c>
      <c r="V1" s="20" t="s">
        <v>146</v>
      </c>
      <c r="W1" s="20" t="s">
        <v>147</v>
      </c>
      <c r="X1" s="20" t="s">
        <v>148</v>
      </c>
      <c r="Y1" s="20" t="s">
        <v>149</v>
      </c>
      <c r="Z1" s="20" t="s">
        <v>150</v>
      </c>
    </row>
    <row r="2">
      <c r="A2" s="30" t="s">
        <v>151</v>
      </c>
      <c r="B2" s="30" t="s">
        <v>152</v>
      </c>
      <c r="C2" s="30" t="s">
        <v>153</v>
      </c>
      <c r="D2" s="30" t="s">
        <v>154</v>
      </c>
      <c r="E2" s="30" t="s">
        <v>16</v>
      </c>
      <c r="F2" s="30" t="s">
        <v>22</v>
      </c>
      <c r="G2" s="30" t="s">
        <v>155</v>
      </c>
      <c r="H2" s="34">
        <v>90.0</v>
      </c>
      <c r="I2" s="35">
        <v>3.0</v>
      </c>
      <c r="J2" s="30" t="s">
        <v>156</v>
      </c>
      <c r="K2" s="36">
        <v>1.2</v>
      </c>
      <c r="L2" s="30" t="s">
        <v>157</v>
      </c>
      <c r="M2" s="30" t="str">
        <f>LOOKUP(I2,Methodology!$B$46:$B$49,Methodology!$C$46:$C$49)</f>
        <v>Easy</v>
      </c>
      <c r="N2" s="30" t="s">
        <v>158</v>
      </c>
      <c r="O2" s="37">
        <v>4.0</v>
      </c>
      <c r="P2" s="30">
        <f>LOOKUP(H2,Methodology!$B$15:$B$19,Methodology!$C$15:$C$19)</f>
        <v>3</v>
      </c>
      <c r="Q2" s="30">
        <f>LOOKUP(I2,Methodology!$B$23:$B$27,Methodology!$C$23:$C$27)</f>
        <v>5</v>
      </c>
      <c r="R2" s="30">
        <f t="array" ref="R2">INDEX(Methodology!$C$31:$C$34,MATCH(E2,Methodology!$B$31:$B$34,0))</f>
        <v>3</v>
      </c>
      <c r="S2" s="37">
        <v>4.0</v>
      </c>
      <c r="T2" s="37">
        <v>3.0</v>
      </c>
      <c r="U2" s="29">
        <f>ROUND((O2*Methodology!$C$5+P2*Methodology!$C$6+Q2*Methodology!$C$7+R2*Methodology!$C$8+S2*Methodology!$C$9+T2*Methodology!$C$10)*20,0)</f>
        <v>76</v>
      </c>
      <c r="V2" s="30" t="str">
        <f>LOOKUP(U2,Methodology!$B$38:$B$42,Methodology!$C$38:$C$42)</f>
        <v>High</v>
      </c>
      <c r="W2" s="30" t="s">
        <v>159</v>
      </c>
      <c r="X2" s="30" t="s">
        <v>160</v>
      </c>
      <c r="Y2" s="30" t="s">
        <v>161</v>
      </c>
      <c r="Z2" s="30" t="s">
        <v>162</v>
      </c>
    </row>
    <row r="3">
      <c r="A3" s="32" t="s">
        <v>163</v>
      </c>
      <c r="B3" s="32" t="s">
        <v>152</v>
      </c>
      <c r="C3" s="32" t="s">
        <v>153</v>
      </c>
      <c r="D3" s="32" t="s">
        <v>154</v>
      </c>
      <c r="E3" s="32" t="s">
        <v>16</v>
      </c>
      <c r="F3" s="32" t="s">
        <v>22</v>
      </c>
      <c r="G3" s="32" t="s">
        <v>164</v>
      </c>
      <c r="H3" s="38">
        <v>480.0</v>
      </c>
      <c r="I3" s="39">
        <v>8.0</v>
      </c>
      <c r="J3" s="32" t="s">
        <v>156</v>
      </c>
      <c r="K3" s="40">
        <v>2.1</v>
      </c>
      <c r="L3" s="32" t="s">
        <v>157</v>
      </c>
      <c r="M3" s="32" t="str">
        <f>LOOKUP(I3,Methodology!$B$46:$B$49,Methodology!$C$46:$C$49)</f>
        <v>Easy</v>
      </c>
      <c r="N3" s="32" t="s">
        <v>158</v>
      </c>
      <c r="O3" s="41">
        <v>4.0</v>
      </c>
      <c r="P3" s="32">
        <f>LOOKUP(H3,Methodology!$B$15:$B$19,Methodology!$C$15:$C$19)</f>
        <v>4</v>
      </c>
      <c r="Q3" s="32">
        <f>LOOKUP(I3,Methodology!$B$23:$B$27,Methodology!$C$23:$C$27)</f>
        <v>5</v>
      </c>
      <c r="R3" s="32">
        <f t="array" ref="R3">INDEX(Methodology!$C$31:$C$34,MATCH(E3,Methodology!$B$31:$B$34,0))</f>
        <v>3</v>
      </c>
      <c r="S3" s="41">
        <v>4.0</v>
      </c>
      <c r="T3" s="41">
        <v>3.0</v>
      </c>
      <c r="U3" s="24">
        <f>ROUND((O3*Methodology!$C$5+P3*Methodology!$C$6+Q3*Methodology!$C$7+R3*Methodology!$C$8+S3*Methodology!$C$9+T3*Methodology!$C$10)*20,0)</f>
        <v>79</v>
      </c>
      <c r="V3" s="32" t="str">
        <f>LOOKUP(U3,Methodology!$B$38:$B$42,Methodology!$C$38:$C$42)</f>
        <v>High</v>
      </c>
      <c r="W3" s="32" t="s">
        <v>159</v>
      </c>
      <c r="X3" s="32" t="s">
        <v>165</v>
      </c>
      <c r="Y3" s="32" t="s">
        <v>166</v>
      </c>
      <c r="Z3" s="32" t="s">
        <v>167</v>
      </c>
    </row>
    <row r="4">
      <c r="A4" s="30" t="s">
        <v>168</v>
      </c>
      <c r="B4" s="30" t="s">
        <v>152</v>
      </c>
      <c r="C4" s="30" t="s">
        <v>153</v>
      </c>
      <c r="D4" s="30" t="s">
        <v>154</v>
      </c>
      <c r="E4" s="30" t="s">
        <v>16</v>
      </c>
      <c r="F4" s="30" t="s">
        <v>22</v>
      </c>
      <c r="G4" s="30" t="s">
        <v>164</v>
      </c>
      <c r="H4" s="34">
        <v>40.0</v>
      </c>
      <c r="I4" s="35">
        <v>1.0</v>
      </c>
      <c r="J4" s="30" t="s">
        <v>156</v>
      </c>
      <c r="K4" s="36">
        <v>0.5</v>
      </c>
      <c r="L4" s="30" t="s">
        <v>157</v>
      </c>
      <c r="M4" s="30" t="str">
        <f>LOOKUP(I4,Methodology!$B$46:$B$49,Methodology!$C$46:$C$49)</f>
        <v>Easy</v>
      </c>
      <c r="N4" s="30" t="s">
        <v>158</v>
      </c>
      <c r="O4" s="37">
        <v>4.0</v>
      </c>
      <c r="P4" s="30">
        <f>LOOKUP(H4,Methodology!$B$15:$B$19,Methodology!$C$15:$C$19)</f>
        <v>2</v>
      </c>
      <c r="Q4" s="30">
        <f>LOOKUP(I4,Methodology!$B$23:$B$27,Methodology!$C$23:$C$27)</f>
        <v>5</v>
      </c>
      <c r="R4" s="30">
        <f t="array" ref="R4">INDEX(Methodology!$C$31:$C$34,MATCH(E4,Methodology!$B$31:$B$34,0))</f>
        <v>3</v>
      </c>
      <c r="S4" s="37">
        <v>4.0</v>
      </c>
      <c r="T4" s="37">
        <v>3.0</v>
      </c>
      <c r="U4" s="29">
        <f>ROUND((O4*Methodology!$C$5+P4*Methodology!$C$6+Q4*Methodology!$C$7+R4*Methodology!$C$8+S4*Methodology!$C$9+T4*Methodology!$C$10)*20,0)</f>
        <v>73</v>
      </c>
      <c r="V4" s="30" t="str">
        <f>LOOKUP(U4,Methodology!$B$38:$B$42,Methodology!$C$38:$C$42)</f>
        <v>Medium</v>
      </c>
      <c r="W4" s="30" t="s">
        <v>159</v>
      </c>
      <c r="X4" s="30" t="s">
        <v>160</v>
      </c>
      <c r="Y4" s="30"/>
      <c r="Z4" s="30" t="s">
        <v>162</v>
      </c>
    </row>
    <row r="5">
      <c r="A5" s="32" t="s">
        <v>169</v>
      </c>
      <c r="B5" s="32" t="s">
        <v>152</v>
      </c>
      <c r="C5" s="32" t="s">
        <v>153</v>
      </c>
      <c r="D5" s="32" t="s">
        <v>154</v>
      </c>
      <c r="E5" s="32" t="s">
        <v>16</v>
      </c>
      <c r="F5" s="32" t="s">
        <v>21</v>
      </c>
      <c r="G5" s="32" t="s">
        <v>164</v>
      </c>
      <c r="H5" s="38">
        <v>40.0</v>
      </c>
      <c r="I5" s="39">
        <v>6.0</v>
      </c>
      <c r="J5" s="32" t="s">
        <v>156</v>
      </c>
      <c r="K5" s="40">
        <v>1.6</v>
      </c>
      <c r="L5" s="32" t="s">
        <v>157</v>
      </c>
      <c r="M5" s="32" t="str">
        <f>LOOKUP(I5,Methodology!$B$46:$B$49,Methodology!$C$46:$C$49)</f>
        <v>Easy</v>
      </c>
      <c r="N5" s="32" t="s">
        <v>158</v>
      </c>
      <c r="O5" s="41">
        <v>4.0</v>
      </c>
      <c r="P5" s="32">
        <f>LOOKUP(H5,Methodology!$B$15:$B$19,Methodology!$C$15:$C$19)</f>
        <v>2</v>
      </c>
      <c r="Q5" s="32">
        <f>LOOKUP(I5,Methodology!$B$23:$B$27,Methodology!$C$23:$C$27)</f>
        <v>5</v>
      </c>
      <c r="R5" s="32">
        <f t="array" ref="R5">INDEX(Methodology!$C$31:$C$34,MATCH(E5,Methodology!$B$31:$B$34,0))</f>
        <v>3</v>
      </c>
      <c r="S5" s="41">
        <v>4.0</v>
      </c>
      <c r="T5" s="41">
        <v>3.0</v>
      </c>
      <c r="U5" s="24">
        <f>ROUND((O5*Methodology!$C$5+P5*Methodology!$C$6+Q5*Methodology!$C$7+R5*Methodology!$C$8+S5*Methodology!$C$9+T5*Methodology!$C$10)*20,0)</f>
        <v>73</v>
      </c>
      <c r="V5" s="32" t="str">
        <f>LOOKUP(U5,Methodology!$B$38:$B$42,Methodology!$C$38:$C$42)</f>
        <v>Medium</v>
      </c>
      <c r="W5" s="32" t="s">
        <v>170</v>
      </c>
      <c r="X5" s="32" t="s">
        <v>165</v>
      </c>
      <c r="Y5" s="32" t="s">
        <v>171</v>
      </c>
      <c r="Z5" s="32" t="s">
        <v>162</v>
      </c>
    </row>
    <row r="6">
      <c r="A6" s="30" t="s">
        <v>172</v>
      </c>
      <c r="B6" s="30" t="s">
        <v>152</v>
      </c>
      <c r="C6" s="30" t="s">
        <v>153</v>
      </c>
      <c r="D6" s="30" t="s">
        <v>154</v>
      </c>
      <c r="E6" s="30" t="s">
        <v>16</v>
      </c>
      <c r="F6" s="30" t="s">
        <v>22</v>
      </c>
      <c r="G6" s="30" t="s">
        <v>164</v>
      </c>
      <c r="H6" s="34">
        <v>30.0</v>
      </c>
      <c r="I6" s="35">
        <v>2.0</v>
      </c>
      <c r="J6" s="30" t="s">
        <v>156</v>
      </c>
      <c r="K6" s="36">
        <v>1.1</v>
      </c>
      <c r="L6" s="30" t="s">
        <v>157</v>
      </c>
      <c r="M6" s="30" t="str">
        <f>LOOKUP(I6,Methodology!$B$46:$B$49,Methodology!$C$46:$C$49)</f>
        <v>Easy</v>
      </c>
      <c r="N6" s="30" t="s">
        <v>158</v>
      </c>
      <c r="O6" s="37">
        <v>4.0</v>
      </c>
      <c r="P6" s="30">
        <f>LOOKUP(H6,Methodology!$B$15:$B$19,Methodology!$C$15:$C$19)</f>
        <v>2</v>
      </c>
      <c r="Q6" s="30">
        <f>LOOKUP(I6,Methodology!$B$23:$B$27,Methodology!$C$23:$C$27)</f>
        <v>5</v>
      </c>
      <c r="R6" s="30">
        <f t="array" ref="R6">INDEX(Methodology!$C$31:$C$34,MATCH(E6,Methodology!$B$31:$B$34,0))</f>
        <v>3</v>
      </c>
      <c r="S6" s="37">
        <v>4.0</v>
      </c>
      <c r="T6" s="37">
        <v>3.0</v>
      </c>
      <c r="U6" s="29">
        <f>ROUND((O6*Methodology!$C$5+P6*Methodology!$C$6+Q6*Methodology!$C$7+R6*Methodology!$C$8+S6*Methodology!$C$9+T6*Methodology!$C$10)*20,0)</f>
        <v>73</v>
      </c>
      <c r="V6" s="30" t="str">
        <f>LOOKUP(U6,Methodology!$B$38:$B$42,Methodology!$C$38:$C$42)</f>
        <v>Medium</v>
      </c>
      <c r="W6" s="30" t="s">
        <v>173</v>
      </c>
      <c r="X6" s="30" t="s">
        <v>165</v>
      </c>
      <c r="Y6" s="30" t="s">
        <v>174</v>
      </c>
      <c r="Z6" s="30" t="s">
        <v>162</v>
      </c>
    </row>
    <row r="7">
      <c r="A7" s="32" t="s">
        <v>175</v>
      </c>
      <c r="B7" s="32" t="s">
        <v>152</v>
      </c>
      <c r="C7" s="32" t="s">
        <v>153</v>
      </c>
      <c r="D7" s="32" t="s">
        <v>154</v>
      </c>
      <c r="E7" s="32" t="s">
        <v>16</v>
      </c>
      <c r="F7" s="32" t="s">
        <v>22</v>
      </c>
      <c r="G7" s="32" t="s">
        <v>164</v>
      </c>
      <c r="H7" s="38">
        <v>30.0</v>
      </c>
      <c r="I7" s="39">
        <v>2.0</v>
      </c>
      <c r="J7" s="32" t="s">
        <v>156</v>
      </c>
      <c r="K7" s="40">
        <v>0.9</v>
      </c>
      <c r="L7" s="32" t="s">
        <v>157</v>
      </c>
      <c r="M7" s="32" t="str">
        <f>LOOKUP(I7,Methodology!$B$46:$B$49,Methodology!$C$46:$C$49)</f>
        <v>Easy</v>
      </c>
      <c r="N7" s="32" t="s">
        <v>158</v>
      </c>
      <c r="O7" s="41">
        <v>4.0</v>
      </c>
      <c r="P7" s="32">
        <f>LOOKUP(H7,Methodology!$B$15:$B$19,Methodology!$C$15:$C$19)</f>
        <v>2</v>
      </c>
      <c r="Q7" s="32">
        <f>LOOKUP(I7,Methodology!$B$23:$B$27,Methodology!$C$23:$C$27)</f>
        <v>5</v>
      </c>
      <c r="R7" s="32">
        <f t="array" ref="R7">INDEX(Methodology!$C$31:$C$34,MATCH(E7,Methodology!$B$31:$B$34,0))</f>
        <v>3</v>
      </c>
      <c r="S7" s="41">
        <v>4.0</v>
      </c>
      <c r="T7" s="41">
        <v>3.0</v>
      </c>
      <c r="U7" s="24">
        <f>ROUND((O7*Methodology!$C$5+P7*Methodology!$C$6+Q7*Methodology!$C$7+R7*Methodology!$C$8+S7*Methodology!$C$9+T7*Methodology!$C$10)*20,0)</f>
        <v>73</v>
      </c>
      <c r="V7" s="32" t="str">
        <f>LOOKUP(U7,Methodology!$B$38:$B$42,Methodology!$C$38:$C$42)</f>
        <v>Medium</v>
      </c>
      <c r="W7" s="32" t="s">
        <v>173</v>
      </c>
      <c r="X7" s="32" t="s">
        <v>165</v>
      </c>
      <c r="Y7" s="32" t="s">
        <v>176</v>
      </c>
      <c r="Z7" s="32" t="s">
        <v>162</v>
      </c>
    </row>
    <row r="8">
      <c r="A8" s="30" t="s">
        <v>177</v>
      </c>
      <c r="B8" s="30" t="s">
        <v>152</v>
      </c>
      <c r="C8" s="30" t="s">
        <v>153</v>
      </c>
      <c r="D8" s="30" t="s">
        <v>154</v>
      </c>
      <c r="E8" s="30" t="s">
        <v>16</v>
      </c>
      <c r="F8" s="30" t="s">
        <v>21</v>
      </c>
      <c r="G8" s="30" t="s">
        <v>164</v>
      </c>
      <c r="H8" s="34">
        <v>20.0</v>
      </c>
      <c r="I8" s="35">
        <v>4.0</v>
      </c>
      <c r="J8" s="30" t="s">
        <v>156</v>
      </c>
      <c r="K8" s="36">
        <v>1.8</v>
      </c>
      <c r="L8" s="30" t="s">
        <v>157</v>
      </c>
      <c r="M8" s="30" t="str">
        <f>LOOKUP(I8,Methodology!$B$46:$B$49,Methodology!$C$46:$C$49)</f>
        <v>Easy</v>
      </c>
      <c r="N8" s="30" t="s">
        <v>158</v>
      </c>
      <c r="O8" s="37">
        <v>4.0</v>
      </c>
      <c r="P8" s="30">
        <f>LOOKUP(H8,Methodology!$B$15:$B$19,Methodology!$C$15:$C$19)</f>
        <v>2</v>
      </c>
      <c r="Q8" s="30">
        <f>LOOKUP(I8,Methodology!$B$23:$B$27,Methodology!$C$23:$C$27)</f>
        <v>5</v>
      </c>
      <c r="R8" s="30">
        <f t="array" ref="R8">INDEX(Methodology!$C$31:$C$34,MATCH(E8,Methodology!$B$31:$B$34,0))</f>
        <v>3</v>
      </c>
      <c r="S8" s="37">
        <v>4.0</v>
      </c>
      <c r="T8" s="37">
        <v>3.0</v>
      </c>
      <c r="U8" s="29">
        <f>ROUND((O8*Methodology!$C$5+P8*Methodology!$C$6+Q8*Methodology!$C$7+R8*Methodology!$C$8+S8*Methodology!$C$9+T8*Methodology!$C$10)*20,0)</f>
        <v>73</v>
      </c>
      <c r="V8" s="30" t="str">
        <f>LOOKUP(U8,Methodology!$B$38:$B$42,Methodology!$C$38:$C$42)</f>
        <v>Medium</v>
      </c>
      <c r="W8" s="30" t="s">
        <v>178</v>
      </c>
      <c r="X8" s="30" t="s">
        <v>179</v>
      </c>
      <c r="Y8" s="30"/>
      <c r="Z8" s="30" t="s">
        <v>162</v>
      </c>
    </row>
    <row r="9">
      <c r="A9" s="32" t="s">
        <v>180</v>
      </c>
      <c r="B9" s="32" t="s">
        <v>181</v>
      </c>
      <c r="C9" s="32" t="s">
        <v>182</v>
      </c>
      <c r="D9" s="32" t="s">
        <v>183</v>
      </c>
      <c r="E9" s="32" t="s">
        <v>18</v>
      </c>
      <c r="F9" s="32" t="s">
        <v>22</v>
      </c>
      <c r="G9" s="32" t="s">
        <v>155</v>
      </c>
      <c r="H9" s="38">
        <v>110.0</v>
      </c>
      <c r="I9" s="39">
        <v>14.0</v>
      </c>
      <c r="J9" s="32" t="s">
        <v>156</v>
      </c>
      <c r="K9" s="40">
        <v>6.4</v>
      </c>
      <c r="L9" s="32" t="s">
        <v>157</v>
      </c>
      <c r="M9" s="32" t="str">
        <f>LOOKUP(I9,Methodology!$B$46:$B$49,Methodology!$C$46:$C$49)</f>
        <v>Easy</v>
      </c>
      <c r="N9" s="32" t="s">
        <v>184</v>
      </c>
      <c r="O9" s="41">
        <v>5.0</v>
      </c>
      <c r="P9" s="32">
        <f>LOOKUP(H9,Methodology!$B$15:$B$19,Methodology!$C$15:$C$19)</f>
        <v>3</v>
      </c>
      <c r="Q9" s="32">
        <f>LOOKUP(I9,Methodology!$B$23:$B$27,Methodology!$C$23:$C$27)</f>
        <v>5</v>
      </c>
      <c r="R9" s="32">
        <f t="array" ref="R9">INDEX(Methodology!$C$31:$C$34,MATCH(E9,Methodology!$B$31:$B$34,0))</f>
        <v>5</v>
      </c>
      <c r="S9" s="41">
        <v>5.0</v>
      </c>
      <c r="T9" s="41">
        <v>5.0</v>
      </c>
      <c r="U9" s="24">
        <f>ROUND((O9*Methodology!$C$5+P9*Methodology!$C$6+Q9*Methodology!$C$7+R9*Methodology!$C$8+S9*Methodology!$C$9+T9*Methodology!$C$10)*20,0)</f>
        <v>94</v>
      </c>
      <c r="V9" s="32" t="str">
        <f>LOOKUP(U9,Methodology!$B$38:$B$42,Methodology!$C$38:$C$42)</f>
        <v>Critical</v>
      </c>
      <c r="W9" s="32" t="s">
        <v>159</v>
      </c>
      <c r="X9" s="32" t="s">
        <v>165</v>
      </c>
      <c r="Y9" s="32" t="s">
        <v>185</v>
      </c>
      <c r="Z9" s="32" t="s">
        <v>162</v>
      </c>
    </row>
    <row r="10">
      <c r="A10" s="30" t="s">
        <v>186</v>
      </c>
      <c r="B10" s="30" t="s">
        <v>62</v>
      </c>
      <c r="C10" s="30" t="s">
        <v>182</v>
      </c>
      <c r="D10" s="30" t="s">
        <v>183</v>
      </c>
      <c r="E10" s="30" t="s">
        <v>18</v>
      </c>
      <c r="F10" s="30" t="s">
        <v>22</v>
      </c>
      <c r="G10" s="30" t="s">
        <v>164</v>
      </c>
      <c r="H10" s="34">
        <v>40.0</v>
      </c>
      <c r="I10" s="35">
        <v>12.0</v>
      </c>
      <c r="J10" s="30" t="s">
        <v>156</v>
      </c>
      <c r="K10" s="36">
        <v>6.1</v>
      </c>
      <c r="L10" s="30" t="s">
        <v>157</v>
      </c>
      <c r="M10" s="30" t="str">
        <f>LOOKUP(I10,Methodology!$B$46:$B$49,Methodology!$C$46:$C$49)</f>
        <v>Easy</v>
      </c>
      <c r="N10" s="30" t="s">
        <v>184</v>
      </c>
      <c r="O10" s="37">
        <v>5.0</v>
      </c>
      <c r="P10" s="30">
        <f>LOOKUP(H10,Methodology!$B$15:$B$19,Methodology!$C$15:$C$19)</f>
        <v>2</v>
      </c>
      <c r="Q10" s="30">
        <f>LOOKUP(I10,Methodology!$B$23:$B$27,Methodology!$C$23:$C$27)</f>
        <v>5</v>
      </c>
      <c r="R10" s="30">
        <f t="array" ref="R10">INDEX(Methodology!$C$31:$C$34,MATCH(E10,Methodology!$B$31:$B$34,0))</f>
        <v>5</v>
      </c>
      <c r="S10" s="37">
        <v>5.0</v>
      </c>
      <c r="T10" s="37">
        <v>5.0</v>
      </c>
      <c r="U10" s="29">
        <f>ROUND((O10*Methodology!$C$5+P10*Methodology!$C$6+Q10*Methodology!$C$7+R10*Methodology!$C$8+S10*Methodology!$C$9+T10*Methodology!$C$10)*20,0)</f>
        <v>91</v>
      </c>
      <c r="V10" s="30" t="str">
        <f>LOOKUP(U10,Methodology!$B$38:$B$42,Methodology!$C$38:$C$42)</f>
        <v>Critical</v>
      </c>
      <c r="W10" s="30" t="s">
        <v>159</v>
      </c>
      <c r="X10" s="30" t="s">
        <v>165</v>
      </c>
      <c r="Y10" s="30"/>
      <c r="Z10" s="30" t="s">
        <v>162</v>
      </c>
    </row>
    <row r="11">
      <c r="A11" s="32" t="s">
        <v>187</v>
      </c>
      <c r="B11" s="32" t="s">
        <v>62</v>
      </c>
      <c r="C11" s="32" t="s">
        <v>182</v>
      </c>
      <c r="D11" s="32" t="s">
        <v>183</v>
      </c>
      <c r="E11" s="32" t="s">
        <v>18</v>
      </c>
      <c r="F11" s="32" t="s">
        <v>22</v>
      </c>
      <c r="G11" s="32" t="s">
        <v>164</v>
      </c>
      <c r="H11" s="38">
        <v>30.0</v>
      </c>
      <c r="I11" s="39">
        <v>10.0</v>
      </c>
      <c r="J11" s="32" t="s">
        <v>156</v>
      </c>
      <c r="K11" s="40">
        <v>5.4</v>
      </c>
      <c r="L11" s="32" t="s">
        <v>157</v>
      </c>
      <c r="M11" s="32" t="str">
        <f>LOOKUP(I11,Methodology!$B$46:$B$49,Methodology!$C$46:$C$49)</f>
        <v>Easy</v>
      </c>
      <c r="N11" s="32" t="s">
        <v>184</v>
      </c>
      <c r="O11" s="41">
        <v>5.0</v>
      </c>
      <c r="P11" s="32">
        <f>LOOKUP(H11,Methodology!$B$15:$B$19,Methodology!$C$15:$C$19)</f>
        <v>2</v>
      </c>
      <c r="Q11" s="32">
        <f>LOOKUP(I11,Methodology!$B$23:$B$27,Methodology!$C$23:$C$27)</f>
        <v>5</v>
      </c>
      <c r="R11" s="32">
        <f t="array" ref="R11">INDEX(Methodology!$C$31:$C$34,MATCH(E11,Methodology!$B$31:$B$34,0))</f>
        <v>5</v>
      </c>
      <c r="S11" s="41">
        <v>5.0</v>
      </c>
      <c r="T11" s="41">
        <v>5.0</v>
      </c>
      <c r="U11" s="24">
        <f>ROUND((O11*Methodology!$C$5+P11*Methodology!$C$6+Q11*Methodology!$C$7+R11*Methodology!$C$8+S11*Methodology!$C$9+T11*Methodology!$C$10)*20,0)</f>
        <v>91</v>
      </c>
      <c r="V11" s="32" t="str">
        <f>LOOKUP(U11,Methodology!$B$38:$B$42,Methodology!$C$38:$C$42)</f>
        <v>Critical</v>
      </c>
      <c r="W11" s="32" t="s">
        <v>159</v>
      </c>
      <c r="X11" s="32" t="s">
        <v>165</v>
      </c>
      <c r="Y11" s="32"/>
      <c r="Z11" s="32" t="s">
        <v>162</v>
      </c>
    </row>
    <row r="12">
      <c r="A12" s="30" t="s">
        <v>188</v>
      </c>
      <c r="B12" s="30" t="s">
        <v>189</v>
      </c>
      <c r="C12" s="30" t="s">
        <v>182</v>
      </c>
      <c r="D12" s="30" t="s">
        <v>183</v>
      </c>
      <c r="E12" s="30" t="s">
        <v>18</v>
      </c>
      <c r="F12" s="30" t="s">
        <v>22</v>
      </c>
      <c r="G12" s="30" t="s">
        <v>164</v>
      </c>
      <c r="H12" s="34">
        <v>30.0</v>
      </c>
      <c r="I12" s="35">
        <v>11.0</v>
      </c>
      <c r="J12" s="30" t="s">
        <v>156</v>
      </c>
      <c r="K12" s="36">
        <v>6.0</v>
      </c>
      <c r="L12" s="30" t="s">
        <v>157</v>
      </c>
      <c r="M12" s="30" t="str">
        <f>LOOKUP(I12,Methodology!$B$46:$B$49,Methodology!$C$46:$C$49)</f>
        <v>Easy</v>
      </c>
      <c r="N12" s="30" t="s">
        <v>184</v>
      </c>
      <c r="O12" s="37">
        <v>5.0</v>
      </c>
      <c r="P12" s="30">
        <f>LOOKUP(H12,Methodology!$B$15:$B$19,Methodology!$C$15:$C$19)</f>
        <v>2</v>
      </c>
      <c r="Q12" s="30">
        <f>LOOKUP(I12,Methodology!$B$23:$B$27,Methodology!$C$23:$C$27)</f>
        <v>5</v>
      </c>
      <c r="R12" s="30">
        <f t="array" ref="R12">INDEX(Methodology!$C$31:$C$34,MATCH(E12,Methodology!$B$31:$B$34,0))</f>
        <v>5</v>
      </c>
      <c r="S12" s="37">
        <v>5.0</v>
      </c>
      <c r="T12" s="37">
        <v>5.0</v>
      </c>
      <c r="U12" s="29">
        <f>ROUND((O12*Methodology!$C$5+P12*Methodology!$C$6+Q12*Methodology!$C$7+R12*Methodology!$C$8+S12*Methodology!$C$9+T12*Methodology!$C$10)*20,0)</f>
        <v>91</v>
      </c>
      <c r="V12" s="30" t="str">
        <f>LOOKUP(U12,Methodology!$B$38:$B$42,Methodology!$C$38:$C$42)</f>
        <v>Critical</v>
      </c>
      <c r="W12" s="30" t="s">
        <v>190</v>
      </c>
      <c r="X12" s="30" t="s">
        <v>165</v>
      </c>
      <c r="Y12" s="30" t="s">
        <v>191</v>
      </c>
      <c r="Z12" s="30" t="s">
        <v>162</v>
      </c>
    </row>
    <row r="13">
      <c r="A13" s="32" t="s">
        <v>192</v>
      </c>
      <c r="B13" s="32" t="s">
        <v>17</v>
      </c>
      <c r="C13" s="32" t="s">
        <v>182</v>
      </c>
      <c r="D13" s="32" t="s">
        <v>183</v>
      </c>
      <c r="E13" s="32" t="s">
        <v>17</v>
      </c>
      <c r="F13" s="32" t="s">
        <v>21</v>
      </c>
      <c r="G13" s="32" t="s">
        <v>164</v>
      </c>
      <c r="H13" s="38">
        <v>20.0</v>
      </c>
      <c r="I13" s="39">
        <v>13.0</v>
      </c>
      <c r="J13" s="32" t="s">
        <v>156</v>
      </c>
      <c r="K13" s="40">
        <v>5.8</v>
      </c>
      <c r="L13" s="32" t="s">
        <v>157</v>
      </c>
      <c r="M13" s="32" t="str">
        <f>LOOKUP(I13,Methodology!$B$46:$B$49,Methodology!$C$46:$C$49)</f>
        <v>Easy</v>
      </c>
      <c r="N13" s="32" t="s">
        <v>184</v>
      </c>
      <c r="O13" s="41">
        <v>5.0</v>
      </c>
      <c r="P13" s="32">
        <f>LOOKUP(H13,Methodology!$B$15:$B$19,Methodology!$C$15:$C$19)</f>
        <v>2</v>
      </c>
      <c r="Q13" s="32">
        <f>LOOKUP(I13,Methodology!$B$23:$B$27,Methodology!$C$23:$C$27)</f>
        <v>5</v>
      </c>
      <c r="R13" s="32">
        <f t="array" ref="R13">INDEX(Methodology!$C$31:$C$34,MATCH(E13,Methodology!$B$31:$B$34,0))</f>
        <v>4</v>
      </c>
      <c r="S13" s="41">
        <v>3.0</v>
      </c>
      <c r="T13" s="41">
        <v>5.0</v>
      </c>
      <c r="U13" s="24">
        <f>ROUND((O13*Methodology!$C$5+P13*Methodology!$C$6+Q13*Methodology!$C$7+R13*Methodology!$C$8+S13*Methodology!$C$9+T13*Methodology!$C$10)*20,0)</f>
        <v>82</v>
      </c>
      <c r="V13" s="32" t="str">
        <f>LOOKUP(U13,Methodology!$B$38:$B$42,Methodology!$C$38:$C$42)</f>
        <v>High</v>
      </c>
      <c r="W13" s="32" t="s">
        <v>159</v>
      </c>
      <c r="X13" s="32" t="s">
        <v>165</v>
      </c>
      <c r="Y13" s="32" t="s">
        <v>193</v>
      </c>
      <c r="Z13" s="32" t="s">
        <v>162</v>
      </c>
    </row>
    <row r="14">
      <c r="A14" s="30" t="s">
        <v>194</v>
      </c>
      <c r="B14" s="30" t="s">
        <v>17</v>
      </c>
      <c r="C14" s="30" t="s">
        <v>182</v>
      </c>
      <c r="D14" s="30" t="s">
        <v>183</v>
      </c>
      <c r="E14" s="30" t="s">
        <v>17</v>
      </c>
      <c r="F14" s="30" t="s">
        <v>21</v>
      </c>
      <c r="G14" s="30" t="s">
        <v>164</v>
      </c>
      <c r="H14" s="34">
        <v>20.0</v>
      </c>
      <c r="I14" s="35">
        <v>10.0</v>
      </c>
      <c r="J14" s="30" t="s">
        <v>156</v>
      </c>
      <c r="K14" s="36">
        <v>5.1</v>
      </c>
      <c r="L14" s="30" t="s">
        <v>157</v>
      </c>
      <c r="M14" s="30" t="str">
        <f>LOOKUP(I14,Methodology!$B$46:$B$49,Methodology!$C$46:$C$49)</f>
        <v>Easy</v>
      </c>
      <c r="N14" s="30" t="s">
        <v>195</v>
      </c>
      <c r="O14" s="37">
        <v>5.0</v>
      </c>
      <c r="P14" s="30">
        <f>LOOKUP(H14,Methodology!$B$15:$B$19,Methodology!$C$15:$C$19)</f>
        <v>2</v>
      </c>
      <c r="Q14" s="30">
        <f>LOOKUP(I14,Methodology!$B$23:$B$27,Methodology!$C$23:$C$27)</f>
        <v>5</v>
      </c>
      <c r="R14" s="30">
        <f t="array" ref="R14">INDEX(Methodology!$C$31:$C$34,MATCH(E14,Methodology!$B$31:$B$34,0))</f>
        <v>4</v>
      </c>
      <c r="S14" s="37">
        <v>3.0</v>
      </c>
      <c r="T14" s="37">
        <v>5.0</v>
      </c>
      <c r="U14" s="29">
        <f>ROUND((O14*Methodology!$C$5+P14*Methodology!$C$6+Q14*Methodology!$C$7+R14*Methodology!$C$8+S14*Methodology!$C$9+T14*Methodology!$C$10)*20,0)</f>
        <v>82</v>
      </c>
      <c r="V14" s="30" t="str">
        <f>LOOKUP(U14,Methodology!$B$38:$B$42,Methodology!$C$38:$C$42)</f>
        <v>High</v>
      </c>
      <c r="W14" s="30" t="s">
        <v>178</v>
      </c>
      <c r="X14" s="30" t="s">
        <v>179</v>
      </c>
      <c r="Y14" s="30" t="s">
        <v>196</v>
      </c>
      <c r="Z14" s="30" t="s">
        <v>162</v>
      </c>
    </row>
    <row r="15">
      <c r="A15" s="32" t="s">
        <v>197</v>
      </c>
      <c r="B15" s="32" t="s">
        <v>18</v>
      </c>
      <c r="C15" s="32" t="s">
        <v>182</v>
      </c>
      <c r="D15" s="32" t="s">
        <v>183</v>
      </c>
      <c r="E15" s="32" t="s">
        <v>18</v>
      </c>
      <c r="F15" s="32" t="s">
        <v>22</v>
      </c>
      <c r="G15" s="32" t="s">
        <v>164</v>
      </c>
      <c r="H15" s="38">
        <v>20.0</v>
      </c>
      <c r="I15" s="39">
        <v>9.0</v>
      </c>
      <c r="J15" s="32" t="s">
        <v>156</v>
      </c>
      <c r="K15" s="40">
        <v>6.5</v>
      </c>
      <c r="L15" s="32" t="s">
        <v>157</v>
      </c>
      <c r="M15" s="32" t="str">
        <f>LOOKUP(I15,Methodology!$B$46:$B$49,Methodology!$C$46:$C$49)</f>
        <v>Easy</v>
      </c>
      <c r="N15" s="32" t="s">
        <v>184</v>
      </c>
      <c r="O15" s="41">
        <v>5.0</v>
      </c>
      <c r="P15" s="32">
        <f>LOOKUP(H15,Methodology!$B$15:$B$19,Methodology!$C$15:$C$19)</f>
        <v>2</v>
      </c>
      <c r="Q15" s="32">
        <f>LOOKUP(I15,Methodology!$B$23:$B$27,Methodology!$C$23:$C$27)</f>
        <v>5</v>
      </c>
      <c r="R15" s="32">
        <f t="array" ref="R15">INDEX(Methodology!$C$31:$C$34,MATCH(E15,Methodology!$B$31:$B$34,0))</f>
        <v>5</v>
      </c>
      <c r="S15" s="41">
        <v>5.0</v>
      </c>
      <c r="T15" s="41">
        <v>5.0</v>
      </c>
      <c r="U15" s="24">
        <f>ROUND((O15*Methodology!$C$5+P15*Methodology!$C$6+Q15*Methodology!$C$7+R15*Methodology!$C$8+S15*Methodology!$C$9+T15*Methodology!$C$10)*20,0)</f>
        <v>91</v>
      </c>
      <c r="V15" s="32" t="str">
        <f>LOOKUP(U15,Methodology!$B$38:$B$42,Methodology!$C$38:$C$42)</f>
        <v>Critical</v>
      </c>
      <c r="W15" s="32" t="s">
        <v>198</v>
      </c>
      <c r="X15" s="32" t="s">
        <v>165</v>
      </c>
      <c r="Y15" s="32"/>
      <c r="Z15" s="32" t="s">
        <v>162</v>
      </c>
    </row>
    <row r="16">
      <c r="A16" s="30" t="s">
        <v>199</v>
      </c>
      <c r="B16" s="30" t="s">
        <v>18</v>
      </c>
      <c r="C16" s="30" t="s">
        <v>182</v>
      </c>
      <c r="D16" s="30" t="s">
        <v>183</v>
      </c>
      <c r="E16" s="30" t="s">
        <v>18</v>
      </c>
      <c r="F16" s="30" t="s">
        <v>22</v>
      </c>
      <c r="G16" s="30" t="s">
        <v>164</v>
      </c>
      <c r="H16" s="34">
        <v>20.0</v>
      </c>
      <c r="I16" s="35">
        <v>9.0</v>
      </c>
      <c r="J16" s="30" t="s">
        <v>156</v>
      </c>
      <c r="K16" s="36">
        <v>6.5</v>
      </c>
      <c r="L16" s="30" t="s">
        <v>157</v>
      </c>
      <c r="M16" s="30" t="str">
        <f>LOOKUP(I16,Methodology!$B$46:$B$49,Methodology!$C$46:$C$49)</f>
        <v>Easy</v>
      </c>
      <c r="N16" s="30" t="s">
        <v>184</v>
      </c>
      <c r="O16" s="37">
        <v>5.0</v>
      </c>
      <c r="P16" s="30">
        <f>LOOKUP(H16,Methodology!$B$15:$B$19,Methodology!$C$15:$C$19)</f>
        <v>2</v>
      </c>
      <c r="Q16" s="30">
        <f>LOOKUP(I16,Methodology!$B$23:$B$27,Methodology!$C$23:$C$27)</f>
        <v>5</v>
      </c>
      <c r="R16" s="30">
        <f t="array" ref="R16">INDEX(Methodology!$C$31:$C$34,MATCH(E16,Methodology!$B$31:$B$34,0))</f>
        <v>5</v>
      </c>
      <c r="S16" s="37">
        <v>5.0</v>
      </c>
      <c r="T16" s="37">
        <v>5.0</v>
      </c>
      <c r="U16" s="29">
        <f>ROUND((O16*Methodology!$C$5+P16*Methodology!$C$6+Q16*Methodology!$C$7+R16*Methodology!$C$8+S16*Methodology!$C$9+T16*Methodology!$C$10)*20,0)</f>
        <v>91</v>
      </c>
      <c r="V16" s="30" t="str">
        <f>LOOKUP(U16,Methodology!$B$38:$B$42,Methodology!$C$38:$C$42)</f>
        <v>Critical</v>
      </c>
      <c r="W16" s="30" t="s">
        <v>198</v>
      </c>
      <c r="X16" s="30" t="s">
        <v>165</v>
      </c>
      <c r="Y16" s="30"/>
      <c r="Z16" s="30" t="s">
        <v>162</v>
      </c>
    </row>
    <row r="17">
      <c r="A17" s="32" t="s">
        <v>200</v>
      </c>
      <c r="B17" s="32" t="s">
        <v>18</v>
      </c>
      <c r="C17" s="32" t="s">
        <v>182</v>
      </c>
      <c r="D17" s="32" t="s">
        <v>183</v>
      </c>
      <c r="E17" s="32" t="s">
        <v>18</v>
      </c>
      <c r="F17" s="32" t="s">
        <v>22</v>
      </c>
      <c r="G17" s="32" t="s">
        <v>164</v>
      </c>
      <c r="H17" s="38">
        <v>1220000.0</v>
      </c>
      <c r="I17" s="39">
        <v>78.0</v>
      </c>
      <c r="J17" s="32" t="s">
        <v>156</v>
      </c>
      <c r="K17" s="40">
        <v>5.8</v>
      </c>
      <c r="L17" s="32" t="s">
        <v>157</v>
      </c>
      <c r="M17" s="32" t="str">
        <f>LOOKUP(I17,Methodology!$B$46:$B$49,Methodology!$C$46:$C$49)</f>
        <v>Very Competitive</v>
      </c>
      <c r="N17" s="32" t="s">
        <v>184</v>
      </c>
      <c r="O17" s="41">
        <v>5.0</v>
      </c>
      <c r="P17" s="32">
        <f>LOOKUP(H17,Methodology!$B$15:$B$19,Methodology!$C$15:$C$19)</f>
        <v>5</v>
      </c>
      <c r="Q17" s="32">
        <f>LOOKUP(I17,Methodology!$B$23:$B$27,Methodology!$C$23:$C$27)</f>
        <v>1</v>
      </c>
      <c r="R17" s="32">
        <f t="array" ref="R17">INDEX(Methodology!$C$31:$C$34,MATCH(E17,Methodology!$B$31:$B$34,0))</f>
        <v>5</v>
      </c>
      <c r="S17" s="41">
        <v>5.0</v>
      </c>
      <c r="T17" s="41">
        <v>5.0</v>
      </c>
      <c r="U17" s="24">
        <f>ROUND((O17*Methodology!$C$5+P17*Methodology!$C$6+Q17*Methodology!$C$7+R17*Methodology!$C$8+S17*Methodology!$C$9+T17*Methodology!$C$10)*20,0)</f>
        <v>84</v>
      </c>
      <c r="V17" s="32" t="str">
        <f>LOOKUP(U17,Methodology!$B$38:$B$42,Methodology!$C$38:$C$42)</f>
        <v>High</v>
      </c>
      <c r="W17" s="32" t="s">
        <v>159</v>
      </c>
      <c r="X17" s="32" t="s">
        <v>160</v>
      </c>
      <c r="Y17" s="32" t="s">
        <v>201</v>
      </c>
      <c r="Z17" s="32" t="s">
        <v>167</v>
      </c>
    </row>
    <row r="18">
      <c r="A18" s="30" t="s">
        <v>202</v>
      </c>
      <c r="B18" s="30" t="s">
        <v>189</v>
      </c>
      <c r="C18" s="30" t="s">
        <v>203</v>
      </c>
      <c r="D18" s="30" t="s">
        <v>204</v>
      </c>
      <c r="E18" s="30" t="s">
        <v>18</v>
      </c>
      <c r="F18" s="30" t="s">
        <v>22</v>
      </c>
      <c r="G18" s="30" t="s">
        <v>155</v>
      </c>
      <c r="H18" s="34">
        <v>20.0</v>
      </c>
      <c r="I18" s="35">
        <v>9.0</v>
      </c>
      <c r="J18" s="30" t="s">
        <v>156</v>
      </c>
      <c r="K18" s="36">
        <v>6.2</v>
      </c>
      <c r="L18" s="30" t="s">
        <v>157</v>
      </c>
      <c r="M18" s="30" t="str">
        <f>LOOKUP(I18,Methodology!$B$46:$B$49,Methodology!$C$46:$C$49)</f>
        <v>Easy</v>
      </c>
      <c r="N18" s="30" t="s">
        <v>184</v>
      </c>
      <c r="O18" s="37">
        <v>4.0</v>
      </c>
      <c r="P18" s="30">
        <f>LOOKUP(H18,Methodology!$B$15:$B$19,Methodology!$C$15:$C$19)</f>
        <v>2</v>
      </c>
      <c r="Q18" s="30">
        <f>LOOKUP(I18,Methodology!$B$23:$B$27,Methodology!$C$23:$C$27)</f>
        <v>5</v>
      </c>
      <c r="R18" s="30">
        <f t="array" ref="R18">INDEX(Methodology!$C$31:$C$34,MATCH(E18,Methodology!$B$31:$B$34,0))</f>
        <v>5</v>
      </c>
      <c r="S18" s="37">
        <v>5.0</v>
      </c>
      <c r="T18" s="37">
        <v>4.0</v>
      </c>
      <c r="U18" s="29">
        <f>ROUND((O18*Methodology!$C$5+P18*Methodology!$C$6+Q18*Methodology!$C$7+R18*Methodology!$C$8+S18*Methodology!$C$9+T18*Methodology!$C$10)*20,0)</f>
        <v>84</v>
      </c>
      <c r="V18" s="30" t="str">
        <f>LOOKUP(U18,Methodology!$B$38:$B$42,Methodology!$C$38:$C$42)</f>
        <v>High</v>
      </c>
      <c r="W18" s="30" t="s">
        <v>205</v>
      </c>
      <c r="X18" s="30" t="s">
        <v>165</v>
      </c>
      <c r="Y18" s="30"/>
      <c r="Z18" s="30" t="s">
        <v>162</v>
      </c>
    </row>
    <row r="19">
      <c r="A19" s="32" t="s">
        <v>206</v>
      </c>
      <c r="B19" s="32" t="s">
        <v>189</v>
      </c>
      <c r="C19" s="32" t="s">
        <v>203</v>
      </c>
      <c r="D19" s="32" t="s">
        <v>204</v>
      </c>
      <c r="E19" s="32" t="s">
        <v>18</v>
      </c>
      <c r="F19" s="32" t="s">
        <v>22</v>
      </c>
      <c r="G19" s="32" t="s">
        <v>164</v>
      </c>
      <c r="H19" s="38">
        <v>30.0</v>
      </c>
      <c r="I19" s="39">
        <v>10.0</v>
      </c>
      <c r="J19" s="32" t="s">
        <v>156</v>
      </c>
      <c r="K19" s="40">
        <v>5.9</v>
      </c>
      <c r="L19" s="32" t="s">
        <v>157</v>
      </c>
      <c r="M19" s="32" t="str">
        <f>LOOKUP(I19,Methodology!$B$46:$B$49,Methodology!$C$46:$C$49)</f>
        <v>Easy</v>
      </c>
      <c r="N19" s="32" t="s">
        <v>184</v>
      </c>
      <c r="O19" s="41">
        <v>4.0</v>
      </c>
      <c r="P19" s="32">
        <f>LOOKUP(H19,Methodology!$B$15:$B$19,Methodology!$C$15:$C$19)</f>
        <v>2</v>
      </c>
      <c r="Q19" s="32">
        <f>LOOKUP(I19,Methodology!$B$23:$B$27,Methodology!$C$23:$C$27)</f>
        <v>5</v>
      </c>
      <c r="R19" s="32">
        <f t="array" ref="R19">INDEX(Methodology!$C$31:$C$34,MATCH(E19,Methodology!$B$31:$B$34,0))</f>
        <v>5</v>
      </c>
      <c r="S19" s="41">
        <v>5.0</v>
      </c>
      <c r="T19" s="41">
        <v>4.0</v>
      </c>
      <c r="U19" s="24">
        <f>ROUND((O19*Methodology!$C$5+P19*Methodology!$C$6+Q19*Methodology!$C$7+R19*Methodology!$C$8+S19*Methodology!$C$9+T19*Methodology!$C$10)*20,0)</f>
        <v>84</v>
      </c>
      <c r="V19" s="32" t="str">
        <f>LOOKUP(U19,Methodology!$B$38:$B$42,Methodology!$C$38:$C$42)</f>
        <v>High</v>
      </c>
      <c r="W19" s="32" t="s">
        <v>205</v>
      </c>
      <c r="X19" s="32" t="s">
        <v>165</v>
      </c>
      <c r="Y19" s="32"/>
      <c r="Z19" s="32" t="s">
        <v>162</v>
      </c>
    </row>
    <row r="20">
      <c r="A20" s="30" t="s">
        <v>207</v>
      </c>
      <c r="B20" s="30" t="s">
        <v>17</v>
      </c>
      <c r="C20" s="30" t="s">
        <v>203</v>
      </c>
      <c r="D20" s="30" t="s">
        <v>204</v>
      </c>
      <c r="E20" s="30" t="s">
        <v>17</v>
      </c>
      <c r="F20" s="30" t="s">
        <v>21</v>
      </c>
      <c r="G20" s="30" t="s">
        <v>164</v>
      </c>
      <c r="H20" s="34">
        <v>880.0</v>
      </c>
      <c r="I20" s="35">
        <v>38.0</v>
      </c>
      <c r="J20" s="30" t="s">
        <v>156</v>
      </c>
      <c r="K20" s="36">
        <v>7.4</v>
      </c>
      <c r="L20" s="30" t="s">
        <v>157</v>
      </c>
      <c r="M20" s="30" t="str">
        <f>LOOKUP(I20,Methodology!$B$46:$B$49,Methodology!$C$46:$C$49)</f>
        <v>Moderate</v>
      </c>
      <c r="N20" s="30" t="s">
        <v>208</v>
      </c>
      <c r="O20" s="37">
        <v>4.0</v>
      </c>
      <c r="P20" s="30">
        <f>LOOKUP(H20,Methodology!$B$15:$B$19,Methodology!$C$15:$C$19)</f>
        <v>4</v>
      </c>
      <c r="Q20" s="30">
        <f>LOOKUP(I20,Methodology!$B$23:$B$27,Methodology!$C$23:$C$27)</f>
        <v>3</v>
      </c>
      <c r="R20" s="30">
        <f t="array" ref="R20">INDEX(Methodology!$C$31:$C$34,MATCH(E20,Methodology!$B$31:$B$34,0))</f>
        <v>4</v>
      </c>
      <c r="S20" s="37">
        <v>3.0</v>
      </c>
      <c r="T20" s="37">
        <v>4.0</v>
      </c>
      <c r="U20" s="29">
        <f>ROUND((O20*Methodology!$C$5+P20*Methodology!$C$6+Q20*Methodology!$C$7+R20*Methodology!$C$8+S20*Methodology!$C$9+T20*Methodology!$C$10)*20,0)</f>
        <v>73</v>
      </c>
      <c r="V20" s="30" t="str">
        <f>LOOKUP(U20,Methodology!$B$38:$B$42,Methodology!$C$38:$C$42)</f>
        <v>Medium</v>
      </c>
      <c r="W20" s="30" t="s">
        <v>205</v>
      </c>
      <c r="X20" s="30" t="s">
        <v>165</v>
      </c>
      <c r="Y20" s="30"/>
      <c r="Z20" s="30" t="s">
        <v>167</v>
      </c>
    </row>
    <row r="21" ht="15.75" customHeight="1">
      <c r="A21" s="32" t="s">
        <v>209</v>
      </c>
      <c r="B21" s="32" t="s">
        <v>18</v>
      </c>
      <c r="C21" s="32" t="s">
        <v>203</v>
      </c>
      <c r="D21" s="32" t="s">
        <v>204</v>
      </c>
      <c r="E21" s="32" t="s">
        <v>18</v>
      </c>
      <c r="F21" s="32" t="s">
        <v>22</v>
      </c>
      <c r="G21" s="32" t="s">
        <v>164</v>
      </c>
      <c r="H21" s="38">
        <v>9900.0</v>
      </c>
      <c r="I21" s="39">
        <v>62.0</v>
      </c>
      <c r="J21" s="32" t="s">
        <v>156</v>
      </c>
      <c r="K21" s="40">
        <v>6.8</v>
      </c>
      <c r="L21" s="32" t="s">
        <v>157</v>
      </c>
      <c r="M21" s="32" t="str">
        <f>LOOKUP(I21,Methodology!$B$46:$B$49,Methodology!$C$46:$C$49)</f>
        <v>Competitive</v>
      </c>
      <c r="N21" s="32" t="s">
        <v>184</v>
      </c>
      <c r="O21" s="41">
        <v>4.0</v>
      </c>
      <c r="P21" s="32">
        <f>LOOKUP(H21,Methodology!$B$15:$B$19,Methodology!$C$15:$C$19)</f>
        <v>5</v>
      </c>
      <c r="Q21" s="32">
        <f>LOOKUP(I21,Methodology!$B$23:$B$27,Methodology!$C$23:$C$27)</f>
        <v>1</v>
      </c>
      <c r="R21" s="32">
        <f t="array" ref="R21">INDEX(Methodology!$C$31:$C$34,MATCH(E21,Methodology!$B$31:$B$34,0))</f>
        <v>5</v>
      </c>
      <c r="S21" s="41">
        <v>5.0</v>
      </c>
      <c r="T21" s="41">
        <v>4.0</v>
      </c>
      <c r="U21" s="24">
        <f>ROUND((O21*Methodology!$C$5+P21*Methodology!$C$6+Q21*Methodology!$C$7+R21*Methodology!$C$8+S21*Methodology!$C$9+T21*Methodology!$C$10)*20,0)</f>
        <v>77</v>
      </c>
      <c r="V21" s="32" t="str">
        <f>LOOKUP(U21,Methodology!$B$38:$B$42,Methodology!$C$38:$C$42)</f>
        <v>High</v>
      </c>
      <c r="W21" s="32" t="s">
        <v>205</v>
      </c>
      <c r="X21" s="32" t="s">
        <v>165</v>
      </c>
      <c r="Y21" s="32"/>
      <c r="Z21" s="32" t="s">
        <v>167</v>
      </c>
    </row>
    <row r="22" ht="15.75" customHeight="1">
      <c r="A22" s="30" t="s">
        <v>210</v>
      </c>
      <c r="B22" s="30" t="s">
        <v>18</v>
      </c>
      <c r="C22" s="30" t="s">
        <v>203</v>
      </c>
      <c r="D22" s="30" t="s">
        <v>204</v>
      </c>
      <c r="E22" s="30" t="s">
        <v>18</v>
      </c>
      <c r="F22" s="30" t="s">
        <v>22</v>
      </c>
      <c r="G22" s="30" t="s">
        <v>164</v>
      </c>
      <c r="H22" s="34">
        <v>33100.0</v>
      </c>
      <c r="I22" s="35">
        <v>66.0</v>
      </c>
      <c r="J22" s="30" t="s">
        <v>156</v>
      </c>
      <c r="K22" s="36">
        <v>6.2</v>
      </c>
      <c r="L22" s="30" t="s">
        <v>157</v>
      </c>
      <c r="M22" s="30" t="str">
        <f>LOOKUP(I22,Methodology!$B$46:$B$49,Methodology!$C$46:$C$49)</f>
        <v>Competitive</v>
      </c>
      <c r="N22" s="30" t="s">
        <v>184</v>
      </c>
      <c r="O22" s="37">
        <v>4.0</v>
      </c>
      <c r="P22" s="30">
        <f>LOOKUP(H22,Methodology!$B$15:$B$19,Methodology!$C$15:$C$19)</f>
        <v>5</v>
      </c>
      <c r="Q22" s="30">
        <f>LOOKUP(I22,Methodology!$B$23:$B$27,Methodology!$C$23:$C$27)</f>
        <v>1</v>
      </c>
      <c r="R22" s="30">
        <f t="array" ref="R22">INDEX(Methodology!$C$31:$C$34,MATCH(E22,Methodology!$B$31:$B$34,0))</f>
        <v>5</v>
      </c>
      <c r="S22" s="37">
        <v>5.0</v>
      </c>
      <c r="T22" s="37">
        <v>4.0</v>
      </c>
      <c r="U22" s="29">
        <f>ROUND((O22*Methodology!$C$5+P22*Methodology!$C$6+Q22*Methodology!$C$7+R22*Methodology!$C$8+S22*Methodology!$C$9+T22*Methodology!$C$10)*20,0)</f>
        <v>77</v>
      </c>
      <c r="V22" s="30" t="str">
        <f>LOOKUP(U22,Methodology!$B$38:$B$42,Methodology!$C$38:$C$42)</f>
        <v>High</v>
      </c>
      <c r="W22" s="30" t="s">
        <v>205</v>
      </c>
      <c r="X22" s="30" t="s">
        <v>165</v>
      </c>
      <c r="Y22" s="30"/>
      <c r="Z22" s="30" t="s">
        <v>167</v>
      </c>
    </row>
    <row r="23" ht="15.75" customHeight="1">
      <c r="A23" s="32" t="s">
        <v>211</v>
      </c>
      <c r="B23" s="32" t="s">
        <v>15</v>
      </c>
      <c r="C23" s="32" t="s">
        <v>203</v>
      </c>
      <c r="D23" s="32" t="s">
        <v>204</v>
      </c>
      <c r="E23" s="32" t="s">
        <v>15</v>
      </c>
      <c r="F23" s="32" t="s">
        <v>20</v>
      </c>
      <c r="G23" s="32" t="s">
        <v>164</v>
      </c>
      <c r="H23" s="38">
        <v>1600.0</v>
      </c>
      <c r="I23" s="39">
        <v>30.0</v>
      </c>
      <c r="J23" s="32" t="s">
        <v>156</v>
      </c>
      <c r="K23" s="40">
        <v>2.1</v>
      </c>
      <c r="L23" s="32" t="s">
        <v>157</v>
      </c>
      <c r="M23" s="32" t="str">
        <f>LOOKUP(I23,Methodology!$B$46:$B$49,Methodology!$C$46:$C$49)</f>
        <v>Moderate</v>
      </c>
      <c r="N23" s="32" t="s">
        <v>208</v>
      </c>
      <c r="O23" s="41">
        <v>3.0</v>
      </c>
      <c r="P23" s="32">
        <f>LOOKUP(H23,Methodology!$B$15:$B$19,Methodology!$C$15:$C$19)</f>
        <v>5</v>
      </c>
      <c r="Q23" s="32">
        <f>LOOKUP(I23,Methodology!$B$23:$B$27,Methodology!$C$23:$C$27)</f>
        <v>3</v>
      </c>
      <c r="R23" s="32">
        <f t="array" ref="R23">INDEX(Methodology!$C$31:$C$34,MATCH(E23,Methodology!$B$31:$B$34,0))</f>
        <v>2</v>
      </c>
      <c r="S23" s="41">
        <v>1.0</v>
      </c>
      <c r="T23" s="41">
        <v>3.0</v>
      </c>
      <c r="U23" s="24">
        <f>ROUND((O23*Methodology!$C$5+P23*Methodology!$C$6+Q23*Methodology!$C$7+R23*Methodology!$C$8+S23*Methodology!$C$9+T23*Methodology!$C$10)*20,0)</f>
        <v>57</v>
      </c>
      <c r="V23" s="32" t="str">
        <f>LOOKUP(U23,Methodology!$B$38:$B$42,Methodology!$C$38:$C$42)</f>
        <v>Low</v>
      </c>
      <c r="W23" s="32" t="s">
        <v>212</v>
      </c>
      <c r="X23" s="32" t="s">
        <v>179</v>
      </c>
      <c r="Y23" s="32"/>
      <c r="Z23" s="32" t="s">
        <v>167</v>
      </c>
    </row>
    <row r="24" ht="15.75" customHeight="1">
      <c r="A24" s="30" t="s">
        <v>213</v>
      </c>
      <c r="B24" s="30" t="s">
        <v>181</v>
      </c>
      <c r="C24" s="30" t="s">
        <v>203</v>
      </c>
      <c r="D24" s="30" t="s">
        <v>204</v>
      </c>
      <c r="E24" s="30" t="s">
        <v>18</v>
      </c>
      <c r="F24" s="30" t="s">
        <v>22</v>
      </c>
      <c r="G24" s="30" t="s">
        <v>164</v>
      </c>
      <c r="H24" s="34">
        <v>50.0</v>
      </c>
      <c r="I24" s="35">
        <v>12.0</v>
      </c>
      <c r="J24" s="30" t="s">
        <v>156</v>
      </c>
      <c r="K24" s="36">
        <v>6.0</v>
      </c>
      <c r="L24" s="30" t="s">
        <v>157</v>
      </c>
      <c r="M24" s="30" t="str">
        <f>LOOKUP(I24,Methodology!$B$46:$B$49,Methodology!$C$46:$C$49)</f>
        <v>Easy</v>
      </c>
      <c r="N24" s="30" t="s">
        <v>184</v>
      </c>
      <c r="O24" s="37">
        <v>4.0</v>
      </c>
      <c r="P24" s="30">
        <f>LOOKUP(H24,Methodology!$B$15:$B$19,Methodology!$C$15:$C$19)</f>
        <v>3</v>
      </c>
      <c r="Q24" s="30">
        <f>LOOKUP(I24,Methodology!$B$23:$B$27,Methodology!$C$23:$C$27)</f>
        <v>5</v>
      </c>
      <c r="R24" s="30">
        <f t="array" ref="R24">INDEX(Methodology!$C$31:$C$34,MATCH(E24,Methodology!$B$31:$B$34,0))</f>
        <v>5</v>
      </c>
      <c r="S24" s="37">
        <v>5.0</v>
      </c>
      <c r="T24" s="37">
        <v>4.0</v>
      </c>
      <c r="U24" s="29">
        <f>ROUND((O24*Methodology!$C$5+P24*Methodology!$C$6+Q24*Methodology!$C$7+R24*Methodology!$C$8+S24*Methodology!$C$9+T24*Methodology!$C$10)*20,0)</f>
        <v>87</v>
      </c>
      <c r="V24" s="30" t="str">
        <f>LOOKUP(U24,Methodology!$B$38:$B$42,Methodology!$C$38:$C$42)</f>
        <v>High</v>
      </c>
      <c r="W24" s="30" t="s">
        <v>214</v>
      </c>
      <c r="X24" s="30" t="s">
        <v>179</v>
      </c>
      <c r="Y24" s="30" t="s">
        <v>215</v>
      </c>
      <c r="Z24" s="30" t="s">
        <v>162</v>
      </c>
    </row>
    <row r="25" ht="15.75" customHeight="1">
      <c r="A25" s="32" t="s">
        <v>216</v>
      </c>
      <c r="B25" s="32" t="s">
        <v>181</v>
      </c>
      <c r="C25" s="32" t="s">
        <v>203</v>
      </c>
      <c r="D25" s="32" t="s">
        <v>204</v>
      </c>
      <c r="E25" s="32" t="s">
        <v>18</v>
      </c>
      <c r="F25" s="32" t="s">
        <v>22</v>
      </c>
      <c r="G25" s="32" t="s">
        <v>164</v>
      </c>
      <c r="H25" s="38">
        <v>20.0</v>
      </c>
      <c r="I25" s="39">
        <v>10.0</v>
      </c>
      <c r="J25" s="32" t="s">
        <v>156</v>
      </c>
      <c r="K25" s="40">
        <v>5.8</v>
      </c>
      <c r="L25" s="32" t="s">
        <v>157</v>
      </c>
      <c r="M25" s="32" t="str">
        <f>LOOKUP(I25,Methodology!$B$46:$B$49,Methodology!$C$46:$C$49)</f>
        <v>Easy</v>
      </c>
      <c r="N25" s="32" t="s">
        <v>184</v>
      </c>
      <c r="O25" s="41">
        <v>4.0</v>
      </c>
      <c r="P25" s="32">
        <f>LOOKUP(H25,Methodology!$B$15:$B$19,Methodology!$C$15:$C$19)</f>
        <v>2</v>
      </c>
      <c r="Q25" s="32">
        <f>LOOKUP(I25,Methodology!$B$23:$B$27,Methodology!$C$23:$C$27)</f>
        <v>5</v>
      </c>
      <c r="R25" s="32">
        <f t="array" ref="R25">INDEX(Methodology!$C$31:$C$34,MATCH(E25,Methodology!$B$31:$B$34,0))</f>
        <v>5</v>
      </c>
      <c r="S25" s="41">
        <v>5.0</v>
      </c>
      <c r="T25" s="41">
        <v>4.0</v>
      </c>
      <c r="U25" s="24">
        <f>ROUND((O25*Methodology!$C$5+P25*Methodology!$C$6+Q25*Methodology!$C$7+R25*Methodology!$C$8+S25*Methodology!$C$9+T25*Methodology!$C$10)*20,0)</f>
        <v>84</v>
      </c>
      <c r="V25" s="32" t="str">
        <f>LOOKUP(U25,Methodology!$B$38:$B$42,Methodology!$C$38:$C$42)</f>
        <v>High</v>
      </c>
      <c r="W25" s="32" t="s">
        <v>214</v>
      </c>
      <c r="X25" s="32" t="s">
        <v>179</v>
      </c>
      <c r="Y25" s="32" t="s">
        <v>217</v>
      </c>
      <c r="Z25" s="32" t="s">
        <v>162</v>
      </c>
    </row>
    <row r="26" ht="15.75" customHeight="1">
      <c r="A26" s="30" t="s">
        <v>218</v>
      </c>
      <c r="B26" s="30" t="s">
        <v>181</v>
      </c>
      <c r="C26" s="30" t="s">
        <v>219</v>
      </c>
      <c r="D26" s="30" t="s">
        <v>220</v>
      </c>
      <c r="E26" s="30" t="s">
        <v>18</v>
      </c>
      <c r="F26" s="30" t="s">
        <v>22</v>
      </c>
      <c r="G26" s="30" t="s">
        <v>155</v>
      </c>
      <c r="H26" s="34">
        <v>40.0</v>
      </c>
      <c r="I26" s="35">
        <v>14.0</v>
      </c>
      <c r="J26" s="30" t="s">
        <v>156</v>
      </c>
      <c r="K26" s="36">
        <v>9.8</v>
      </c>
      <c r="L26" s="30" t="s">
        <v>157</v>
      </c>
      <c r="M26" s="30" t="str">
        <f>LOOKUP(I26,Methodology!$B$46:$B$49,Methodology!$C$46:$C$49)</f>
        <v>Easy</v>
      </c>
      <c r="N26" s="30" t="s">
        <v>184</v>
      </c>
      <c r="O26" s="37">
        <v>5.0</v>
      </c>
      <c r="P26" s="30">
        <f>LOOKUP(H26,Methodology!$B$15:$B$19,Methodology!$C$15:$C$19)</f>
        <v>2</v>
      </c>
      <c r="Q26" s="30">
        <f>LOOKUP(I26,Methodology!$B$23:$B$27,Methodology!$C$23:$C$27)</f>
        <v>5</v>
      </c>
      <c r="R26" s="30">
        <f t="array" ref="R26">INDEX(Methodology!$C$31:$C$34,MATCH(E26,Methodology!$B$31:$B$34,0))</f>
        <v>5</v>
      </c>
      <c r="S26" s="37">
        <v>5.0</v>
      </c>
      <c r="T26" s="37">
        <v>4.0</v>
      </c>
      <c r="U26" s="29">
        <f>ROUND((O26*Methodology!$C$5+P26*Methodology!$C$6+Q26*Methodology!$C$7+R26*Methodology!$C$8+S26*Methodology!$C$9+T26*Methodology!$C$10)*20,0)</f>
        <v>89</v>
      </c>
      <c r="V26" s="30" t="str">
        <f>LOOKUP(U26,Methodology!$B$38:$B$42,Methodology!$C$38:$C$42)</f>
        <v>High</v>
      </c>
      <c r="W26" s="30" t="s">
        <v>221</v>
      </c>
      <c r="X26" s="30" t="s">
        <v>165</v>
      </c>
      <c r="Y26" s="30" t="s">
        <v>222</v>
      </c>
      <c r="Z26" s="30" t="s">
        <v>162</v>
      </c>
    </row>
    <row r="27" ht="15.75" customHeight="1">
      <c r="A27" s="32" t="s">
        <v>223</v>
      </c>
      <c r="B27" s="32" t="s">
        <v>62</v>
      </c>
      <c r="C27" s="32" t="s">
        <v>219</v>
      </c>
      <c r="D27" s="32" t="s">
        <v>220</v>
      </c>
      <c r="E27" s="32" t="s">
        <v>18</v>
      </c>
      <c r="F27" s="32" t="s">
        <v>22</v>
      </c>
      <c r="G27" s="32" t="s">
        <v>164</v>
      </c>
      <c r="H27" s="38">
        <v>20.0</v>
      </c>
      <c r="I27" s="39">
        <v>15.0</v>
      </c>
      <c r="J27" s="32" t="s">
        <v>156</v>
      </c>
      <c r="K27" s="40">
        <v>9.2</v>
      </c>
      <c r="L27" s="32" t="s">
        <v>157</v>
      </c>
      <c r="M27" s="32" t="str">
        <f>LOOKUP(I27,Methodology!$B$46:$B$49,Methodology!$C$46:$C$49)</f>
        <v>Easy</v>
      </c>
      <c r="N27" s="32" t="s">
        <v>224</v>
      </c>
      <c r="O27" s="41">
        <v>5.0</v>
      </c>
      <c r="P27" s="32">
        <f>LOOKUP(H27,Methodology!$B$15:$B$19,Methodology!$C$15:$C$19)</f>
        <v>2</v>
      </c>
      <c r="Q27" s="32">
        <f>LOOKUP(I27,Methodology!$B$23:$B$27,Methodology!$C$23:$C$27)</f>
        <v>5</v>
      </c>
      <c r="R27" s="32">
        <f t="array" ref="R27">INDEX(Methodology!$C$31:$C$34,MATCH(E27,Methodology!$B$31:$B$34,0))</f>
        <v>5</v>
      </c>
      <c r="S27" s="41">
        <v>5.0</v>
      </c>
      <c r="T27" s="41">
        <v>4.0</v>
      </c>
      <c r="U27" s="24">
        <f>ROUND((O27*Methodology!$C$5+P27*Methodology!$C$6+Q27*Methodology!$C$7+R27*Methodology!$C$8+S27*Methodology!$C$9+T27*Methodology!$C$10)*20,0)</f>
        <v>89</v>
      </c>
      <c r="V27" s="32" t="str">
        <f>LOOKUP(U27,Methodology!$B$38:$B$42,Methodology!$C$38:$C$42)</f>
        <v>High</v>
      </c>
      <c r="W27" s="32" t="s">
        <v>221</v>
      </c>
      <c r="X27" s="32" t="s">
        <v>165</v>
      </c>
      <c r="Y27" s="32"/>
      <c r="Z27" s="32" t="s">
        <v>225</v>
      </c>
    </row>
    <row r="28" ht="15.75" customHeight="1">
      <c r="A28" s="30" t="s">
        <v>226</v>
      </c>
      <c r="B28" s="30" t="s">
        <v>227</v>
      </c>
      <c r="C28" s="30" t="s">
        <v>219</v>
      </c>
      <c r="D28" s="30" t="s">
        <v>220</v>
      </c>
      <c r="E28" s="30" t="s">
        <v>18</v>
      </c>
      <c r="F28" s="30" t="s">
        <v>22</v>
      </c>
      <c r="G28" s="30" t="s">
        <v>164</v>
      </c>
      <c r="H28" s="34">
        <v>10.0</v>
      </c>
      <c r="I28" s="35">
        <v>10.0</v>
      </c>
      <c r="J28" s="30" t="s">
        <v>156</v>
      </c>
      <c r="K28" s="36">
        <v>8.4</v>
      </c>
      <c r="L28" s="30" t="s">
        <v>157</v>
      </c>
      <c r="M28" s="30" t="str">
        <f>LOOKUP(I28,Methodology!$B$46:$B$49,Methodology!$C$46:$C$49)</f>
        <v>Easy</v>
      </c>
      <c r="N28" s="30" t="s">
        <v>184</v>
      </c>
      <c r="O28" s="37">
        <v>5.0</v>
      </c>
      <c r="P28" s="30">
        <f>LOOKUP(H28,Methodology!$B$15:$B$19,Methodology!$C$15:$C$19)</f>
        <v>1</v>
      </c>
      <c r="Q28" s="30">
        <f>LOOKUP(I28,Methodology!$B$23:$B$27,Methodology!$C$23:$C$27)</f>
        <v>5</v>
      </c>
      <c r="R28" s="30">
        <f t="array" ref="R28">INDEX(Methodology!$C$31:$C$34,MATCH(E28,Methodology!$B$31:$B$34,0))</f>
        <v>5</v>
      </c>
      <c r="S28" s="37">
        <v>5.0</v>
      </c>
      <c r="T28" s="37">
        <v>4.0</v>
      </c>
      <c r="U28" s="29">
        <f>ROUND((O28*Methodology!$C$5+P28*Methodology!$C$6+Q28*Methodology!$C$7+R28*Methodology!$C$8+S28*Methodology!$C$9+T28*Methodology!$C$10)*20,0)</f>
        <v>86</v>
      </c>
      <c r="V28" s="30" t="str">
        <f>LOOKUP(U28,Methodology!$B$38:$B$42,Methodology!$C$38:$C$42)</f>
        <v>High</v>
      </c>
      <c r="W28" s="30" t="s">
        <v>221</v>
      </c>
      <c r="X28" s="30" t="s">
        <v>165</v>
      </c>
      <c r="Y28" s="30"/>
      <c r="Z28" s="30" t="s">
        <v>162</v>
      </c>
    </row>
    <row r="29" ht="15.75" customHeight="1">
      <c r="A29" s="32" t="s">
        <v>228</v>
      </c>
      <c r="B29" s="32" t="s">
        <v>18</v>
      </c>
      <c r="C29" s="32" t="s">
        <v>219</v>
      </c>
      <c r="D29" s="32" t="s">
        <v>220</v>
      </c>
      <c r="E29" s="32" t="s">
        <v>18</v>
      </c>
      <c r="F29" s="32" t="s">
        <v>22</v>
      </c>
      <c r="G29" s="32" t="s">
        <v>164</v>
      </c>
      <c r="H29" s="38">
        <v>74000.0</v>
      </c>
      <c r="I29" s="39">
        <v>70.0</v>
      </c>
      <c r="J29" s="32" t="s">
        <v>156</v>
      </c>
      <c r="K29" s="40">
        <v>11.4</v>
      </c>
      <c r="L29" s="32" t="s">
        <v>157</v>
      </c>
      <c r="M29" s="32" t="str">
        <f>LOOKUP(I29,Methodology!$B$46:$B$49,Methodology!$C$46:$C$49)</f>
        <v>Competitive</v>
      </c>
      <c r="N29" s="32" t="s">
        <v>184</v>
      </c>
      <c r="O29" s="41">
        <v>5.0</v>
      </c>
      <c r="P29" s="32">
        <f>LOOKUP(H29,Methodology!$B$15:$B$19,Methodology!$C$15:$C$19)</f>
        <v>5</v>
      </c>
      <c r="Q29" s="32">
        <f>LOOKUP(I29,Methodology!$B$23:$B$27,Methodology!$C$23:$C$27)</f>
        <v>1</v>
      </c>
      <c r="R29" s="32">
        <f t="array" ref="R29">INDEX(Methodology!$C$31:$C$34,MATCH(E29,Methodology!$B$31:$B$34,0))</f>
        <v>5</v>
      </c>
      <c r="S29" s="41">
        <v>5.0</v>
      </c>
      <c r="T29" s="41">
        <v>4.0</v>
      </c>
      <c r="U29" s="24">
        <f>ROUND((O29*Methodology!$C$5+P29*Methodology!$C$6+Q29*Methodology!$C$7+R29*Methodology!$C$8+S29*Methodology!$C$9+T29*Methodology!$C$10)*20,0)</f>
        <v>82</v>
      </c>
      <c r="V29" s="32" t="str">
        <f>LOOKUP(U29,Methodology!$B$38:$B$42,Methodology!$C$38:$C$42)</f>
        <v>High</v>
      </c>
      <c r="W29" s="32" t="s">
        <v>221</v>
      </c>
      <c r="X29" s="32" t="s">
        <v>165</v>
      </c>
      <c r="Y29" s="32" t="s">
        <v>229</v>
      </c>
      <c r="Z29" s="32" t="s">
        <v>167</v>
      </c>
    </row>
    <row r="30" ht="15.75" customHeight="1">
      <c r="A30" s="30" t="s">
        <v>230</v>
      </c>
      <c r="B30" s="30" t="s">
        <v>18</v>
      </c>
      <c r="C30" s="30" t="s">
        <v>219</v>
      </c>
      <c r="D30" s="30" t="s">
        <v>220</v>
      </c>
      <c r="E30" s="30" t="s">
        <v>18</v>
      </c>
      <c r="F30" s="30" t="s">
        <v>22</v>
      </c>
      <c r="G30" s="30" t="s">
        <v>164</v>
      </c>
      <c r="H30" s="34">
        <v>5400.0</v>
      </c>
      <c r="I30" s="35">
        <v>48.0</v>
      </c>
      <c r="J30" s="30" t="s">
        <v>156</v>
      </c>
      <c r="K30" s="36">
        <v>9.2</v>
      </c>
      <c r="L30" s="30" t="s">
        <v>157</v>
      </c>
      <c r="M30" s="30" t="str">
        <f>LOOKUP(I30,Methodology!$B$46:$B$49,Methodology!$C$46:$C$49)</f>
        <v>Competitive</v>
      </c>
      <c r="N30" s="30" t="s">
        <v>184</v>
      </c>
      <c r="O30" s="37">
        <v>5.0</v>
      </c>
      <c r="P30" s="30">
        <f>LOOKUP(H30,Methodology!$B$15:$B$19,Methodology!$C$15:$C$19)</f>
        <v>5</v>
      </c>
      <c r="Q30" s="30">
        <f>LOOKUP(I30,Methodology!$B$23:$B$27,Methodology!$C$23:$C$27)</f>
        <v>2</v>
      </c>
      <c r="R30" s="30">
        <f t="array" ref="R30">INDEX(Methodology!$C$31:$C$34,MATCH(E30,Methodology!$B$31:$B$34,0))</f>
        <v>5</v>
      </c>
      <c r="S30" s="37">
        <v>5.0</v>
      </c>
      <c r="T30" s="37">
        <v>4.0</v>
      </c>
      <c r="U30" s="29">
        <f>ROUND((O30*Methodology!$C$5+P30*Methodology!$C$6+Q30*Methodology!$C$7+R30*Methodology!$C$8+S30*Methodology!$C$9+T30*Methodology!$C$10)*20,0)</f>
        <v>86</v>
      </c>
      <c r="V30" s="30" t="str">
        <f>LOOKUP(U30,Methodology!$B$38:$B$42,Methodology!$C$38:$C$42)</f>
        <v>High</v>
      </c>
      <c r="W30" s="30" t="s">
        <v>221</v>
      </c>
      <c r="X30" s="30" t="s">
        <v>165</v>
      </c>
      <c r="Y30" s="30"/>
      <c r="Z30" s="30" t="s">
        <v>167</v>
      </c>
    </row>
    <row r="31" ht="15.75" customHeight="1">
      <c r="A31" s="32" t="s">
        <v>231</v>
      </c>
      <c r="B31" s="32" t="s">
        <v>227</v>
      </c>
      <c r="C31" s="32" t="s">
        <v>219</v>
      </c>
      <c r="D31" s="32" t="s">
        <v>220</v>
      </c>
      <c r="E31" s="32" t="s">
        <v>15</v>
      </c>
      <c r="F31" s="32" t="s">
        <v>20</v>
      </c>
      <c r="G31" s="32" t="s">
        <v>164</v>
      </c>
      <c r="H31" s="38">
        <v>1900.0</v>
      </c>
      <c r="I31" s="39">
        <v>28.0</v>
      </c>
      <c r="J31" s="32" t="s">
        <v>156</v>
      </c>
      <c r="K31" s="40">
        <v>1.4</v>
      </c>
      <c r="L31" s="32" t="s">
        <v>157</v>
      </c>
      <c r="M31" s="32" t="str">
        <f>LOOKUP(I31,Methodology!$B$46:$B$49,Methodology!$C$46:$C$49)</f>
        <v>Moderate</v>
      </c>
      <c r="N31" s="32" t="s">
        <v>208</v>
      </c>
      <c r="O31" s="41">
        <v>4.0</v>
      </c>
      <c r="P31" s="32">
        <f>LOOKUP(H31,Methodology!$B$15:$B$19,Methodology!$C$15:$C$19)</f>
        <v>5</v>
      </c>
      <c r="Q31" s="32">
        <f>LOOKUP(I31,Methodology!$B$23:$B$27,Methodology!$C$23:$C$27)</f>
        <v>3</v>
      </c>
      <c r="R31" s="32">
        <f t="array" ref="R31">INDEX(Methodology!$C$31:$C$34,MATCH(E31,Methodology!$B$31:$B$34,0))</f>
        <v>2</v>
      </c>
      <c r="S31" s="41">
        <v>1.0</v>
      </c>
      <c r="T31" s="41">
        <v>3.0</v>
      </c>
      <c r="U31" s="24">
        <f>ROUND((O31*Methodology!$C$5+P31*Methodology!$C$6+Q31*Methodology!$C$7+R31*Methodology!$C$8+S31*Methodology!$C$9+T31*Methodology!$C$10)*20,0)</f>
        <v>62</v>
      </c>
      <c r="V31" s="32" t="str">
        <f>LOOKUP(U31,Methodology!$B$38:$B$42,Methodology!$C$38:$C$42)</f>
        <v>Medium</v>
      </c>
      <c r="W31" s="32" t="s">
        <v>232</v>
      </c>
      <c r="X31" s="32" t="s">
        <v>179</v>
      </c>
      <c r="Y31" s="32"/>
      <c r="Z31" s="32" t="s">
        <v>167</v>
      </c>
    </row>
    <row r="32" ht="15.75" customHeight="1">
      <c r="A32" s="30" t="s">
        <v>233</v>
      </c>
      <c r="B32" s="30" t="s">
        <v>227</v>
      </c>
      <c r="C32" s="30" t="s">
        <v>219</v>
      </c>
      <c r="D32" s="30" t="s">
        <v>220</v>
      </c>
      <c r="E32" s="30" t="s">
        <v>15</v>
      </c>
      <c r="F32" s="30" t="s">
        <v>20</v>
      </c>
      <c r="G32" s="30" t="s">
        <v>164</v>
      </c>
      <c r="H32" s="34">
        <v>6600.0</v>
      </c>
      <c r="I32" s="35">
        <v>40.0</v>
      </c>
      <c r="J32" s="30" t="s">
        <v>156</v>
      </c>
      <c r="K32" s="36">
        <v>3.1</v>
      </c>
      <c r="L32" s="30" t="s">
        <v>157</v>
      </c>
      <c r="M32" s="30" t="str">
        <f>LOOKUP(I32,Methodology!$B$46:$B$49,Methodology!$C$46:$C$49)</f>
        <v>Moderate</v>
      </c>
      <c r="N32" s="30" t="s">
        <v>208</v>
      </c>
      <c r="O32" s="37">
        <v>4.0</v>
      </c>
      <c r="P32" s="30">
        <f>LOOKUP(H32,Methodology!$B$15:$B$19,Methodology!$C$15:$C$19)</f>
        <v>5</v>
      </c>
      <c r="Q32" s="30">
        <f>LOOKUP(I32,Methodology!$B$23:$B$27,Methodology!$C$23:$C$27)</f>
        <v>3</v>
      </c>
      <c r="R32" s="30">
        <f t="array" ref="R32">INDEX(Methodology!$C$31:$C$34,MATCH(E32,Methodology!$B$31:$B$34,0))</f>
        <v>2</v>
      </c>
      <c r="S32" s="37">
        <v>1.0</v>
      </c>
      <c r="T32" s="37">
        <v>3.0</v>
      </c>
      <c r="U32" s="29">
        <f>ROUND((O32*Methodology!$C$5+P32*Methodology!$C$6+Q32*Methodology!$C$7+R32*Methodology!$C$8+S32*Methodology!$C$9+T32*Methodology!$C$10)*20,0)</f>
        <v>62</v>
      </c>
      <c r="V32" s="30" t="str">
        <f>LOOKUP(U32,Methodology!$B$38:$B$42,Methodology!$C$38:$C$42)</f>
        <v>Medium</v>
      </c>
      <c r="W32" s="30" t="s">
        <v>234</v>
      </c>
      <c r="X32" s="30" t="s">
        <v>179</v>
      </c>
      <c r="Y32" s="30"/>
      <c r="Z32" s="30" t="s">
        <v>167</v>
      </c>
    </row>
    <row r="33" ht="15.75" customHeight="1">
      <c r="A33" s="32" t="s">
        <v>235</v>
      </c>
      <c r="B33" s="32" t="s">
        <v>227</v>
      </c>
      <c r="C33" s="32" t="s">
        <v>219</v>
      </c>
      <c r="D33" s="32" t="s">
        <v>220</v>
      </c>
      <c r="E33" s="32" t="s">
        <v>15</v>
      </c>
      <c r="F33" s="32" t="s">
        <v>20</v>
      </c>
      <c r="G33" s="32" t="s">
        <v>164</v>
      </c>
      <c r="H33" s="38">
        <v>2900.0</v>
      </c>
      <c r="I33" s="39">
        <v>36.0</v>
      </c>
      <c r="J33" s="32" t="s">
        <v>156</v>
      </c>
      <c r="K33" s="40">
        <v>3.4</v>
      </c>
      <c r="L33" s="32" t="s">
        <v>157</v>
      </c>
      <c r="M33" s="32" t="str">
        <f>LOOKUP(I33,Methodology!$B$46:$B$49,Methodology!$C$46:$C$49)</f>
        <v>Moderate</v>
      </c>
      <c r="N33" s="32" t="s">
        <v>208</v>
      </c>
      <c r="O33" s="41">
        <v>4.0</v>
      </c>
      <c r="P33" s="32">
        <f>LOOKUP(H33,Methodology!$B$15:$B$19,Methodology!$C$15:$C$19)</f>
        <v>5</v>
      </c>
      <c r="Q33" s="32">
        <f>LOOKUP(I33,Methodology!$B$23:$B$27,Methodology!$C$23:$C$27)</f>
        <v>3</v>
      </c>
      <c r="R33" s="32">
        <f t="array" ref="R33">INDEX(Methodology!$C$31:$C$34,MATCH(E33,Methodology!$B$31:$B$34,0))</f>
        <v>2</v>
      </c>
      <c r="S33" s="41">
        <v>1.0</v>
      </c>
      <c r="T33" s="41">
        <v>3.0</v>
      </c>
      <c r="U33" s="24">
        <f>ROUND((O33*Methodology!$C$5+P33*Methodology!$C$6+Q33*Methodology!$C$7+R33*Methodology!$C$8+S33*Methodology!$C$9+T33*Methodology!$C$10)*20,0)</f>
        <v>62</v>
      </c>
      <c r="V33" s="32" t="str">
        <f>LOOKUP(U33,Methodology!$B$38:$B$42,Methodology!$C$38:$C$42)</f>
        <v>Medium</v>
      </c>
      <c r="W33" s="32" t="s">
        <v>234</v>
      </c>
      <c r="X33" s="32" t="s">
        <v>179</v>
      </c>
      <c r="Y33" s="32"/>
      <c r="Z33" s="32" t="s">
        <v>167</v>
      </c>
    </row>
    <row r="34" ht="15.75" customHeight="1">
      <c r="A34" s="30" t="s">
        <v>236</v>
      </c>
      <c r="B34" s="30" t="s">
        <v>227</v>
      </c>
      <c r="C34" s="30" t="s">
        <v>219</v>
      </c>
      <c r="D34" s="30" t="s">
        <v>220</v>
      </c>
      <c r="E34" s="30" t="s">
        <v>15</v>
      </c>
      <c r="F34" s="30" t="s">
        <v>20</v>
      </c>
      <c r="G34" s="30" t="s">
        <v>164</v>
      </c>
      <c r="H34" s="34">
        <v>8100.0</v>
      </c>
      <c r="I34" s="35">
        <v>48.0</v>
      </c>
      <c r="J34" s="30" t="s">
        <v>156</v>
      </c>
      <c r="K34" s="36">
        <v>2.2</v>
      </c>
      <c r="L34" s="30" t="s">
        <v>157</v>
      </c>
      <c r="M34" s="30" t="str">
        <f>LOOKUP(I34,Methodology!$B$46:$B$49,Methodology!$C$46:$C$49)</f>
        <v>Competitive</v>
      </c>
      <c r="N34" s="30" t="s">
        <v>208</v>
      </c>
      <c r="O34" s="37">
        <v>4.0</v>
      </c>
      <c r="P34" s="30">
        <f>LOOKUP(H34,Methodology!$B$15:$B$19,Methodology!$C$15:$C$19)</f>
        <v>5</v>
      </c>
      <c r="Q34" s="30">
        <f>LOOKUP(I34,Methodology!$B$23:$B$27,Methodology!$C$23:$C$27)</f>
        <v>2</v>
      </c>
      <c r="R34" s="30">
        <f t="array" ref="R34">INDEX(Methodology!$C$31:$C$34,MATCH(E34,Methodology!$B$31:$B$34,0))</f>
        <v>2</v>
      </c>
      <c r="S34" s="37">
        <v>1.0</v>
      </c>
      <c r="T34" s="37">
        <v>3.0</v>
      </c>
      <c r="U34" s="29">
        <f>ROUND((O34*Methodology!$C$5+P34*Methodology!$C$6+Q34*Methodology!$C$7+R34*Methodology!$C$8+S34*Methodology!$C$9+T34*Methodology!$C$10)*20,0)</f>
        <v>58</v>
      </c>
      <c r="V34" s="30" t="str">
        <f>LOOKUP(U34,Methodology!$B$38:$B$42,Methodology!$C$38:$C$42)</f>
        <v>Low</v>
      </c>
      <c r="W34" s="30" t="s">
        <v>237</v>
      </c>
      <c r="X34" s="30" t="s">
        <v>179</v>
      </c>
      <c r="Y34" s="30"/>
      <c r="Z34" s="30" t="s">
        <v>167</v>
      </c>
    </row>
    <row r="35" ht="15.75" customHeight="1">
      <c r="A35" s="32" t="s">
        <v>238</v>
      </c>
      <c r="B35" s="32" t="s">
        <v>189</v>
      </c>
      <c r="C35" s="32" t="s">
        <v>239</v>
      </c>
      <c r="D35" s="32" t="s">
        <v>240</v>
      </c>
      <c r="E35" s="32" t="s">
        <v>18</v>
      </c>
      <c r="F35" s="32" t="s">
        <v>22</v>
      </c>
      <c r="G35" s="32" t="s">
        <v>155</v>
      </c>
      <c r="H35" s="38">
        <v>20.0</v>
      </c>
      <c r="I35" s="39">
        <v>10.0</v>
      </c>
      <c r="J35" s="32" t="s">
        <v>156</v>
      </c>
      <c r="K35" s="40">
        <v>5.7</v>
      </c>
      <c r="L35" s="32" t="s">
        <v>157</v>
      </c>
      <c r="M35" s="32" t="str">
        <f>LOOKUP(I35,Methodology!$B$46:$B$49,Methodology!$C$46:$C$49)</f>
        <v>Easy</v>
      </c>
      <c r="N35" s="32" t="s">
        <v>184</v>
      </c>
      <c r="O35" s="41">
        <v>3.0</v>
      </c>
      <c r="P35" s="32">
        <f>LOOKUP(H35,Methodology!$B$15:$B$19,Methodology!$C$15:$C$19)</f>
        <v>2</v>
      </c>
      <c r="Q35" s="32">
        <f>LOOKUP(I35,Methodology!$B$23:$B$27,Methodology!$C$23:$C$27)</f>
        <v>5</v>
      </c>
      <c r="R35" s="32">
        <f t="array" ref="R35">INDEX(Methodology!$C$31:$C$34,MATCH(E35,Methodology!$B$31:$B$34,0))</f>
        <v>5</v>
      </c>
      <c r="S35" s="41">
        <v>5.0</v>
      </c>
      <c r="T35" s="41">
        <v>4.0</v>
      </c>
      <c r="U35" s="24">
        <f>ROUND((O35*Methodology!$C$5+P35*Methodology!$C$6+Q35*Methodology!$C$7+R35*Methodology!$C$8+S35*Methodology!$C$9+T35*Methodology!$C$10)*20,0)</f>
        <v>79</v>
      </c>
      <c r="V35" s="32" t="str">
        <f>LOOKUP(U35,Methodology!$B$38:$B$42,Methodology!$C$38:$C$42)</f>
        <v>High</v>
      </c>
      <c r="W35" s="32" t="s">
        <v>241</v>
      </c>
      <c r="X35" s="32" t="s">
        <v>165</v>
      </c>
      <c r="Y35" s="32"/>
      <c r="Z35" s="32" t="s">
        <v>162</v>
      </c>
    </row>
    <row r="36" ht="15.75" customHeight="1">
      <c r="A36" s="30" t="s">
        <v>242</v>
      </c>
      <c r="B36" s="30" t="s">
        <v>18</v>
      </c>
      <c r="C36" s="30" t="s">
        <v>239</v>
      </c>
      <c r="D36" s="30" t="s">
        <v>240</v>
      </c>
      <c r="E36" s="30" t="s">
        <v>18</v>
      </c>
      <c r="F36" s="30" t="s">
        <v>22</v>
      </c>
      <c r="G36" s="30" t="s">
        <v>164</v>
      </c>
      <c r="H36" s="34">
        <v>8100.0</v>
      </c>
      <c r="I36" s="35">
        <v>55.0</v>
      </c>
      <c r="J36" s="30" t="s">
        <v>156</v>
      </c>
      <c r="K36" s="36">
        <v>6.5</v>
      </c>
      <c r="L36" s="30" t="s">
        <v>157</v>
      </c>
      <c r="M36" s="30" t="str">
        <f>LOOKUP(I36,Methodology!$B$46:$B$49,Methodology!$C$46:$C$49)</f>
        <v>Competitive</v>
      </c>
      <c r="N36" s="30" t="s">
        <v>184</v>
      </c>
      <c r="O36" s="37">
        <v>3.0</v>
      </c>
      <c r="P36" s="30">
        <f>LOOKUP(H36,Methodology!$B$15:$B$19,Methodology!$C$15:$C$19)</f>
        <v>5</v>
      </c>
      <c r="Q36" s="30">
        <f>LOOKUP(I36,Methodology!$B$23:$B$27,Methodology!$C$23:$C$27)</f>
        <v>2</v>
      </c>
      <c r="R36" s="30">
        <f t="array" ref="R36">INDEX(Methodology!$C$31:$C$34,MATCH(E36,Methodology!$B$31:$B$34,0))</f>
        <v>5</v>
      </c>
      <c r="S36" s="37">
        <v>5.0</v>
      </c>
      <c r="T36" s="37">
        <v>4.0</v>
      </c>
      <c r="U36" s="29">
        <f>ROUND((O36*Methodology!$C$5+P36*Methodology!$C$6+Q36*Methodology!$C$7+R36*Methodology!$C$8+S36*Methodology!$C$9+T36*Methodology!$C$10)*20,0)</f>
        <v>76</v>
      </c>
      <c r="V36" s="30" t="str">
        <f>LOOKUP(U36,Methodology!$B$38:$B$42,Methodology!$C$38:$C$42)</f>
        <v>High</v>
      </c>
      <c r="W36" s="30" t="s">
        <v>241</v>
      </c>
      <c r="X36" s="30" t="s">
        <v>165</v>
      </c>
      <c r="Y36" s="30"/>
      <c r="Z36" s="30" t="s">
        <v>167</v>
      </c>
    </row>
    <row r="37" ht="15.75" customHeight="1">
      <c r="A37" s="32" t="s">
        <v>243</v>
      </c>
      <c r="B37" s="32" t="s">
        <v>17</v>
      </c>
      <c r="C37" s="32" t="s">
        <v>239</v>
      </c>
      <c r="D37" s="32" t="s">
        <v>240</v>
      </c>
      <c r="E37" s="32" t="s">
        <v>17</v>
      </c>
      <c r="F37" s="32" t="s">
        <v>21</v>
      </c>
      <c r="G37" s="32" t="s">
        <v>164</v>
      </c>
      <c r="H37" s="38">
        <v>4400.0</v>
      </c>
      <c r="I37" s="39">
        <v>45.0</v>
      </c>
      <c r="J37" s="32" t="s">
        <v>156</v>
      </c>
      <c r="K37" s="40">
        <v>5.6</v>
      </c>
      <c r="L37" s="32" t="s">
        <v>157</v>
      </c>
      <c r="M37" s="32" t="str">
        <f>LOOKUP(I37,Methodology!$B$46:$B$49,Methodology!$C$46:$C$49)</f>
        <v>Competitive</v>
      </c>
      <c r="N37" s="32" t="s">
        <v>195</v>
      </c>
      <c r="O37" s="41">
        <v>3.0</v>
      </c>
      <c r="P37" s="32">
        <f>LOOKUP(H37,Methodology!$B$15:$B$19,Methodology!$C$15:$C$19)</f>
        <v>5</v>
      </c>
      <c r="Q37" s="32">
        <f>LOOKUP(I37,Methodology!$B$23:$B$27,Methodology!$C$23:$C$27)</f>
        <v>2</v>
      </c>
      <c r="R37" s="32">
        <f t="array" ref="R37">INDEX(Methodology!$C$31:$C$34,MATCH(E37,Methodology!$B$31:$B$34,0))</f>
        <v>4</v>
      </c>
      <c r="S37" s="41">
        <v>3.0</v>
      </c>
      <c r="T37" s="41">
        <v>4.0</v>
      </c>
      <c r="U37" s="24">
        <f>ROUND((O37*Methodology!$C$5+P37*Methodology!$C$6+Q37*Methodology!$C$7+R37*Methodology!$C$8+S37*Methodology!$C$9+T37*Methodology!$C$10)*20,0)</f>
        <v>67</v>
      </c>
      <c r="V37" s="32" t="str">
        <f>LOOKUP(U37,Methodology!$B$38:$B$42,Methodology!$C$38:$C$42)</f>
        <v>Medium</v>
      </c>
      <c r="W37" s="32" t="s">
        <v>241</v>
      </c>
      <c r="X37" s="32" t="s">
        <v>165</v>
      </c>
      <c r="Y37" s="32"/>
      <c r="Z37" s="32" t="s">
        <v>167</v>
      </c>
    </row>
    <row r="38" ht="15.75" customHeight="1">
      <c r="A38" s="30" t="s">
        <v>244</v>
      </c>
      <c r="B38" s="30" t="s">
        <v>17</v>
      </c>
      <c r="C38" s="30" t="s">
        <v>239</v>
      </c>
      <c r="D38" s="30" t="s">
        <v>240</v>
      </c>
      <c r="E38" s="30" t="s">
        <v>17</v>
      </c>
      <c r="F38" s="30" t="s">
        <v>21</v>
      </c>
      <c r="G38" s="30" t="s">
        <v>164</v>
      </c>
      <c r="H38" s="34">
        <v>3600.0</v>
      </c>
      <c r="I38" s="35">
        <v>40.0</v>
      </c>
      <c r="J38" s="30" t="s">
        <v>156</v>
      </c>
      <c r="K38" s="36">
        <v>3.9</v>
      </c>
      <c r="L38" s="30" t="s">
        <v>157</v>
      </c>
      <c r="M38" s="30" t="str">
        <f>LOOKUP(I38,Methodology!$B$46:$B$49,Methodology!$C$46:$C$49)</f>
        <v>Moderate</v>
      </c>
      <c r="N38" s="30" t="s">
        <v>208</v>
      </c>
      <c r="O38" s="37">
        <v>3.0</v>
      </c>
      <c r="P38" s="30">
        <f>LOOKUP(H38,Methodology!$B$15:$B$19,Methodology!$C$15:$C$19)</f>
        <v>5</v>
      </c>
      <c r="Q38" s="30">
        <f>LOOKUP(I38,Methodology!$B$23:$B$27,Methodology!$C$23:$C$27)</f>
        <v>3</v>
      </c>
      <c r="R38" s="30">
        <f t="array" ref="R38">INDEX(Methodology!$C$31:$C$34,MATCH(E38,Methodology!$B$31:$B$34,0))</f>
        <v>4</v>
      </c>
      <c r="S38" s="37">
        <v>3.0</v>
      </c>
      <c r="T38" s="37">
        <v>4.0</v>
      </c>
      <c r="U38" s="29">
        <f>ROUND((O38*Methodology!$C$5+P38*Methodology!$C$6+Q38*Methodology!$C$7+R38*Methodology!$C$8+S38*Methodology!$C$9+T38*Methodology!$C$10)*20,0)</f>
        <v>71</v>
      </c>
      <c r="V38" s="30" t="str">
        <f>LOOKUP(U38,Methodology!$B$38:$B$42,Methodology!$C$38:$C$42)</f>
        <v>Medium</v>
      </c>
      <c r="W38" s="30" t="s">
        <v>241</v>
      </c>
      <c r="X38" s="30" t="s">
        <v>165</v>
      </c>
      <c r="Y38" s="30"/>
      <c r="Z38" s="30" t="s">
        <v>167</v>
      </c>
    </row>
    <row r="39" ht="15.75" customHeight="1">
      <c r="A39" s="32" t="s">
        <v>245</v>
      </c>
      <c r="B39" s="32" t="s">
        <v>246</v>
      </c>
      <c r="C39" s="32" t="s">
        <v>239</v>
      </c>
      <c r="D39" s="32" t="s">
        <v>240</v>
      </c>
      <c r="E39" s="32" t="s">
        <v>17</v>
      </c>
      <c r="F39" s="32" t="s">
        <v>21</v>
      </c>
      <c r="G39" s="32" t="s">
        <v>164</v>
      </c>
      <c r="H39" s="38">
        <v>1900.0</v>
      </c>
      <c r="I39" s="39">
        <v>38.0</v>
      </c>
      <c r="J39" s="32" t="s">
        <v>156</v>
      </c>
      <c r="K39" s="40">
        <v>2.4</v>
      </c>
      <c r="L39" s="32" t="s">
        <v>157</v>
      </c>
      <c r="M39" s="32" t="str">
        <f>LOOKUP(I39,Methodology!$B$46:$B$49,Methodology!$C$46:$C$49)</f>
        <v>Moderate</v>
      </c>
      <c r="N39" s="32" t="s">
        <v>208</v>
      </c>
      <c r="O39" s="41">
        <v>3.0</v>
      </c>
      <c r="P39" s="32">
        <f>LOOKUP(H39,Methodology!$B$15:$B$19,Methodology!$C$15:$C$19)</f>
        <v>5</v>
      </c>
      <c r="Q39" s="32">
        <f>LOOKUP(I39,Methodology!$B$23:$B$27,Methodology!$C$23:$C$27)</f>
        <v>3</v>
      </c>
      <c r="R39" s="32">
        <f t="array" ref="R39">INDEX(Methodology!$C$31:$C$34,MATCH(E39,Methodology!$B$31:$B$34,0))</f>
        <v>4</v>
      </c>
      <c r="S39" s="41">
        <v>3.0</v>
      </c>
      <c r="T39" s="41">
        <v>4.0</v>
      </c>
      <c r="U39" s="24">
        <f>ROUND((O39*Methodology!$C$5+P39*Methodology!$C$6+Q39*Methodology!$C$7+R39*Methodology!$C$8+S39*Methodology!$C$9+T39*Methodology!$C$10)*20,0)</f>
        <v>71</v>
      </c>
      <c r="V39" s="32" t="str">
        <f>LOOKUP(U39,Methodology!$B$38:$B$42,Methodology!$C$38:$C$42)</f>
        <v>Medium</v>
      </c>
      <c r="W39" s="32" t="s">
        <v>247</v>
      </c>
      <c r="X39" s="32" t="s">
        <v>179</v>
      </c>
      <c r="Y39" s="32"/>
      <c r="Z39" s="32" t="s">
        <v>167</v>
      </c>
    </row>
    <row r="40" ht="15.75" customHeight="1">
      <c r="A40" s="30" t="s">
        <v>248</v>
      </c>
      <c r="B40" s="30" t="s">
        <v>227</v>
      </c>
      <c r="C40" s="30" t="s">
        <v>239</v>
      </c>
      <c r="D40" s="30" t="s">
        <v>240</v>
      </c>
      <c r="E40" s="30" t="s">
        <v>15</v>
      </c>
      <c r="F40" s="30" t="s">
        <v>20</v>
      </c>
      <c r="G40" s="30" t="s">
        <v>164</v>
      </c>
      <c r="H40" s="34">
        <v>6600.0</v>
      </c>
      <c r="I40" s="35">
        <v>42.0</v>
      </c>
      <c r="J40" s="30" t="s">
        <v>156</v>
      </c>
      <c r="K40" s="36">
        <v>1.9</v>
      </c>
      <c r="L40" s="30" t="s">
        <v>157</v>
      </c>
      <c r="M40" s="30" t="str">
        <f>LOOKUP(I40,Methodology!$B$46:$B$49,Methodology!$C$46:$C$49)</f>
        <v>Competitive</v>
      </c>
      <c r="N40" s="30" t="s">
        <v>208</v>
      </c>
      <c r="O40" s="37">
        <v>2.0</v>
      </c>
      <c r="P40" s="30">
        <f>LOOKUP(H40,Methodology!$B$15:$B$19,Methodology!$C$15:$C$19)</f>
        <v>5</v>
      </c>
      <c r="Q40" s="30">
        <f>LOOKUP(I40,Methodology!$B$23:$B$27,Methodology!$C$23:$C$27)</f>
        <v>2</v>
      </c>
      <c r="R40" s="30">
        <f t="array" ref="R40">INDEX(Methodology!$C$31:$C$34,MATCH(E40,Methodology!$B$31:$B$34,0))</f>
        <v>2</v>
      </c>
      <c r="S40" s="37">
        <v>1.0</v>
      </c>
      <c r="T40" s="37">
        <v>3.0</v>
      </c>
      <c r="U40" s="29">
        <f>ROUND((O40*Methodology!$C$5+P40*Methodology!$C$6+Q40*Methodology!$C$7+R40*Methodology!$C$8+S40*Methodology!$C$9+T40*Methodology!$C$10)*20,0)</f>
        <v>48</v>
      </c>
      <c r="V40" s="30" t="str">
        <f>LOOKUP(U40,Methodology!$B$38:$B$42,Methodology!$C$38:$C$42)</f>
        <v>Low</v>
      </c>
      <c r="W40" s="30" t="s">
        <v>249</v>
      </c>
      <c r="X40" s="30" t="s">
        <v>179</v>
      </c>
      <c r="Y40" s="30"/>
      <c r="Z40" s="30" t="s">
        <v>167</v>
      </c>
    </row>
    <row r="41" ht="15.75" customHeight="1">
      <c r="A41" s="32" t="s">
        <v>250</v>
      </c>
      <c r="B41" s="32" t="s">
        <v>15</v>
      </c>
      <c r="C41" s="32" t="s">
        <v>239</v>
      </c>
      <c r="D41" s="32" t="s">
        <v>240</v>
      </c>
      <c r="E41" s="32" t="s">
        <v>15</v>
      </c>
      <c r="F41" s="32" t="s">
        <v>20</v>
      </c>
      <c r="G41" s="32" t="s">
        <v>164</v>
      </c>
      <c r="H41" s="38">
        <v>4400.0</v>
      </c>
      <c r="I41" s="39">
        <v>40.0</v>
      </c>
      <c r="J41" s="32" t="s">
        <v>156</v>
      </c>
      <c r="K41" s="40">
        <v>1.6</v>
      </c>
      <c r="L41" s="32" t="s">
        <v>157</v>
      </c>
      <c r="M41" s="32" t="str">
        <f>LOOKUP(I41,Methodology!$B$46:$B$49,Methodology!$C$46:$C$49)</f>
        <v>Moderate</v>
      </c>
      <c r="N41" s="32" t="s">
        <v>208</v>
      </c>
      <c r="O41" s="41">
        <v>2.0</v>
      </c>
      <c r="P41" s="32">
        <f>LOOKUP(H41,Methodology!$B$15:$B$19,Methodology!$C$15:$C$19)</f>
        <v>5</v>
      </c>
      <c r="Q41" s="32">
        <f>LOOKUP(I41,Methodology!$B$23:$B$27,Methodology!$C$23:$C$27)</f>
        <v>3</v>
      </c>
      <c r="R41" s="32">
        <f t="array" ref="R41">INDEX(Methodology!$C$31:$C$34,MATCH(E41,Methodology!$B$31:$B$34,0))</f>
        <v>2</v>
      </c>
      <c r="S41" s="41">
        <v>1.0</v>
      </c>
      <c r="T41" s="41">
        <v>3.0</v>
      </c>
      <c r="U41" s="24">
        <f>ROUND((O41*Methodology!$C$5+P41*Methodology!$C$6+Q41*Methodology!$C$7+R41*Methodology!$C$8+S41*Methodology!$C$9+T41*Methodology!$C$10)*20,0)</f>
        <v>52</v>
      </c>
      <c r="V41" s="32" t="str">
        <f>LOOKUP(U41,Methodology!$B$38:$B$42,Methodology!$C$38:$C$42)</f>
        <v>Low</v>
      </c>
      <c r="W41" s="32" t="s">
        <v>251</v>
      </c>
      <c r="X41" s="32" t="s">
        <v>179</v>
      </c>
      <c r="Y41" s="32"/>
      <c r="Z41" s="32" t="s">
        <v>167</v>
      </c>
    </row>
    <row r="42" ht="15.75" customHeight="1">
      <c r="A42" s="30" t="s">
        <v>252</v>
      </c>
      <c r="B42" s="30" t="s">
        <v>181</v>
      </c>
      <c r="C42" s="30" t="s">
        <v>253</v>
      </c>
      <c r="D42" s="30" t="s">
        <v>254</v>
      </c>
      <c r="E42" s="30" t="s">
        <v>18</v>
      </c>
      <c r="F42" s="30" t="s">
        <v>22</v>
      </c>
      <c r="G42" s="30" t="s">
        <v>155</v>
      </c>
      <c r="H42" s="34">
        <v>10.0</v>
      </c>
      <c r="I42" s="35">
        <v>6.0</v>
      </c>
      <c r="J42" s="30" t="s">
        <v>156</v>
      </c>
      <c r="K42" s="36">
        <v>4.5</v>
      </c>
      <c r="L42" s="30" t="s">
        <v>157</v>
      </c>
      <c r="M42" s="30" t="str">
        <f>LOOKUP(I42,Methodology!$B$46:$B$49,Methodology!$C$46:$C$49)</f>
        <v>Easy</v>
      </c>
      <c r="N42" s="30" t="s">
        <v>184</v>
      </c>
      <c r="O42" s="37">
        <v>3.0</v>
      </c>
      <c r="P42" s="30">
        <f>LOOKUP(H42,Methodology!$B$15:$B$19,Methodology!$C$15:$C$19)</f>
        <v>1</v>
      </c>
      <c r="Q42" s="30">
        <f>LOOKUP(I42,Methodology!$B$23:$B$27,Methodology!$C$23:$C$27)</f>
        <v>5</v>
      </c>
      <c r="R42" s="30">
        <f t="array" ref="R42">INDEX(Methodology!$C$31:$C$34,MATCH(E42,Methodology!$B$31:$B$34,0))</f>
        <v>5</v>
      </c>
      <c r="S42" s="37">
        <v>5.0</v>
      </c>
      <c r="T42" s="37">
        <v>3.0</v>
      </c>
      <c r="U42" s="29">
        <f>ROUND((O42*Methodology!$C$5+P42*Methodology!$C$6+Q42*Methodology!$C$7+R42*Methodology!$C$8+S42*Methodology!$C$9+T42*Methodology!$C$10)*20,0)</f>
        <v>74</v>
      </c>
      <c r="V42" s="30" t="str">
        <f>LOOKUP(U42,Methodology!$B$38:$B$42,Methodology!$C$38:$C$42)</f>
        <v>Medium</v>
      </c>
      <c r="W42" s="30" t="s">
        <v>255</v>
      </c>
      <c r="X42" s="30" t="s">
        <v>165</v>
      </c>
      <c r="Y42" s="30" t="s">
        <v>256</v>
      </c>
      <c r="Z42" s="30" t="s">
        <v>162</v>
      </c>
    </row>
    <row r="43" ht="15.75" customHeight="1">
      <c r="A43" s="32" t="s">
        <v>257</v>
      </c>
      <c r="B43" s="32" t="s">
        <v>189</v>
      </c>
      <c r="C43" s="32" t="s">
        <v>253</v>
      </c>
      <c r="D43" s="32" t="s">
        <v>254</v>
      </c>
      <c r="E43" s="32" t="s">
        <v>15</v>
      </c>
      <c r="F43" s="32" t="s">
        <v>20</v>
      </c>
      <c r="G43" s="32" t="s">
        <v>164</v>
      </c>
      <c r="H43" s="38">
        <v>12100.0</v>
      </c>
      <c r="I43" s="39">
        <v>36.0</v>
      </c>
      <c r="J43" s="32" t="s">
        <v>156</v>
      </c>
      <c r="K43" s="40">
        <v>2.9</v>
      </c>
      <c r="L43" s="32" t="s">
        <v>157</v>
      </c>
      <c r="M43" s="32" t="str">
        <f>LOOKUP(I43,Methodology!$B$46:$B$49,Methodology!$C$46:$C$49)</f>
        <v>Moderate</v>
      </c>
      <c r="N43" s="32" t="s">
        <v>208</v>
      </c>
      <c r="O43" s="41">
        <v>2.0</v>
      </c>
      <c r="P43" s="32">
        <f>LOOKUP(H43,Methodology!$B$15:$B$19,Methodology!$C$15:$C$19)</f>
        <v>5</v>
      </c>
      <c r="Q43" s="32">
        <f>LOOKUP(I43,Methodology!$B$23:$B$27,Methodology!$C$23:$C$27)</f>
        <v>3</v>
      </c>
      <c r="R43" s="32">
        <f t="array" ref="R43">INDEX(Methodology!$C$31:$C$34,MATCH(E43,Methodology!$B$31:$B$34,0))</f>
        <v>2</v>
      </c>
      <c r="S43" s="41">
        <v>1.0</v>
      </c>
      <c r="T43" s="41">
        <v>2.0</v>
      </c>
      <c r="U43" s="24">
        <f>ROUND((O43*Methodology!$C$5+P43*Methodology!$C$6+Q43*Methodology!$C$7+R43*Methodology!$C$8+S43*Methodology!$C$9+T43*Methodology!$C$10)*20,0)</f>
        <v>50</v>
      </c>
      <c r="V43" s="32" t="str">
        <f>LOOKUP(U43,Methodology!$B$38:$B$42,Methodology!$C$38:$C$42)</f>
        <v>Low</v>
      </c>
      <c r="W43" s="32" t="s">
        <v>255</v>
      </c>
      <c r="X43" s="32" t="s">
        <v>165</v>
      </c>
      <c r="Y43" s="32"/>
      <c r="Z43" s="32" t="s">
        <v>167</v>
      </c>
    </row>
    <row r="44" ht="15.75" customHeight="1">
      <c r="A44" s="30" t="s">
        <v>258</v>
      </c>
      <c r="B44" s="30" t="s">
        <v>15</v>
      </c>
      <c r="C44" s="30" t="s">
        <v>253</v>
      </c>
      <c r="D44" s="30" t="s">
        <v>254</v>
      </c>
      <c r="E44" s="30" t="s">
        <v>15</v>
      </c>
      <c r="F44" s="30" t="s">
        <v>20</v>
      </c>
      <c r="G44" s="30" t="s">
        <v>164</v>
      </c>
      <c r="H44" s="34">
        <v>1000.0</v>
      </c>
      <c r="I44" s="35">
        <v>28.0</v>
      </c>
      <c r="J44" s="30" t="s">
        <v>156</v>
      </c>
      <c r="K44" s="36">
        <v>2.6</v>
      </c>
      <c r="L44" s="30" t="s">
        <v>157</v>
      </c>
      <c r="M44" s="30" t="str">
        <f>LOOKUP(I44,Methodology!$B$46:$B$49,Methodology!$C$46:$C$49)</f>
        <v>Moderate</v>
      </c>
      <c r="N44" s="30" t="s">
        <v>208</v>
      </c>
      <c r="O44" s="37">
        <v>2.0</v>
      </c>
      <c r="P44" s="30">
        <f>LOOKUP(H44,Methodology!$B$15:$B$19,Methodology!$C$15:$C$19)</f>
        <v>5</v>
      </c>
      <c r="Q44" s="30">
        <f>LOOKUP(I44,Methodology!$B$23:$B$27,Methodology!$C$23:$C$27)</f>
        <v>3</v>
      </c>
      <c r="R44" s="30">
        <f t="array" ref="R44">INDEX(Methodology!$C$31:$C$34,MATCH(E44,Methodology!$B$31:$B$34,0))</f>
        <v>2</v>
      </c>
      <c r="S44" s="37">
        <v>1.0</v>
      </c>
      <c r="T44" s="37">
        <v>2.0</v>
      </c>
      <c r="U44" s="29">
        <f>ROUND((O44*Methodology!$C$5+P44*Methodology!$C$6+Q44*Methodology!$C$7+R44*Methodology!$C$8+S44*Methodology!$C$9+T44*Methodology!$C$10)*20,0)</f>
        <v>50</v>
      </c>
      <c r="V44" s="30" t="str">
        <f>LOOKUP(U44,Methodology!$B$38:$B$42,Methodology!$C$38:$C$42)</f>
        <v>Low</v>
      </c>
      <c r="W44" s="30" t="s">
        <v>255</v>
      </c>
      <c r="X44" s="30" t="s">
        <v>165</v>
      </c>
      <c r="Y44" s="30"/>
      <c r="Z44" s="30" t="s">
        <v>167</v>
      </c>
    </row>
    <row r="45" ht="15.75" customHeight="1">
      <c r="A45" s="32" t="s">
        <v>259</v>
      </c>
      <c r="B45" s="32" t="s">
        <v>17</v>
      </c>
      <c r="C45" s="32" t="s">
        <v>253</v>
      </c>
      <c r="D45" s="32" t="s">
        <v>254</v>
      </c>
      <c r="E45" s="32" t="s">
        <v>17</v>
      </c>
      <c r="F45" s="32" t="s">
        <v>21</v>
      </c>
      <c r="G45" s="32" t="s">
        <v>164</v>
      </c>
      <c r="H45" s="38">
        <v>480.0</v>
      </c>
      <c r="I45" s="39">
        <v>26.0</v>
      </c>
      <c r="J45" s="32" t="s">
        <v>156</v>
      </c>
      <c r="K45" s="40">
        <v>3.8</v>
      </c>
      <c r="L45" s="32" t="s">
        <v>157</v>
      </c>
      <c r="M45" s="32" t="str">
        <f>LOOKUP(I45,Methodology!$B$46:$B$49,Methodology!$C$46:$C$49)</f>
        <v>Moderate</v>
      </c>
      <c r="N45" s="32" t="s">
        <v>195</v>
      </c>
      <c r="O45" s="41">
        <v>3.0</v>
      </c>
      <c r="P45" s="32">
        <f>LOOKUP(H45,Methodology!$B$15:$B$19,Methodology!$C$15:$C$19)</f>
        <v>4</v>
      </c>
      <c r="Q45" s="32">
        <f>LOOKUP(I45,Methodology!$B$23:$B$27,Methodology!$C$23:$C$27)</f>
        <v>3</v>
      </c>
      <c r="R45" s="32">
        <f t="array" ref="R45">INDEX(Methodology!$C$31:$C$34,MATCH(E45,Methodology!$B$31:$B$34,0))</f>
        <v>4</v>
      </c>
      <c r="S45" s="41">
        <v>3.0</v>
      </c>
      <c r="T45" s="41">
        <v>3.0</v>
      </c>
      <c r="U45" s="24">
        <f>ROUND((O45*Methodology!$C$5+P45*Methodology!$C$6+Q45*Methodology!$C$7+R45*Methodology!$C$8+S45*Methodology!$C$9+T45*Methodology!$C$10)*20,0)</f>
        <v>66</v>
      </c>
      <c r="V45" s="32" t="str">
        <f>LOOKUP(U45,Methodology!$B$38:$B$42,Methodology!$C$38:$C$42)</f>
        <v>Medium</v>
      </c>
      <c r="W45" s="32" t="s">
        <v>255</v>
      </c>
      <c r="X45" s="32" t="s">
        <v>165</v>
      </c>
      <c r="Y45" s="32"/>
      <c r="Z45" s="32" t="s">
        <v>167</v>
      </c>
    </row>
    <row r="46" ht="15.75" customHeight="1">
      <c r="A46" s="30" t="s">
        <v>260</v>
      </c>
      <c r="B46" s="30" t="s">
        <v>15</v>
      </c>
      <c r="C46" s="30" t="s">
        <v>253</v>
      </c>
      <c r="D46" s="30" t="s">
        <v>254</v>
      </c>
      <c r="E46" s="30" t="s">
        <v>15</v>
      </c>
      <c r="F46" s="30" t="s">
        <v>20</v>
      </c>
      <c r="G46" s="30" t="s">
        <v>164</v>
      </c>
      <c r="H46" s="34">
        <v>1600.0</v>
      </c>
      <c r="I46" s="35">
        <v>30.0</v>
      </c>
      <c r="J46" s="30" t="s">
        <v>156</v>
      </c>
      <c r="K46" s="36">
        <v>1.7</v>
      </c>
      <c r="L46" s="30" t="s">
        <v>157</v>
      </c>
      <c r="M46" s="30" t="str">
        <f>LOOKUP(I46,Methodology!$B$46:$B$49,Methodology!$C$46:$C$49)</f>
        <v>Moderate</v>
      </c>
      <c r="N46" s="30" t="s">
        <v>208</v>
      </c>
      <c r="O46" s="37">
        <v>2.0</v>
      </c>
      <c r="P46" s="30">
        <f>LOOKUP(H46,Methodology!$B$15:$B$19,Methodology!$C$15:$C$19)</f>
        <v>5</v>
      </c>
      <c r="Q46" s="30">
        <f>LOOKUP(I46,Methodology!$B$23:$B$27,Methodology!$C$23:$C$27)</f>
        <v>3</v>
      </c>
      <c r="R46" s="30">
        <f t="array" ref="R46">INDEX(Methodology!$C$31:$C$34,MATCH(E46,Methodology!$B$31:$B$34,0))</f>
        <v>2</v>
      </c>
      <c r="S46" s="37">
        <v>1.0</v>
      </c>
      <c r="T46" s="37">
        <v>2.0</v>
      </c>
      <c r="U46" s="29">
        <f>ROUND((O46*Methodology!$C$5+P46*Methodology!$C$6+Q46*Methodology!$C$7+R46*Methodology!$C$8+S46*Methodology!$C$9+T46*Methodology!$C$10)*20,0)</f>
        <v>50</v>
      </c>
      <c r="V46" s="30" t="str">
        <f>LOOKUP(U46,Methodology!$B$38:$B$42,Methodology!$C$38:$C$42)</f>
        <v>Low</v>
      </c>
      <c r="W46" s="30" t="s">
        <v>261</v>
      </c>
      <c r="X46" s="30" t="s">
        <v>179</v>
      </c>
      <c r="Y46" s="30"/>
      <c r="Z46" s="30" t="s">
        <v>167</v>
      </c>
    </row>
    <row r="47" ht="15.75" customHeight="1">
      <c r="A47" s="32" t="s">
        <v>262</v>
      </c>
      <c r="B47" s="32" t="s">
        <v>189</v>
      </c>
      <c r="C47" s="32" t="s">
        <v>263</v>
      </c>
      <c r="D47" s="32" t="s">
        <v>263</v>
      </c>
      <c r="E47" s="32" t="s">
        <v>18</v>
      </c>
      <c r="F47" s="32" t="s">
        <v>22</v>
      </c>
      <c r="G47" s="32" t="s">
        <v>155</v>
      </c>
      <c r="H47" s="38">
        <v>20.0</v>
      </c>
      <c r="I47" s="39">
        <v>10.0</v>
      </c>
      <c r="J47" s="32" t="s">
        <v>156</v>
      </c>
      <c r="K47" s="40">
        <v>8.8</v>
      </c>
      <c r="L47" s="32" t="s">
        <v>157</v>
      </c>
      <c r="M47" s="32" t="str">
        <f>LOOKUP(I47,Methodology!$B$46:$B$49,Methodology!$C$46:$C$49)</f>
        <v>Easy</v>
      </c>
      <c r="N47" s="32" t="s">
        <v>184</v>
      </c>
      <c r="O47" s="41">
        <v>4.0</v>
      </c>
      <c r="P47" s="32">
        <f>LOOKUP(H47,Methodology!$B$15:$B$19,Methodology!$C$15:$C$19)</f>
        <v>2</v>
      </c>
      <c r="Q47" s="32">
        <f>LOOKUP(I47,Methodology!$B$23:$B$27,Methodology!$C$23:$C$27)</f>
        <v>5</v>
      </c>
      <c r="R47" s="32">
        <f t="array" ref="R47">INDEX(Methodology!$C$31:$C$34,MATCH(E47,Methodology!$B$31:$B$34,0))</f>
        <v>5</v>
      </c>
      <c r="S47" s="41">
        <v>5.0</v>
      </c>
      <c r="T47" s="41">
        <v>4.0</v>
      </c>
      <c r="U47" s="24">
        <f>ROUND((O47*Methodology!$C$5+P47*Methodology!$C$6+Q47*Methodology!$C$7+R47*Methodology!$C$8+S47*Methodology!$C$9+T47*Methodology!$C$10)*20,0)</f>
        <v>84</v>
      </c>
      <c r="V47" s="32" t="str">
        <f>LOOKUP(U47,Methodology!$B$38:$B$42,Methodology!$C$38:$C$42)</f>
        <v>High</v>
      </c>
      <c r="W47" s="32" t="s">
        <v>264</v>
      </c>
      <c r="X47" s="32" t="s">
        <v>165</v>
      </c>
      <c r="Y47" s="32"/>
      <c r="Z47" s="32" t="s">
        <v>162</v>
      </c>
    </row>
    <row r="48" ht="15.75" customHeight="1">
      <c r="A48" s="30" t="s">
        <v>265</v>
      </c>
      <c r="B48" s="30" t="s">
        <v>17</v>
      </c>
      <c r="C48" s="30" t="s">
        <v>263</v>
      </c>
      <c r="D48" s="30" t="s">
        <v>263</v>
      </c>
      <c r="E48" s="30" t="s">
        <v>17</v>
      </c>
      <c r="F48" s="30" t="s">
        <v>21</v>
      </c>
      <c r="G48" s="30" t="s">
        <v>164</v>
      </c>
      <c r="H48" s="34">
        <v>22200.0</v>
      </c>
      <c r="I48" s="35">
        <v>55.0</v>
      </c>
      <c r="J48" s="30" t="s">
        <v>156</v>
      </c>
      <c r="K48" s="36">
        <v>7.9</v>
      </c>
      <c r="L48" s="30" t="s">
        <v>157</v>
      </c>
      <c r="M48" s="30" t="str">
        <f>LOOKUP(I48,Methodology!$B$46:$B$49,Methodology!$C$46:$C$49)</f>
        <v>Competitive</v>
      </c>
      <c r="N48" s="30" t="s">
        <v>195</v>
      </c>
      <c r="O48" s="37">
        <v>4.0</v>
      </c>
      <c r="P48" s="30">
        <f>LOOKUP(H48,Methodology!$B$15:$B$19,Methodology!$C$15:$C$19)</f>
        <v>5</v>
      </c>
      <c r="Q48" s="30">
        <f>LOOKUP(I48,Methodology!$B$23:$B$27,Methodology!$C$23:$C$27)</f>
        <v>2</v>
      </c>
      <c r="R48" s="30">
        <f t="array" ref="R48">INDEX(Methodology!$C$31:$C$34,MATCH(E48,Methodology!$B$31:$B$34,0))</f>
        <v>4</v>
      </c>
      <c r="S48" s="37">
        <v>3.0</v>
      </c>
      <c r="T48" s="37">
        <v>4.0</v>
      </c>
      <c r="U48" s="29">
        <f>ROUND((O48*Methodology!$C$5+P48*Methodology!$C$6+Q48*Methodology!$C$7+R48*Methodology!$C$8+S48*Methodology!$C$9+T48*Methodology!$C$10)*20,0)</f>
        <v>72</v>
      </c>
      <c r="V48" s="30" t="str">
        <f>LOOKUP(U48,Methodology!$B$38:$B$42,Methodology!$C$38:$C$42)</f>
        <v>Medium</v>
      </c>
      <c r="W48" s="30" t="s">
        <v>264</v>
      </c>
      <c r="X48" s="30" t="s">
        <v>165</v>
      </c>
      <c r="Y48" s="30"/>
      <c r="Z48" s="30" t="s">
        <v>167</v>
      </c>
    </row>
    <row r="49" ht="15.75" customHeight="1">
      <c r="A49" s="32" t="s">
        <v>266</v>
      </c>
      <c r="B49" s="32" t="s">
        <v>246</v>
      </c>
      <c r="C49" s="32" t="s">
        <v>263</v>
      </c>
      <c r="D49" s="32" t="s">
        <v>263</v>
      </c>
      <c r="E49" s="32" t="s">
        <v>17</v>
      </c>
      <c r="F49" s="32" t="s">
        <v>21</v>
      </c>
      <c r="G49" s="32" t="s">
        <v>164</v>
      </c>
      <c r="H49" s="38">
        <v>1300.0</v>
      </c>
      <c r="I49" s="39">
        <v>35.0</v>
      </c>
      <c r="J49" s="32" t="s">
        <v>156</v>
      </c>
      <c r="K49" s="40">
        <v>3.3</v>
      </c>
      <c r="L49" s="32" t="s">
        <v>157</v>
      </c>
      <c r="M49" s="32" t="str">
        <f>LOOKUP(I49,Methodology!$B$46:$B$49,Methodology!$C$46:$C$49)</f>
        <v>Moderate</v>
      </c>
      <c r="N49" s="32" t="s">
        <v>208</v>
      </c>
      <c r="O49" s="41">
        <v>4.0</v>
      </c>
      <c r="P49" s="32">
        <f>LOOKUP(H49,Methodology!$B$15:$B$19,Methodology!$C$15:$C$19)</f>
        <v>5</v>
      </c>
      <c r="Q49" s="32">
        <f>LOOKUP(I49,Methodology!$B$23:$B$27,Methodology!$C$23:$C$27)</f>
        <v>3</v>
      </c>
      <c r="R49" s="32">
        <f t="array" ref="R49">INDEX(Methodology!$C$31:$C$34,MATCH(E49,Methodology!$B$31:$B$34,0))</f>
        <v>4</v>
      </c>
      <c r="S49" s="41">
        <v>3.0</v>
      </c>
      <c r="T49" s="41">
        <v>4.0</v>
      </c>
      <c r="U49" s="24">
        <f>ROUND((O49*Methodology!$C$5+P49*Methodology!$C$6+Q49*Methodology!$C$7+R49*Methodology!$C$8+S49*Methodology!$C$9+T49*Methodology!$C$10)*20,0)</f>
        <v>76</v>
      </c>
      <c r="V49" s="32" t="str">
        <f>LOOKUP(U49,Methodology!$B$38:$B$42,Methodology!$C$38:$C$42)</f>
        <v>High</v>
      </c>
      <c r="W49" s="32" t="s">
        <v>264</v>
      </c>
      <c r="X49" s="32" t="s">
        <v>165</v>
      </c>
      <c r="Y49" s="32"/>
      <c r="Z49" s="32" t="s">
        <v>167</v>
      </c>
    </row>
    <row r="50" ht="15.75" customHeight="1">
      <c r="A50" s="30" t="s">
        <v>267</v>
      </c>
      <c r="B50" s="30" t="s">
        <v>15</v>
      </c>
      <c r="C50" s="30" t="s">
        <v>263</v>
      </c>
      <c r="D50" s="30" t="s">
        <v>263</v>
      </c>
      <c r="E50" s="30" t="s">
        <v>15</v>
      </c>
      <c r="F50" s="30" t="s">
        <v>20</v>
      </c>
      <c r="G50" s="30" t="s">
        <v>164</v>
      </c>
      <c r="H50" s="34">
        <v>2900.0</v>
      </c>
      <c r="I50" s="35">
        <v>38.0</v>
      </c>
      <c r="J50" s="30" t="s">
        <v>156</v>
      </c>
      <c r="K50" s="36">
        <v>2.2</v>
      </c>
      <c r="L50" s="30" t="s">
        <v>157</v>
      </c>
      <c r="M50" s="30" t="str">
        <f>LOOKUP(I50,Methodology!$B$46:$B$49,Methodology!$C$46:$C$49)</f>
        <v>Moderate</v>
      </c>
      <c r="N50" s="30" t="s">
        <v>208</v>
      </c>
      <c r="O50" s="37">
        <v>3.0</v>
      </c>
      <c r="P50" s="30">
        <f>LOOKUP(H50,Methodology!$B$15:$B$19,Methodology!$C$15:$C$19)</f>
        <v>5</v>
      </c>
      <c r="Q50" s="30">
        <f>LOOKUP(I50,Methodology!$B$23:$B$27,Methodology!$C$23:$C$27)</f>
        <v>3</v>
      </c>
      <c r="R50" s="30">
        <f t="array" ref="R50">INDEX(Methodology!$C$31:$C$34,MATCH(E50,Methodology!$B$31:$B$34,0))</f>
        <v>2</v>
      </c>
      <c r="S50" s="37">
        <v>1.0</v>
      </c>
      <c r="T50" s="37">
        <v>3.0</v>
      </c>
      <c r="U50" s="29">
        <f>ROUND((O50*Methodology!$C$5+P50*Methodology!$C$6+Q50*Methodology!$C$7+R50*Methodology!$C$8+S50*Methodology!$C$9+T50*Methodology!$C$10)*20,0)</f>
        <v>57</v>
      </c>
      <c r="V50" s="30" t="str">
        <f>LOOKUP(U50,Methodology!$B$38:$B$42,Methodology!$C$38:$C$42)</f>
        <v>Low</v>
      </c>
      <c r="W50" s="30" t="s">
        <v>264</v>
      </c>
      <c r="X50" s="30" t="s">
        <v>165</v>
      </c>
      <c r="Y50" s="30"/>
      <c r="Z50" s="30" t="s">
        <v>167</v>
      </c>
    </row>
    <row r="51" ht="15.75" customHeight="1">
      <c r="A51" s="32" t="s">
        <v>268</v>
      </c>
      <c r="B51" s="32" t="s">
        <v>15</v>
      </c>
      <c r="C51" s="32" t="s">
        <v>263</v>
      </c>
      <c r="D51" s="32" t="s">
        <v>263</v>
      </c>
      <c r="E51" s="32" t="s">
        <v>15</v>
      </c>
      <c r="F51" s="32" t="s">
        <v>20</v>
      </c>
      <c r="G51" s="32" t="s">
        <v>164</v>
      </c>
      <c r="H51" s="38">
        <v>4400.0</v>
      </c>
      <c r="I51" s="39">
        <v>40.0</v>
      </c>
      <c r="J51" s="32" t="s">
        <v>156</v>
      </c>
      <c r="K51" s="40">
        <v>2.6</v>
      </c>
      <c r="L51" s="32" t="s">
        <v>157</v>
      </c>
      <c r="M51" s="32" t="str">
        <f>LOOKUP(I51,Methodology!$B$46:$B$49,Methodology!$C$46:$C$49)</f>
        <v>Moderate</v>
      </c>
      <c r="N51" s="32" t="s">
        <v>208</v>
      </c>
      <c r="O51" s="41">
        <v>3.0</v>
      </c>
      <c r="P51" s="32">
        <f>LOOKUP(H51,Methodology!$B$15:$B$19,Methodology!$C$15:$C$19)</f>
        <v>5</v>
      </c>
      <c r="Q51" s="32">
        <f>LOOKUP(I51,Methodology!$B$23:$B$27,Methodology!$C$23:$C$27)</f>
        <v>3</v>
      </c>
      <c r="R51" s="32">
        <f t="array" ref="R51">INDEX(Methodology!$C$31:$C$34,MATCH(E51,Methodology!$B$31:$B$34,0))</f>
        <v>2</v>
      </c>
      <c r="S51" s="41">
        <v>1.0</v>
      </c>
      <c r="T51" s="41">
        <v>3.0</v>
      </c>
      <c r="U51" s="24">
        <f>ROUND((O51*Methodology!$C$5+P51*Methodology!$C$6+Q51*Methodology!$C$7+R51*Methodology!$C$8+S51*Methodology!$C$9+T51*Methodology!$C$10)*20,0)</f>
        <v>57</v>
      </c>
      <c r="V51" s="32" t="str">
        <f>LOOKUP(U51,Methodology!$B$38:$B$42,Methodology!$C$38:$C$42)</f>
        <v>Low</v>
      </c>
      <c r="W51" s="32" t="s">
        <v>269</v>
      </c>
      <c r="X51" s="32" t="s">
        <v>179</v>
      </c>
      <c r="Y51" s="32"/>
      <c r="Z51" s="32" t="s">
        <v>167</v>
      </c>
    </row>
    <row r="52" ht="15.75" customHeight="1">
      <c r="A52" s="30" t="s">
        <v>270</v>
      </c>
      <c r="B52" s="30" t="s">
        <v>18</v>
      </c>
      <c r="C52" s="30" t="s">
        <v>263</v>
      </c>
      <c r="D52" s="30" t="s">
        <v>263</v>
      </c>
      <c r="E52" s="30" t="s">
        <v>18</v>
      </c>
      <c r="F52" s="30" t="s">
        <v>22</v>
      </c>
      <c r="G52" s="30" t="s">
        <v>164</v>
      </c>
      <c r="H52" s="34">
        <v>3600.0</v>
      </c>
      <c r="I52" s="35">
        <v>50.0</v>
      </c>
      <c r="J52" s="30" t="s">
        <v>156</v>
      </c>
      <c r="K52" s="36">
        <v>8.5</v>
      </c>
      <c r="L52" s="30" t="s">
        <v>157</v>
      </c>
      <c r="M52" s="30" t="str">
        <f>LOOKUP(I52,Methodology!$B$46:$B$49,Methodology!$C$46:$C$49)</f>
        <v>Competitive</v>
      </c>
      <c r="N52" s="30" t="s">
        <v>184</v>
      </c>
      <c r="O52" s="37">
        <v>4.0</v>
      </c>
      <c r="P52" s="30">
        <f>LOOKUP(H52,Methodology!$B$15:$B$19,Methodology!$C$15:$C$19)</f>
        <v>5</v>
      </c>
      <c r="Q52" s="30">
        <f>LOOKUP(I52,Methodology!$B$23:$B$27,Methodology!$C$23:$C$27)</f>
        <v>2</v>
      </c>
      <c r="R52" s="30">
        <f t="array" ref="R52">INDEX(Methodology!$C$31:$C$34,MATCH(E52,Methodology!$B$31:$B$34,0))</f>
        <v>5</v>
      </c>
      <c r="S52" s="37">
        <v>5.0</v>
      </c>
      <c r="T52" s="37">
        <v>4.0</v>
      </c>
      <c r="U52" s="29">
        <f>ROUND((O52*Methodology!$C$5+P52*Methodology!$C$6+Q52*Methodology!$C$7+R52*Methodology!$C$8+S52*Methodology!$C$9+T52*Methodology!$C$10)*20,0)</f>
        <v>81</v>
      </c>
      <c r="V52" s="30" t="str">
        <f>LOOKUP(U52,Methodology!$B$38:$B$42,Methodology!$C$38:$C$42)</f>
        <v>High</v>
      </c>
      <c r="W52" s="30" t="s">
        <v>264</v>
      </c>
      <c r="X52" s="30" t="s">
        <v>165</v>
      </c>
      <c r="Y52" s="30" t="s">
        <v>271</v>
      </c>
      <c r="Z52" s="30" t="s">
        <v>167</v>
      </c>
    </row>
    <row r="53" ht="15.75" customHeight="1">
      <c r="A53" s="32" t="s">
        <v>272</v>
      </c>
      <c r="B53" s="32" t="s">
        <v>189</v>
      </c>
      <c r="C53" s="32" t="s">
        <v>273</v>
      </c>
      <c r="D53" s="32" t="s">
        <v>273</v>
      </c>
      <c r="E53" s="32" t="s">
        <v>18</v>
      </c>
      <c r="F53" s="32" t="s">
        <v>22</v>
      </c>
      <c r="G53" s="32" t="s">
        <v>155</v>
      </c>
      <c r="H53" s="38">
        <v>10.0</v>
      </c>
      <c r="I53" s="39">
        <v>9.0</v>
      </c>
      <c r="J53" s="32" t="s">
        <v>156</v>
      </c>
      <c r="K53" s="40">
        <v>7.2</v>
      </c>
      <c r="L53" s="32" t="s">
        <v>157</v>
      </c>
      <c r="M53" s="32" t="str">
        <f>LOOKUP(I53,Methodology!$B$46:$B$49,Methodology!$C$46:$C$49)</f>
        <v>Easy</v>
      </c>
      <c r="N53" s="32" t="s">
        <v>184</v>
      </c>
      <c r="O53" s="41">
        <v>3.0</v>
      </c>
      <c r="P53" s="32">
        <f>LOOKUP(H53,Methodology!$B$15:$B$19,Methodology!$C$15:$C$19)</f>
        <v>1</v>
      </c>
      <c r="Q53" s="32">
        <f>LOOKUP(I53,Methodology!$B$23:$B$27,Methodology!$C$23:$C$27)</f>
        <v>5</v>
      </c>
      <c r="R53" s="32">
        <f t="array" ref="R53">INDEX(Methodology!$C$31:$C$34,MATCH(E53,Methodology!$B$31:$B$34,0))</f>
        <v>5</v>
      </c>
      <c r="S53" s="41">
        <v>5.0</v>
      </c>
      <c r="T53" s="41">
        <v>4.0</v>
      </c>
      <c r="U53" s="24">
        <f>ROUND((O53*Methodology!$C$5+P53*Methodology!$C$6+Q53*Methodology!$C$7+R53*Methodology!$C$8+S53*Methodology!$C$9+T53*Methodology!$C$10)*20,0)</f>
        <v>76</v>
      </c>
      <c r="V53" s="32" t="str">
        <f>LOOKUP(U53,Methodology!$B$38:$B$42,Methodology!$C$38:$C$42)</f>
        <v>High</v>
      </c>
      <c r="W53" s="32" t="s">
        <v>274</v>
      </c>
      <c r="X53" s="32" t="s">
        <v>165</v>
      </c>
      <c r="Y53" s="32"/>
      <c r="Z53" s="32" t="s">
        <v>162</v>
      </c>
    </row>
    <row r="54" ht="15.75" customHeight="1">
      <c r="A54" s="30" t="s">
        <v>275</v>
      </c>
      <c r="B54" s="30" t="s">
        <v>17</v>
      </c>
      <c r="C54" s="30" t="s">
        <v>273</v>
      </c>
      <c r="D54" s="30" t="s">
        <v>273</v>
      </c>
      <c r="E54" s="30" t="s">
        <v>17</v>
      </c>
      <c r="F54" s="30" t="s">
        <v>21</v>
      </c>
      <c r="G54" s="30" t="s">
        <v>164</v>
      </c>
      <c r="H54" s="34">
        <v>9900.0</v>
      </c>
      <c r="I54" s="35">
        <v>52.0</v>
      </c>
      <c r="J54" s="30" t="s">
        <v>156</v>
      </c>
      <c r="K54" s="36">
        <v>7.4</v>
      </c>
      <c r="L54" s="30" t="s">
        <v>157</v>
      </c>
      <c r="M54" s="30" t="str">
        <f>LOOKUP(I54,Methodology!$B$46:$B$49,Methodology!$C$46:$C$49)</f>
        <v>Competitive</v>
      </c>
      <c r="N54" s="30" t="s">
        <v>195</v>
      </c>
      <c r="O54" s="37">
        <v>3.0</v>
      </c>
      <c r="P54" s="30">
        <f>LOOKUP(H54,Methodology!$B$15:$B$19,Methodology!$C$15:$C$19)</f>
        <v>5</v>
      </c>
      <c r="Q54" s="30">
        <f>LOOKUP(I54,Methodology!$B$23:$B$27,Methodology!$C$23:$C$27)</f>
        <v>2</v>
      </c>
      <c r="R54" s="30">
        <f t="array" ref="R54">INDEX(Methodology!$C$31:$C$34,MATCH(E54,Methodology!$B$31:$B$34,0))</f>
        <v>4</v>
      </c>
      <c r="S54" s="37">
        <v>3.0</v>
      </c>
      <c r="T54" s="37">
        <v>4.0</v>
      </c>
      <c r="U54" s="29">
        <f>ROUND((O54*Methodology!$C$5+P54*Methodology!$C$6+Q54*Methodology!$C$7+R54*Methodology!$C$8+S54*Methodology!$C$9+T54*Methodology!$C$10)*20,0)</f>
        <v>67</v>
      </c>
      <c r="V54" s="30" t="str">
        <f>LOOKUP(U54,Methodology!$B$38:$B$42,Methodology!$C$38:$C$42)</f>
        <v>Medium</v>
      </c>
      <c r="W54" s="30" t="s">
        <v>274</v>
      </c>
      <c r="X54" s="30" t="s">
        <v>165</v>
      </c>
      <c r="Y54" s="30"/>
      <c r="Z54" s="30" t="s">
        <v>167</v>
      </c>
    </row>
    <row r="55" ht="15.75" customHeight="1">
      <c r="A55" s="32" t="s">
        <v>276</v>
      </c>
      <c r="B55" s="32" t="s">
        <v>15</v>
      </c>
      <c r="C55" s="32" t="s">
        <v>273</v>
      </c>
      <c r="D55" s="32" t="s">
        <v>273</v>
      </c>
      <c r="E55" s="32" t="s">
        <v>15</v>
      </c>
      <c r="F55" s="32" t="s">
        <v>20</v>
      </c>
      <c r="G55" s="32" t="s">
        <v>164</v>
      </c>
      <c r="H55" s="38">
        <v>3600.0</v>
      </c>
      <c r="I55" s="39">
        <v>38.0</v>
      </c>
      <c r="J55" s="32" t="s">
        <v>156</v>
      </c>
      <c r="K55" s="40">
        <v>2.8</v>
      </c>
      <c r="L55" s="32" t="s">
        <v>157</v>
      </c>
      <c r="M55" s="32" t="str">
        <f>LOOKUP(I55,Methodology!$B$46:$B$49,Methodology!$C$46:$C$49)</f>
        <v>Moderate</v>
      </c>
      <c r="N55" s="32" t="s">
        <v>208</v>
      </c>
      <c r="O55" s="41">
        <v>2.0</v>
      </c>
      <c r="P55" s="32">
        <f>LOOKUP(H55,Methodology!$B$15:$B$19,Methodology!$C$15:$C$19)</f>
        <v>5</v>
      </c>
      <c r="Q55" s="32">
        <f>LOOKUP(I55,Methodology!$B$23:$B$27,Methodology!$C$23:$C$27)</f>
        <v>3</v>
      </c>
      <c r="R55" s="32">
        <f t="array" ref="R55">INDEX(Methodology!$C$31:$C$34,MATCH(E55,Methodology!$B$31:$B$34,0))</f>
        <v>2</v>
      </c>
      <c r="S55" s="41">
        <v>1.0</v>
      </c>
      <c r="T55" s="41">
        <v>3.0</v>
      </c>
      <c r="U55" s="24">
        <f>ROUND((O55*Methodology!$C$5+P55*Methodology!$C$6+Q55*Methodology!$C$7+R55*Methodology!$C$8+S55*Methodology!$C$9+T55*Methodology!$C$10)*20,0)</f>
        <v>52</v>
      </c>
      <c r="V55" s="32" t="str">
        <f>LOOKUP(U55,Methodology!$B$38:$B$42,Methodology!$C$38:$C$42)</f>
        <v>Low</v>
      </c>
      <c r="W55" s="32" t="s">
        <v>274</v>
      </c>
      <c r="X55" s="32" t="s">
        <v>165</v>
      </c>
      <c r="Y55" s="32"/>
      <c r="Z55" s="32" t="s">
        <v>167</v>
      </c>
    </row>
    <row r="56" ht="15.75" customHeight="1">
      <c r="A56" s="30" t="s">
        <v>277</v>
      </c>
      <c r="B56" s="30" t="s">
        <v>246</v>
      </c>
      <c r="C56" s="30" t="s">
        <v>273</v>
      </c>
      <c r="D56" s="30" t="s">
        <v>273</v>
      </c>
      <c r="E56" s="30" t="s">
        <v>17</v>
      </c>
      <c r="F56" s="30" t="s">
        <v>21</v>
      </c>
      <c r="G56" s="30" t="s">
        <v>164</v>
      </c>
      <c r="H56" s="34">
        <v>6600.0</v>
      </c>
      <c r="I56" s="35">
        <v>48.0</v>
      </c>
      <c r="J56" s="30" t="s">
        <v>156</v>
      </c>
      <c r="K56" s="36">
        <v>6.8</v>
      </c>
      <c r="L56" s="30" t="s">
        <v>157</v>
      </c>
      <c r="M56" s="30" t="str">
        <f>LOOKUP(I56,Methodology!$B$46:$B$49,Methodology!$C$46:$C$49)</f>
        <v>Competitive</v>
      </c>
      <c r="N56" s="30" t="s">
        <v>208</v>
      </c>
      <c r="O56" s="37">
        <v>3.0</v>
      </c>
      <c r="P56" s="30">
        <f>LOOKUP(H56,Methodology!$B$15:$B$19,Methodology!$C$15:$C$19)</f>
        <v>5</v>
      </c>
      <c r="Q56" s="30">
        <f>LOOKUP(I56,Methodology!$B$23:$B$27,Methodology!$C$23:$C$27)</f>
        <v>2</v>
      </c>
      <c r="R56" s="30">
        <f t="array" ref="R56">INDEX(Methodology!$C$31:$C$34,MATCH(E56,Methodology!$B$31:$B$34,0))</f>
        <v>4</v>
      </c>
      <c r="S56" s="37">
        <v>3.0</v>
      </c>
      <c r="T56" s="37">
        <v>4.0</v>
      </c>
      <c r="U56" s="29">
        <f>ROUND((O56*Methodology!$C$5+P56*Methodology!$C$6+Q56*Methodology!$C$7+R56*Methodology!$C$8+S56*Methodology!$C$9+T56*Methodology!$C$10)*20,0)</f>
        <v>67</v>
      </c>
      <c r="V56" s="30" t="str">
        <f>LOOKUP(U56,Methodology!$B$38:$B$42,Methodology!$C$38:$C$42)</f>
        <v>Medium</v>
      </c>
      <c r="W56" s="30" t="s">
        <v>278</v>
      </c>
      <c r="X56" s="30" t="s">
        <v>179</v>
      </c>
      <c r="Y56" s="30"/>
      <c r="Z56" s="30" t="s">
        <v>167</v>
      </c>
    </row>
    <row r="57" ht="15.75" customHeight="1">
      <c r="A57" s="32" t="s">
        <v>279</v>
      </c>
      <c r="B57" s="32" t="s">
        <v>189</v>
      </c>
      <c r="C57" s="32" t="s">
        <v>280</v>
      </c>
      <c r="D57" s="32" t="s">
        <v>281</v>
      </c>
      <c r="E57" s="32" t="s">
        <v>18</v>
      </c>
      <c r="F57" s="32" t="s">
        <v>22</v>
      </c>
      <c r="G57" s="32" t="s">
        <v>155</v>
      </c>
      <c r="H57" s="38">
        <v>30.0</v>
      </c>
      <c r="I57" s="39">
        <v>12.0</v>
      </c>
      <c r="J57" s="32" t="s">
        <v>156</v>
      </c>
      <c r="K57" s="40">
        <v>12.5</v>
      </c>
      <c r="L57" s="32" t="s">
        <v>157</v>
      </c>
      <c r="M57" s="32" t="str">
        <f>LOOKUP(I57,Methodology!$B$46:$B$49,Methodology!$C$46:$C$49)</f>
        <v>Easy</v>
      </c>
      <c r="N57" s="32" t="s">
        <v>184</v>
      </c>
      <c r="O57" s="41">
        <v>5.0</v>
      </c>
      <c r="P57" s="32">
        <f>LOOKUP(H57,Methodology!$B$15:$B$19,Methodology!$C$15:$C$19)</f>
        <v>2</v>
      </c>
      <c r="Q57" s="32">
        <f>LOOKUP(I57,Methodology!$B$23:$B$27,Methodology!$C$23:$C$27)</f>
        <v>5</v>
      </c>
      <c r="R57" s="32">
        <f t="array" ref="R57">INDEX(Methodology!$C$31:$C$34,MATCH(E57,Methodology!$B$31:$B$34,0))</f>
        <v>5</v>
      </c>
      <c r="S57" s="41">
        <v>5.0</v>
      </c>
      <c r="T57" s="41">
        <v>4.0</v>
      </c>
      <c r="U57" s="24">
        <f>ROUND((O57*Methodology!$C$5+P57*Methodology!$C$6+Q57*Methodology!$C$7+R57*Methodology!$C$8+S57*Methodology!$C$9+T57*Methodology!$C$10)*20,0)</f>
        <v>89</v>
      </c>
      <c r="V57" s="32" t="str">
        <f>LOOKUP(U57,Methodology!$B$38:$B$42,Methodology!$C$38:$C$42)</f>
        <v>High</v>
      </c>
      <c r="W57" s="32" t="s">
        <v>282</v>
      </c>
      <c r="X57" s="32" t="s">
        <v>165</v>
      </c>
      <c r="Y57" s="32" t="s">
        <v>283</v>
      </c>
      <c r="Z57" s="32" t="s">
        <v>162</v>
      </c>
    </row>
    <row r="58" ht="15.75" customHeight="1">
      <c r="A58" s="30" t="s">
        <v>284</v>
      </c>
      <c r="B58" s="30" t="s">
        <v>18</v>
      </c>
      <c r="C58" s="30" t="s">
        <v>280</v>
      </c>
      <c r="D58" s="30" t="s">
        <v>281</v>
      </c>
      <c r="E58" s="30" t="s">
        <v>18</v>
      </c>
      <c r="F58" s="30" t="s">
        <v>22</v>
      </c>
      <c r="G58" s="30" t="s">
        <v>164</v>
      </c>
      <c r="H58" s="34">
        <v>33100.0</v>
      </c>
      <c r="I58" s="35">
        <v>60.0</v>
      </c>
      <c r="J58" s="30" t="s">
        <v>156</v>
      </c>
      <c r="K58" s="36">
        <v>11.2</v>
      </c>
      <c r="L58" s="30" t="s">
        <v>157</v>
      </c>
      <c r="M58" s="30" t="str">
        <f>LOOKUP(I58,Methodology!$B$46:$B$49,Methodology!$C$46:$C$49)</f>
        <v>Competitive</v>
      </c>
      <c r="N58" s="30" t="s">
        <v>184</v>
      </c>
      <c r="O58" s="37">
        <v>5.0</v>
      </c>
      <c r="P58" s="30">
        <f>LOOKUP(H58,Methodology!$B$15:$B$19,Methodology!$C$15:$C$19)</f>
        <v>5</v>
      </c>
      <c r="Q58" s="30">
        <f>LOOKUP(I58,Methodology!$B$23:$B$27,Methodology!$C$23:$C$27)</f>
        <v>1</v>
      </c>
      <c r="R58" s="30">
        <f t="array" ref="R58">INDEX(Methodology!$C$31:$C$34,MATCH(E58,Methodology!$B$31:$B$34,0))</f>
        <v>5</v>
      </c>
      <c r="S58" s="37">
        <v>5.0</v>
      </c>
      <c r="T58" s="37">
        <v>4.0</v>
      </c>
      <c r="U58" s="29">
        <f>ROUND((O58*Methodology!$C$5+P58*Methodology!$C$6+Q58*Methodology!$C$7+R58*Methodology!$C$8+S58*Methodology!$C$9+T58*Methodology!$C$10)*20,0)</f>
        <v>82</v>
      </c>
      <c r="V58" s="30" t="str">
        <f>LOOKUP(U58,Methodology!$B$38:$B$42,Methodology!$C$38:$C$42)</f>
        <v>High</v>
      </c>
      <c r="W58" s="30" t="s">
        <v>282</v>
      </c>
      <c r="X58" s="30" t="s">
        <v>165</v>
      </c>
      <c r="Y58" s="30"/>
      <c r="Z58" s="30" t="s">
        <v>167</v>
      </c>
    </row>
    <row r="59" ht="15.75" customHeight="1">
      <c r="A59" s="32" t="s">
        <v>285</v>
      </c>
      <c r="B59" s="32" t="s">
        <v>17</v>
      </c>
      <c r="C59" s="32" t="s">
        <v>280</v>
      </c>
      <c r="D59" s="32" t="s">
        <v>281</v>
      </c>
      <c r="E59" s="32" t="s">
        <v>17</v>
      </c>
      <c r="F59" s="32" t="s">
        <v>21</v>
      </c>
      <c r="G59" s="32" t="s">
        <v>164</v>
      </c>
      <c r="H59" s="38">
        <v>40500.0</v>
      </c>
      <c r="I59" s="39">
        <v>62.0</v>
      </c>
      <c r="J59" s="32" t="s">
        <v>156</v>
      </c>
      <c r="K59" s="40">
        <v>9.1</v>
      </c>
      <c r="L59" s="32" t="s">
        <v>157</v>
      </c>
      <c r="M59" s="32" t="str">
        <f>LOOKUP(I59,Methodology!$B$46:$B$49,Methodology!$C$46:$C$49)</f>
        <v>Competitive</v>
      </c>
      <c r="N59" s="32" t="s">
        <v>195</v>
      </c>
      <c r="O59" s="41">
        <v>5.0</v>
      </c>
      <c r="P59" s="32">
        <f>LOOKUP(H59,Methodology!$B$15:$B$19,Methodology!$C$15:$C$19)</f>
        <v>5</v>
      </c>
      <c r="Q59" s="32">
        <f>LOOKUP(I59,Methodology!$B$23:$B$27,Methodology!$C$23:$C$27)</f>
        <v>1</v>
      </c>
      <c r="R59" s="32">
        <f t="array" ref="R59">INDEX(Methodology!$C$31:$C$34,MATCH(E59,Methodology!$B$31:$B$34,0))</f>
        <v>4</v>
      </c>
      <c r="S59" s="41">
        <v>3.0</v>
      </c>
      <c r="T59" s="41">
        <v>4.0</v>
      </c>
      <c r="U59" s="24">
        <f>ROUND((O59*Methodology!$C$5+P59*Methodology!$C$6+Q59*Methodology!$C$7+R59*Methodology!$C$8+S59*Methodology!$C$9+T59*Methodology!$C$10)*20,0)</f>
        <v>73</v>
      </c>
      <c r="V59" s="32" t="str">
        <f>LOOKUP(U59,Methodology!$B$38:$B$42,Methodology!$C$38:$C$42)</f>
        <v>Medium</v>
      </c>
      <c r="W59" s="32" t="s">
        <v>282</v>
      </c>
      <c r="X59" s="32" t="s">
        <v>165</v>
      </c>
      <c r="Y59" s="32"/>
      <c r="Z59" s="32" t="s">
        <v>167</v>
      </c>
    </row>
    <row r="60" ht="15.75" customHeight="1">
      <c r="A60" s="30" t="s">
        <v>286</v>
      </c>
      <c r="B60" s="30" t="s">
        <v>227</v>
      </c>
      <c r="C60" s="30" t="s">
        <v>280</v>
      </c>
      <c r="D60" s="30" t="s">
        <v>281</v>
      </c>
      <c r="E60" s="30" t="s">
        <v>15</v>
      </c>
      <c r="F60" s="30" t="s">
        <v>20</v>
      </c>
      <c r="G60" s="30" t="s">
        <v>164</v>
      </c>
      <c r="H60" s="34">
        <v>27100.0</v>
      </c>
      <c r="I60" s="35">
        <v>52.0</v>
      </c>
      <c r="J60" s="30" t="s">
        <v>156</v>
      </c>
      <c r="K60" s="36">
        <v>2.4</v>
      </c>
      <c r="L60" s="30" t="s">
        <v>157</v>
      </c>
      <c r="M60" s="30" t="str">
        <f>LOOKUP(I60,Methodology!$B$46:$B$49,Methodology!$C$46:$C$49)</f>
        <v>Competitive</v>
      </c>
      <c r="N60" s="30" t="s">
        <v>208</v>
      </c>
      <c r="O60" s="37">
        <v>4.0</v>
      </c>
      <c r="P60" s="30">
        <f>LOOKUP(H60,Methodology!$B$15:$B$19,Methodology!$C$15:$C$19)</f>
        <v>5</v>
      </c>
      <c r="Q60" s="30">
        <f>LOOKUP(I60,Methodology!$B$23:$B$27,Methodology!$C$23:$C$27)</f>
        <v>2</v>
      </c>
      <c r="R60" s="30">
        <f t="array" ref="R60">INDEX(Methodology!$C$31:$C$34,MATCH(E60,Methodology!$B$31:$B$34,0))</f>
        <v>2</v>
      </c>
      <c r="S60" s="37">
        <v>1.0</v>
      </c>
      <c r="T60" s="37">
        <v>3.0</v>
      </c>
      <c r="U60" s="29">
        <f>ROUND((O60*Methodology!$C$5+P60*Methodology!$C$6+Q60*Methodology!$C$7+R60*Methodology!$C$8+S60*Methodology!$C$9+T60*Methodology!$C$10)*20,0)</f>
        <v>58</v>
      </c>
      <c r="V60" s="30" t="str">
        <f>LOOKUP(U60,Methodology!$B$38:$B$42,Methodology!$C$38:$C$42)</f>
        <v>Low</v>
      </c>
      <c r="W60" s="30" t="s">
        <v>287</v>
      </c>
      <c r="X60" s="30" t="s">
        <v>179</v>
      </c>
      <c r="Y60" s="30"/>
      <c r="Z60" s="30" t="s">
        <v>167</v>
      </c>
    </row>
    <row r="61" ht="15.75" customHeight="1">
      <c r="A61" s="32" t="s">
        <v>288</v>
      </c>
      <c r="B61" s="32" t="s">
        <v>15</v>
      </c>
      <c r="C61" s="32" t="s">
        <v>280</v>
      </c>
      <c r="D61" s="32" t="s">
        <v>281</v>
      </c>
      <c r="E61" s="32" t="s">
        <v>15</v>
      </c>
      <c r="F61" s="32" t="s">
        <v>20</v>
      </c>
      <c r="G61" s="32" t="s">
        <v>164</v>
      </c>
      <c r="H61" s="38">
        <v>9900.0</v>
      </c>
      <c r="I61" s="39">
        <v>44.0</v>
      </c>
      <c r="J61" s="32" t="s">
        <v>156</v>
      </c>
      <c r="K61" s="40">
        <v>1.8</v>
      </c>
      <c r="L61" s="32" t="s">
        <v>157</v>
      </c>
      <c r="M61" s="32" t="str">
        <f>LOOKUP(I61,Methodology!$B$46:$B$49,Methodology!$C$46:$C$49)</f>
        <v>Competitive</v>
      </c>
      <c r="N61" s="32" t="s">
        <v>208</v>
      </c>
      <c r="O61" s="41">
        <v>4.0</v>
      </c>
      <c r="P61" s="32">
        <f>LOOKUP(H61,Methodology!$B$15:$B$19,Methodology!$C$15:$C$19)</f>
        <v>5</v>
      </c>
      <c r="Q61" s="32">
        <f>LOOKUP(I61,Methodology!$B$23:$B$27,Methodology!$C$23:$C$27)</f>
        <v>2</v>
      </c>
      <c r="R61" s="32">
        <f t="array" ref="R61">INDEX(Methodology!$C$31:$C$34,MATCH(E61,Methodology!$B$31:$B$34,0))</f>
        <v>2</v>
      </c>
      <c r="S61" s="41">
        <v>1.0</v>
      </c>
      <c r="T61" s="41">
        <v>3.0</v>
      </c>
      <c r="U61" s="24">
        <f>ROUND((O61*Methodology!$C$5+P61*Methodology!$C$6+Q61*Methodology!$C$7+R61*Methodology!$C$8+S61*Methodology!$C$9+T61*Methodology!$C$10)*20,0)</f>
        <v>58</v>
      </c>
      <c r="V61" s="32" t="str">
        <f>LOOKUP(U61,Methodology!$B$38:$B$42,Methodology!$C$38:$C$42)</f>
        <v>Low</v>
      </c>
      <c r="W61" s="32" t="s">
        <v>289</v>
      </c>
      <c r="X61" s="32" t="s">
        <v>179</v>
      </c>
      <c r="Y61" s="32"/>
      <c r="Z61" s="32" t="s">
        <v>167</v>
      </c>
    </row>
    <row r="62" ht="15.75" customHeight="1">
      <c r="A62" s="30" t="s">
        <v>290</v>
      </c>
      <c r="B62" s="30" t="s">
        <v>15</v>
      </c>
      <c r="C62" s="30" t="s">
        <v>280</v>
      </c>
      <c r="D62" s="30" t="s">
        <v>281</v>
      </c>
      <c r="E62" s="30" t="s">
        <v>15</v>
      </c>
      <c r="F62" s="30" t="s">
        <v>20</v>
      </c>
      <c r="G62" s="30" t="s">
        <v>164</v>
      </c>
      <c r="H62" s="34">
        <v>5400.0</v>
      </c>
      <c r="I62" s="35">
        <v>40.0</v>
      </c>
      <c r="J62" s="30" t="s">
        <v>156</v>
      </c>
      <c r="K62" s="36">
        <v>1.9</v>
      </c>
      <c r="L62" s="30" t="s">
        <v>157</v>
      </c>
      <c r="M62" s="30" t="str">
        <f>LOOKUP(I62,Methodology!$B$46:$B$49,Methodology!$C$46:$C$49)</f>
        <v>Moderate</v>
      </c>
      <c r="N62" s="30" t="s">
        <v>208</v>
      </c>
      <c r="O62" s="37">
        <v>4.0</v>
      </c>
      <c r="P62" s="30">
        <f>LOOKUP(H62,Methodology!$B$15:$B$19,Methodology!$C$15:$C$19)</f>
        <v>5</v>
      </c>
      <c r="Q62" s="30">
        <f>LOOKUP(I62,Methodology!$B$23:$B$27,Methodology!$C$23:$C$27)</f>
        <v>3</v>
      </c>
      <c r="R62" s="30">
        <f t="array" ref="R62">INDEX(Methodology!$C$31:$C$34,MATCH(E62,Methodology!$B$31:$B$34,0))</f>
        <v>2</v>
      </c>
      <c r="S62" s="37">
        <v>1.0</v>
      </c>
      <c r="T62" s="37">
        <v>3.0</v>
      </c>
      <c r="U62" s="29">
        <f>ROUND((O62*Methodology!$C$5+P62*Methodology!$C$6+Q62*Methodology!$C$7+R62*Methodology!$C$8+S62*Methodology!$C$9+T62*Methodology!$C$10)*20,0)</f>
        <v>62</v>
      </c>
      <c r="V62" s="30" t="str">
        <f>LOOKUP(U62,Methodology!$B$38:$B$42,Methodology!$C$38:$C$42)</f>
        <v>Medium</v>
      </c>
      <c r="W62" s="30" t="s">
        <v>289</v>
      </c>
      <c r="X62" s="30" t="s">
        <v>179</v>
      </c>
      <c r="Y62" s="30"/>
      <c r="Z62" s="30" t="s">
        <v>167</v>
      </c>
    </row>
    <row r="63" ht="15.75" customHeight="1">
      <c r="A63" s="32" t="s">
        <v>291</v>
      </c>
      <c r="B63" s="32" t="s">
        <v>246</v>
      </c>
      <c r="C63" s="32" t="s">
        <v>280</v>
      </c>
      <c r="D63" s="32" t="s">
        <v>281</v>
      </c>
      <c r="E63" s="32" t="s">
        <v>17</v>
      </c>
      <c r="F63" s="32" t="s">
        <v>21</v>
      </c>
      <c r="G63" s="32" t="s">
        <v>164</v>
      </c>
      <c r="H63" s="38">
        <v>3600.0</v>
      </c>
      <c r="I63" s="39">
        <v>42.0</v>
      </c>
      <c r="J63" s="32" t="s">
        <v>156</v>
      </c>
      <c r="K63" s="40">
        <v>4.6</v>
      </c>
      <c r="L63" s="32" t="s">
        <v>157</v>
      </c>
      <c r="M63" s="32" t="str">
        <f>LOOKUP(I63,Methodology!$B$46:$B$49,Methodology!$C$46:$C$49)</f>
        <v>Competitive</v>
      </c>
      <c r="N63" s="32" t="s">
        <v>208</v>
      </c>
      <c r="O63" s="41">
        <v>5.0</v>
      </c>
      <c r="P63" s="32">
        <f>LOOKUP(H63,Methodology!$B$15:$B$19,Methodology!$C$15:$C$19)</f>
        <v>5</v>
      </c>
      <c r="Q63" s="32">
        <f>LOOKUP(I63,Methodology!$B$23:$B$27,Methodology!$C$23:$C$27)</f>
        <v>2</v>
      </c>
      <c r="R63" s="32">
        <f t="array" ref="R63">INDEX(Methodology!$C$31:$C$34,MATCH(E63,Methodology!$B$31:$B$34,0))</f>
        <v>4</v>
      </c>
      <c r="S63" s="41">
        <v>3.0</v>
      </c>
      <c r="T63" s="41">
        <v>4.0</v>
      </c>
      <c r="U63" s="24">
        <f>ROUND((O63*Methodology!$C$5+P63*Methodology!$C$6+Q63*Methodology!$C$7+R63*Methodology!$C$8+S63*Methodology!$C$9+T63*Methodology!$C$10)*20,0)</f>
        <v>77</v>
      </c>
      <c r="V63" s="32" t="str">
        <f>LOOKUP(U63,Methodology!$B$38:$B$42,Methodology!$C$38:$C$42)</f>
        <v>High</v>
      </c>
      <c r="W63" s="32" t="s">
        <v>292</v>
      </c>
      <c r="X63" s="32" t="s">
        <v>179</v>
      </c>
      <c r="Y63" s="32"/>
      <c r="Z63" s="32" t="s">
        <v>167</v>
      </c>
    </row>
    <row r="64" ht="15.75" customHeight="1">
      <c r="A64" s="30" t="s">
        <v>293</v>
      </c>
      <c r="B64" s="30" t="s">
        <v>189</v>
      </c>
      <c r="C64" s="30" t="s">
        <v>294</v>
      </c>
      <c r="D64" s="30" t="s">
        <v>294</v>
      </c>
      <c r="E64" s="30" t="s">
        <v>18</v>
      </c>
      <c r="F64" s="30" t="s">
        <v>22</v>
      </c>
      <c r="G64" s="30" t="s">
        <v>155</v>
      </c>
      <c r="H64" s="34">
        <v>20.0</v>
      </c>
      <c r="I64" s="35">
        <v>10.0</v>
      </c>
      <c r="J64" s="30" t="s">
        <v>156</v>
      </c>
      <c r="K64" s="36">
        <v>6.8</v>
      </c>
      <c r="L64" s="30" t="s">
        <v>157</v>
      </c>
      <c r="M64" s="30" t="str">
        <f>LOOKUP(I64,Methodology!$B$46:$B$49,Methodology!$C$46:$C$49)</f>
        <v>Easy</v>
      </c>
      <c r="N64" s="30" t="s">
        <v>184</v>
      </c>
      <c r="O64" s="37">
        <v>4.0</v>
      </c>
      <c r="P64" s="30">
        <f>LOOKUP(H64,Methodology!$B$15:$B$19,Methodology!$C$15:$C$19)</f>
        <v>2</v>
      </c>
      <c r="Q64" s="30">
        <f>LOOKUP(I64,Methodology!$B$23:$B$27,Methodology!$C$23:$C$27)</f>
        <v>5</v>
      </c>
      <c r="R64" s="30">
        <f t="array" ref="R64">INDEX(Methodology!$C$31:$C$34,MATCH(E64,Methodology!$B$31:$B$34,0))</f>
        <v>5</v>
      </c>
      <c r="S64" s="37">
        <v>5.0</v>
      </c>
      <c r="T64" s="37">
        <v>4.0</v>
      </c>
      <c r="U64" s="29">
        <f>ROUND((O64*Methodology!$C$5+P64*Methodology!$C$6+Q64*Methodology!$C$7+R64*Methodology!$C$8+S64*Methodology!$C$9+T64*Methodology!$C$10)*20,0)</f>
        <v>84</v>
      </c>
      <c r="V64" s="30" t="str">
        <f>LOOKUP(U64,Methodology!$B$38:$B$42,Methodology!$C$38:$C$42)</f>
        <v>High</v>
      </c>
      <c r="W64" s="30" t="s">
        <v>295</v>
      </c>
      <c r="X64" s="30" t="s">
        <v>165</v>
      </c>
      <c r="Y64" s="30"/>
      <c r="Z64" s="30" t="s">
        <v>162</v>
      </c>
    </row>
    <row r="65" ht="15.75" customHeight="1">
      <c r="A65" s="32" t="s">
        <v>296</v>
      </c>
      <c r="B65" s="32" t="s">
        <v>181</v>
      </c>
      <c r="C65" s="32" t="s">
        <v>294</v>
      </c>
      <c r="D65" s="32" t="s">
        <v>294</v>
      </c>
      <c r="E65" s="32" t="s">
        <v>18</v>
      </c>
      <c r="F65" s="32" t="s">
        <v>22</v>
      </c>
      <c r="G65" s="32" t="s">
        <v>164</v>
      </c>
      <c r="H65" s="38">
        <v>10.0</v>
      </c>
      <c r="I65" s="39">
        <v>10.0</v>
      </c>
      <c r="J65" s="32" t="s">
        <v>156</v>
      </c>
      <c r="K65" s="40">
        <v>7.6</v>
      </c>
      <c r="L65" s="32" t="s">
        <v>157</v>
      </c>
      <c r="M65" s="32" t="str">
        <f>LOOKUP(I65,Methodology!$B$46:$B$49,Methodology!$C$46:$C$49)</f>
        <v>Easy</v>
      </c>
      <c r="N65" s="32" t="s">
        <v>184</v>
      </c>
      <c r="O65" s="41">
        <v>4.0</v>
      </c>
      <c r="P65" s="32">
        <f>LOOKUP(H65,Methodology!$B$15:$B$19,Methodology!$C$15:$C$19)</f>
        <v>1</v>
      </c>
      <c r="Q65" s="32">
        <f>LOOKUP(I65,Methodology!$B$23:$B$27,Methodology!$C$23:$C$27)</f>
        <v>5</v>
      </c>
      <c r="R65" s="32">
        <f t="array" ref="R65">INDEX(Methodology!$C$31:$C$34,MATCH(E65,Methodology!$B$31:$B$34,0))</f>
        <v>5</v>
      </c>
      <c r="S65" s="41">
        <v>5.0</v>
      </c>
      <c r="T65" s="41">
        <v>4.0</v>
      </c>
      <c r="U65" s="24">
        <f>ROUND((O65*Methodology!$C$5+P65*Methodology!$C$6+Q65*Methodology!$C$7+R65*Methodology!$C$8+S65*Methodology!$C$9+T65*Methodology!$C$10)*20,0)</f>
        <v>81</v>
      </c>
      <c r="V65" s="32" t="str">
        <f>LOOKUP(U65,Methodology!$B$38:$B$42,Methodology!$C$38:$C$42)</f>
        <v>High</v>
      </c>
      <c r="W65" s="32" t="s">
        <v>295</v>
      </c>
      <c r="X65" s="32" t="s">
        <v>165</v>
      </c>
      <c r="Y65" s="32" t="s">
        <v>297</v>
      </c>
      <c r="Z65" s="32" t="s">
        <v>162</v>
      </c>
    </row>
    <row r="66" ht="15.75" customHeight="1">
      <c r="A66" s="30" t="s">
        <v>298</v>
      </c>
      <c r="B66" s="30" t="s">
        <v>18</v>
      </c>
      <c r="C66" s="30" t="s">
        <v>294</v>
      </c>
      <c r="D66" s="30" t="s">
        <v>294</v>
      </c>
      <c r="E66" s="30" t="s">
        <v>18</v>
      </c>
      <c r="F66" s="30" t="s">
        <v>22</v>
      </c>
      <c r="G66" s="30" t="s">
        <v>164</v>
      </c>
      <c r="H66" s="34">
        <v>22200.0</v>
      </c>
      <c r="I66" s="35">
        <v>58.0</v>
      </c>
      <c r="J66" s="30" t="s">
        <v>156</v>
      </c>
      <c r="K66" s="36">
        <v>6.9</v>
      </c>
      <c r="L66" s="30" t="s">
        <v>157</v>
      </c>
      <c r="M66" s="30" t="str">
        <f>LOOKUP(I66,Methodology!$B$46:$B$49,Methodology!$C$46:$C$49)</f>
        <v>Competitive</v>
      </c>
      <c r="N66" s="30" t="s">
        <v>184</v>
      </c>
      <c r="O66" s="37">
        <v>4.0</v>
      </c>
      <c r="P66" s="30">
        <f>LOOKUP(H66,Methodology!$B$15:$B$19,Methodology!$C$15:$C$19)</f>
        <v>5</v>
      </c>
      <c r="Q66" s="30">
        <f>LOOKUP(I66,Methodology!$B$23:$B$27,Methodology!$C$23:$C$27)</f>
        <v>1</v>
      </c>
      <c r="R66" s="30">
        <f t="array" ref="R66">INDEX(Methodology!$C$31:$C$34,MATCH(E66,Methodology!$B$31:$B$34,0))</f>
        <v>5</v>
      </c>
      <c r="S66" s="37">
        <v>5.0</v>
      </c>
      <c r="T66" s="37">
        <v>4.0</v>
      </c>
      <c r="U66" s="29">
        <f>ROUND((O66*Methodology!$C$5+P66*Methodology!$C$6+Q66*Methodology!$C$7+R66*Methodology!$C$8+S66*Methodology!$C$9+T66*Methodology!$C$10)*20,0)</f>
        <v>77</v>
      </c>
      <c r="V66" s="30" t="str">
        <f>LOOKUP(U66,Methodology!$B$38:$B$42,Methodology!$C$38:$C$42)</f>
        <v>High</v>
      </c>
      <c r="W66" s="30" t="s">
        <v>295</v>
      </c>
      <c r="X66" s="30" t="s">
        <v>165</v>
      </c>
      <c r="Y66" s="30"/>
      <c r="Z66" s="30" t="s">
        <v>167</v>
      </c>
    </row>
    <row r="67" ht="15.75" customHeight="1">
      <c r="A67" s="32" t="s">
        <v>299</v>
      </c>
      <c r="B67" s="32" t="s">
        <v>17</v>
      </c>
      <c r="C67" s="32" t="s">
        <v>294</v>
      </c>
      <c r="D67" s="32" t="s">
        <v>294</v>
      </c>
      <c r="E67" s="32" t="s">
        <v>17</v>
      </c>
      <c r="F67" s="32" t="s">
        <v>21</v>
      </c>
      <c r="G67" s="32" t="s">
        <v>164</v>
      </c>
      <c r="H67" s="38">
        <v>14800.0</v>
      </c>
      <c r="I67" s="39">
        <v>55.0</v>
      </c>
      <c r="J67" s="32" t="s">
        <v>156</v>
      </c>
      <c r="K67" s="40">
        <v>6.2</v>
      </c>
      <c r="L67" s="32" t="s">
        <v>157</v>
      </c>
      <c r="M67" s="32" t="str">
        <f>LOOKUP(I67,Methodology!$B$46:$B$49,Methodology!$C$46:$C$49)</f>
        <v>Competitive</v>
      </c>
      <c r="N67" s="32" t="s">
        <v>195</v>
      </c>
      <c r="O67" s="41">
        <v>4.0</v>
      </c>
      <c r="P67" s="32">
        <f>LOOKUP(H67,Methodology!$B$15:$B$19,Methodology!$C$15:$C$19)</f>
        <v>5</v>
      </c>
      <c r="Q67" s="32">
        <f>LOOKUP(I67,Methodology!$B$23:$B$27,Methodology!$C$23:$C$27)</f>
        <v>2</v>
      </c>
      <c r="R67" s="32">
        <f t="array" ref="R67">INDEX(Methodology!$C$31:$C$34,MATCH(E67,Methodology!$B$31:$B$34,0))</f>
        <v>4</v>
      </c>
      <c r="S67" s="41">
        <v>3.0</v>
      </c>
      <c r="T67" s="41">
        <v>4.0</v>
      </c>
      <c r="U67" s="24">
        <f>ROUND((O67*Methodology!$C$5+P67*Methodology!$C$6+Q67*Methodology!$C$7+R67*Methodology!$C$8+S67*Methodology!$C$9+T67*Methodology!$C$10)*20,0)</f>
        <v>72</v>
      </c>
      <c r="V67" s="32" t="str">
        <f>LOOKUP(U67,Methodology!$B$38:$B$42,Methodology!$C$38:$C$42)</f>
        <v>Medium</v>
      </c>
      <c r="W67" s="32" t="s">
        <v>295</v>
      </c>
      <c r="X67" s="32" t="s">
        <v>165</v>
      </c>
      <c r="Y67" s="32"/>
      <c r="Z67" s="32" t="s">
        <v>167</v>
      </c>
    </row>
    <row r="68" ht="15.75" customHeight="1">
      <c r="A68" s="30" t="s">
        <v>300</v>
      </c>
      <c r="B68" s="30" t="s">
        <v>15</v>
      </c>
      <c r="C68" s="30" t="s">
        <v>294</v>
      </c>
      <c r="D68" s="30" t="s">
        <v>294</v>
      </c>
      <c r="E68" s="30" t="s">
        <v>15</v>
      </c>
      <c r="F68" s="30" t="s">
        <v>20</v>
      </c>
      <c r="G68" s="30" t="s">
        <v>164</v>
      </c>
      <c r="H68" s="34">
        <v>5400.0</v>
      </c>
      <c r="I68" s="35">
        <v>40.0</v>
      </c>
      <c r="J68" s="30" t="s">
        <v>156</v>
      </c>
      <c r="K68" s="36">
        <v>1.8</v>
      </c>
      <c r="L68" s="30" t="s">
        <v>157</v>
      </c>
      <c r="M68" s="30" t="str">
        <f>LOOKUP(I68,Methodology!$B$46:$B$49,Methodology!$C$46:$C$49)</f>
        <v>Moderate</v>
      </c>
      <c r="N68" s="30" t="s">
        <v>208</v>
      </c>
      <c r="O68" s="37">
        <v>3.0</v>
      </c>
      <c r="P68" s="30">
        <f>LOOKUP(H68,Methodology!$B$15:$B$19,Methodology!$C$15:$C$19)</f>
        <v>5</v>
      </c>
      <c r="Q68" s="30">
        <f>LOOKUP(I68,Methodology!$B$23:$B$27,Methodology!$C$23:$C$27)</f>
        <v>3</v>
      </c>
      <c r="R68" s="30">
        <f t="array" ref="R68">INDEX(Methodology!$C$31:$C$34,MATCH(E68,Methodology!$B$31:$B$34,0))</f>
        <v>2</v>
      </c>
      <c r="S68" s="37">
        <v>1.0</v>
      </c>
      <c r="T68" s="37">
        <v>3.0</v>
      </c>
      <c r="U68" s="29">
        <f>ROUND((O68*Methodology!$C$5+P68*Methodology!$C$6+Q68*Methodology!$C$7+R68*Methodology!$C$8+S68*Methodology!$C$9+T68*Methodology!$C$10)*20,0)</f>
        <v>57</v>
      </c>
      <c r="V68" s="30" t="str">
        <f>LOOKUP(U68,Methodology!$B$38:$B$42,Methodology!$C$38:$C$42)</f>
        <v>Low</v>
      </c>
      <c r="W68" s="30" t="s">
        <v>301</v>
      </c>
      <c r="X68" s="30" t="s">
        <v>179</v>
      </c>
      <c r="Y68" s="30"/>
      <c r="Z68" s="30" t="s">
        <v>167</v>
      </c>
    </row>
    <row r="69" ht="15.75" customHeight="1">
      <c r="A69" s="32" t="s">
        <v>302</v>
      </c>
      <c r="B69" s="32" t="s">
        <v>227</v>
      </c>
      <c r="C69" s="32" t="s">
        <v>294</v>
      </c>
      <c r="D69" s="32" t="s">
        <v>294</v>
      </c>
      <c r="E69" s="32" t="s">
        <v>15</v>
      </c>
      <c r="F69" s="32" t="s">
        <v>20</v>
      </c>
      <c r="G69" s="32" t="s">
        <v>164</v>
      </c>
      <c r="H69" s="38">
        <v>18100.0</v>
      </c>
      <c r="I69" s="39">
        <v>44.0</v>
      </c>
      <c r="J69" s="32" t="s">
        <v>156</v>
      </c>
      <c r="K69" s="40">
        <v>1.6</v>
      </c>
      <c r="L69" s="32" t="s">
        <v>157</v>
      </c>
      <c r="M69" s="32" t="str">
        <f>LOOKUP(I69,Methodology!$B$46:$B$49,Methodology!$C$46:$C$49)</f>
        <v>Competitive</v>
      </c>
      <c r="N69" s="32" t="s">
        <v>208</v>
      </c>
      <c r="O69" s="41">
        <v>3.0</v>
      </c>
      <c r="P69" s="32">
        <f>LOOKUP(H69,Methodology!$B$15:$B$19,Methodology!$C$15:$C$19)</f>
        <v>5</v>
      </c>
      <c r="Q69" s="32">
        <f>LOOKUP(I69,Methodology!$B$23:$B$27,Methodology!$C$23:$C$27)</f>
        <v>2</v>
      </c>
      <c r="R69" s="32">
        <f t="array" ref="R69">INDEX(Methodology!$C$31:$C$34,MATCH(E69,Methodology!$B$31:$B$34,0))</f>
        <v>2</v>
      </c>
      <c r="S69" s="41">
        <v>1.0</v>
      </c>
      <c r="T69" s="41">
        <v>3.0</v>
      </c>
      <c r="U69" s="24">
        <f>ROUND((O69*Methodology!$C$5+P69*Methodology!$C$6+Q69*Methodology!$C$7+R69*Methodology!$C$8+S69*Methodology!$C$9+T69*Methodology!$C$10)*20,0)</f>
        <v>53</v>
      </c>
      <c r="V69" s="32" t="str">
        <f>LOOKUP(U69,Methodology!$B$38:$B$42,Methodology!$C$38:$C$42)</f>
        <v>Low</v>
      </c>
      <c r="W69" s="32" t="s">
        <v>301</v>
      </c>
      <c r="X69" s="32" t="s">
        <v>179</v>
      </c>
      <c r="Y69" s="32"/>
      <c r="Z69" s="32" t="s">
        <v>167</v>
      </c>
    </row>
    <row r="70" ht="15.75" customHeight="1">
      <c r="A70" s="30" t="s">
        <v>303</v>
      </c>
      <c r="B70" s="30" t="s">
        <v>189</v>
      </c>
      <c r="C70" s="30" t="s">
        <v>304</v>
      </c>
      <c r="D70" s="30" t="s">
        <v>304</v>
      </c>
      <c r="E70" s="30" t="s">
        <v>18</v>
      </c>
      <c r="F70" s="30" t="s">
        <v>22</v>
      </c>
      <c r="G70" s="30" t="s">
        <v>155</v>
      </c>
      <c r="H70" s="34">
        <v>40.0</v>
      </c>
      <c r="I70" s="35">
        <v>16.0</v>
      </c>
      <c r="J70" s="30" t="s">
        <v>156</v>
      </c>
      <c r="K70" s="36">
        <v>14.8</v>
      </c>
      <c r="L70" s="30" t="s">
        <v>157</v>
      </c>
      <c r="M70" s="30" t="str">
        <f>LOOKUP(I70,Methodology!$B$46:$B$49,Methodology!$C$46:$C$49)</f>
        <v>Easy</v>
      </c>
      <c r="N70" s="30" t="s">
        <v>184</v>
      </c>
      <c r="O70" s="37">
        <v>5.0</v>
      </c>
      <c r="P70" s="30">
        <f>LOOKUP(H70,Methodology!$B$15:$B$19,Methodology!$C$15:$C$19)</f>
        <v>2</v>
      </c>
      <c r="Q70" s="30">
        <f>LOOKUP(I70,Methodology!$B$23:$B$27,Methodology!$C$23:$C$27)</f>
        <v>4</v>
      </c>
      <c r="R70" s="30">
        <f t="array" ref="R70">INDEX(Methodology!$C$31:$C$34,MATCH(E70,Methodology!$B$31:$B$34,0))</f>
        <v>5</v>
      </c>
      <c r="S70" s="37">
        <v>5.0</v>
      </c>
      <c r="T70" s="37">
        <v>5.0</v>
      </c>
      <c r="U70" s="29">
        <f>ROUND((O70*Methodology!$C$5+P70*Methodology!$C$6+Q70*Methodology!$C$7+R70*Methodology!$C$8+S70*Methodology!$C$9+T70*Methodology!$C$10)*20,0)</f>
        <v>87</v>
      </c>
      <c r="V70" s="30" t="str">
        <f>LOOKUP(U70,Methodology!$B$38:$B$42,Methodology!$C$38:$C$42)</f>
        <v>High</v>
      </c>
      <c r="W70" s="30" t="s">
        <v>305</v>
      </c>
      <c r="X70" s="30" t="s">
        <v>165</v>
      </c>
      <c r="Y70" s="30" t="s">
        <v>306</v>
      </c>
      <c r="Z70" s="30" t="s">
        <v>162</v>
      </c>
    </row>
    <row r="71" ht="15.75" customHeight="1">
      <c r="A71" s="32" t="s">
        <v>307</v>
      </c>
      <c r="B71" s="32" t="s">
        <v>18</v>
      </c>
      <c r="C71" s="32" t="s">
        <v>304</v>
      </c>
      <c r="D71" s="32" t="s">
        <v>304</v>
      </c>
      <c r="E71" s="32" t="s">
        <v>18</v>
      </c>
      <c r="F71" s="32" t="s">
        <v>22</v>
      </c>
      <c r="G71" s="32" t="s">
        <v>164</v>
      </c>
      <c r="H71" s="38">
        <v>74000.0</v>
      </c>
      <c r="I71" s="39">
        <v>72.0</v>
      </c>
      <c r="J71" s="32" t="s">
        <v>156</v>
      </c>
      <c r="K71" s="40">
        <v>15.9</v>
      </c>
      <c r="L71" s="32" t="s">
        <v>157</v>
      </c>
      <c r="M71" s="32" t="str">
        <f>LOOKUP(I71,Methodology!$B$46:$B$49,Methodology!$C$46:$C$49)</f>
        <v>Very Competitive</v>
      </c>
      <c r="N71" s="32" t="s">
        <v>184</v>
      </c>
      <c r="O71" s="41">
        <v>5.0</v>
      </c>
      <c r="P71" s="32">
        <f>LOOKUP(H71,Methodology!$B$15:$B$19,Methodology!$C$15:$C$19)</f>
        <v>5</v>
      </c>
      <c r="Q71" s="32">
        <f>LOOKUP(I71,Methodology!$B$23:$B$27,Methodology!$C$23:$C$27)</f>
        <v>1</v>
      </c>
      <c r="R71" s="32">
        <f t="array" ref="R71">INDEX(Methodology!$C$31:$C$34,MATCH(E71,Methodology!$B$31:$B$34,0))</f>
        <v>5</v>
      </c>
      <c r="S71" s="41">
        <v>5.0</v>
      </c>
      <c r="T71" s="41">
        <v>5.0</v>
      </c>
      <c r="U71" s="24">
        <f>ROUND((O71*Methodology!$C$5+P71*Methodology!$C$6+Q71*Methodology!$C$7+R71*Methodology!$C$8+S71*Methodology!$C$9+T71*Methodology!$C$10)*20,0)</f>
        <v>84</v>
      </c>
      <c r="V71" s="32" t="str">
        <f>LOOKUP(U71,Methodology!$B$38:$B$42,Methodology!$C$38:$C$42)</f>
        <v>High</v>
      </c>
      <c r="W71" s="32" t="s">
        <v>305</v>
      </c>
      <c r="X71" s="32" t="s">
        <v>165</v>
      </c>
      <c r="Y71" s="32" t="s">
        <v>229</v>
      </c>
      <c r="Z71" s="32" t="s">
        <v>167</v>
      </c>
    </row>
    <row r="72" ht="15.75" customHeight="1">
      <c r="A72" s="30" t="s">
        <v>308</v>
      </c>
      <c r="B72" s="30" t="s">
        <v>17</v>
      </c>
      <c r="C72" s="30" t="s">
        <v>304</v>
      </c>
      <c r="D72" s="30" t="s">
        <v>304</v>
      </c>
      <c r="E72" s="30" t="s">
        <v>17</v>
      </c>
      <c r="F72" s="30" t="s">
        <v>21</v>
      </c>
      <c r="G72" s="30" t="s">
        <v>164</v>
      </c>
      <c r="H72" s="34">
        <v>60500.0</v>
      </c>
      <c r="I72" s="35">
        <v>68.0</v>
      </c>
      <c r="J72" s="30" t="s">
        <v>156</v>
      </c>
      <c r="K72" s="36">
        <v>13.4</v>
      </c>
      <c r="L72" s="30" t="s">
        <v>157</v>
      </c>
      <c r="M72" s="30" t="str">
        <f>LOOKUP(I72,Methodology!$B$46:$B$49,Methodology!$C$46:$C$49)</f>
        <v>Competitive</v>
      </c>
      <c r="N72" s="30" t="s">
        <v>195</v>
      </c>
      <c r="O72" s="37">
        <v>5.0</v>
      </c>
      <c r="P72" s="30">
        <f>LOOKUP(H72,Methodology!$B$15:$B$19,Methodology!$C$15:$C$19)</f>
        <v>5</v>
      </c>
      <c r="Q72" s="30">
        <f>LOOKUP(I72,Methodology!$B$23:$B$27,Methodology!$C$23:$C$27)</f>
        <v>1</v>
      </c>
      <c r="R72" s="30">
        <f t="array" ref="R72">INDEX(Methodology!$C$31:$C$34,MATCH(E72,Methodology!$B$31:$B$34,0))</f>
        <v>4</v>
      </c>
      <c r="S72" s="37">
        <v>3.0</v>
      </c>
      <c r="T72" s="37">
        <v>5.0</v>
      </c>
      <c r="U72" s="29">
        <f>ROUND((O72*Methodology!$C$5+P72*Methodology!$C$6+Q72*Methodology!$C$7+R72*Methodology!$C$8+S72*Methodology!$C$9+T72*Methodology!$C$10)*20,0)</f>
        <v>75</v>
      </c>
      <c r="V72" s="30" t="str">
        <f>LOOKUP(U72,Methodology!$B$38:$B$42,Methodology!$C$38:$C$42)</f>
        <v>High</v>
      </c>
      <c r="W72" s="30" t="s">
        <v>305</v>
      </c>
      <c r="X72" s="30" t="s">
        <v>165</v>
      </c>
      <c r="Y72" s="30"/>
      <c r="Z72" s="30" t="s">
        <v>167</v>
      </c>
    </row>
    <row r="73" ht="15.75" customHeight="1">
      <c r="A73" s="32" t="s">
        <v>309</v>
      </c>
      <c r="B73" s="32" t="s">
        <v>17</v>
      </c>
      <c r="C73" s="32" t="s">
        <v>304</v>
      </c>
      <c r="D73" s="32" t="s">
        <v>304</v>
      </c>
      <c r="E73" s="32" t="s">
        <v>17</v>
      </c>
      <c r="F73" s="32" t="s">
        <v>21</v>
      </c>
      <c r="G73" s="32" t="s">
        <v>164</v>
      </c>
      <c r="H73" s="38">
        <v>210.0</v>
      </c>
      <c r="I73" s="39">
        <v>30.0</v>
      </c>
      <c r="J73" s="32" t="s">
        <v>156</v>
      </c>
      <c r="K73" s="40">
        <v>11.8</v>
      </c>
      <c r="L73" s="32" t="s">
        <v>157</v>
      </c>
      <c r="M73" s="32" t="str">
        <f>LOOKUP(I73,Methodology!$B$46:$B$49,Methodology!$C$46:$C$49)</f>
        <v>Moderate</v>
      </c>
      <c r="N73" s="32" t="s">
        <v>195</v>
      </c>
      <c r="O73" s="41">
        <v>5.0</v>
      </c>
      <c r="P73" s="32">
        <f>LOOKUP(H73,Methodology!$B$15:$B$19,Methodology!$C$15:$C$19)</f>
        <v>4</v>
      </c>
      <c r="Q73" s="32">
        <f>LOOKUP(I73,Methodology!$B$23:$B$27,Methodology!$C$23:$C$27)</f>
        <v>3</v>
      </c>
      <c r="R73" s="32">
        <f t="array" ref="R73">INDEX(Methodology!$C$31:$C$34,MATCH(E73,Methodology!$B$31:$B$34,0))</f>
        <v>4</v>
      </c>
      <c r="S73" s="41">
        <v>3.0</v>
      </c>
      <c r="T73" s="41">
        <v>5.0</v>
      </c>
      <c r="U73" s="24">
        <f>ROUND((O73*Methodology!$C$5+P73*Methodology!$C$6+Q73*Methodology!$C$7+R73*Methodology!$C$8+S73*Methodology!$C$9+T73*Methodology!$C$10)*20,0)</f>
        <v>80</v>
      </c>
      <c r="V73" s="32" t="str">
        <f>LOOKUP(U73,Methodology!$B$38:$B$42,Methodology!$C$38:$C$42)</f>
        <v>High</v>
      </c>
      <c r="W73" s="32" t="s">
        <v>310</v>
      </c>
      <c r="X73" s="32" t="s">
        <v>179</v>
      </c>
      <c r="Y73" s="32"/>
      <c r="Z73" s="32" t="s">
        <v>225</v>
      </c>
    </row>
    <row r="74" ht="15.75" customHeight="1">
      <c r="A74" s="30" t="s">
        <v>311</v>
      </c>
      <c r="B74" s="30" t="s">
        <v>246</v>
      </c>
      <c r="C74" s="30" t="s">
        <v>304</v>
      </c>
      <c r="D74" s="30" t="s">
        <v>304</v>
      </c>
      <c r="E74" s="30" t="s">
        <v>17</v>
      </c>
      <c r="F74" s="30" t="s">
        <v>21</v>
      </c>
      <c r="G74" s="30" t="s">
        <v>164</v>
      </c>
      <c r="H74" s="34">
        <v>8100.0</v>
      </c>
      <c r="I74" s="35">
        <v>50.0</v>
      </c>
      <c r="J74" s="30" t="s">
        <v>156</v>
      </c>
      <c r="K74" s="36">
        <v>6.9</v>
      </c>
      <c r="L74" s="30" t="s">
        <v>157</v>
      </c>
      <c r="M74" s="30" t="str">
        <f>LOOKUP(I74,Methodology!$B$46:$B$49,Methodology!$C$46:$C$49)</f>
        <v>Competitive</v>
      </c>
      <c r="N74" s="30" t="s">
        <v>208</v>
      </c>
      <c r="O74" s="37">
        <v>5.0</v>
      </c>
      <c r="P74" s="30">
        <f>LOOKUP(H74,Methodology!$B$15:$B$19,Methodology!$C$15:$C$19)</f>
        <v>5</v>
      </c>
      <c r="Q74" s="30">
        <f>LOOKUP(I74,Methodology!$B$23:$B$27,Methodology!$C$23:$C$27)</f>
        <v>2</v>
      </c>
      <c r="R74" s="30">
        <f t="array" ref="R74">INDEX(Methodology!$C$31:$C$34,MATCH(E74,Methodology!$B$31:$B$34,0))</f>
        <v>4</v>
      </c>
      <c r="S74" s="37">
        <v>3.0</v>
      </c>
      <c r="T74" s="37">
        <v>5.0</v>
      </c>
      <c r="U74" s="29">
        <f>ROUND((O74*Methodology!$C$5+P74*Methodology!$C$6+Q74*Methodology!$C$7+R74*Methodology!$C$8+S74*Methodology!$C$9+T74*Methodology!$C$10)*20,0)</f>
        <v>79</v>
      </c>
      <c r="V74" s="30" t="str">
        <f>LOOKUP(U74,Methodology!$B$38:$B$42,Methodology!$C$38:$C$42)</f>
        <v>High</v>
      </c>
      <c r="W74" s="30" t="s">
        <v>312</v>
      </c>
      <c r="X74" s="30" t="s">
        <v>179</v>
      </c>
      <c r="Y74" s="30"/>
      <c r="Z74" s="30" t="s">
        <v>167</v>
      </c>
    </row>
    <row r="75" ht="15.75" customHeight="1">
      <c r="A75" s="32" t="s">
        <v>313</v>
      </c>
      <c r="B75" s="32" t="s">
        <v>17</v>
      </c>
      <c r="C75" s="32" t="s">
        <v>304</v>
      </c>
      <c r="D75" s="32" t="s">
        <v>304</v>
      </c>
      <c r="E75" s="32" t="s">
        <v>17</v>
      </c>
      <c r="F75" s="32" t="s">
        <v>21</v>
      </c>
      <c r="G75" s="32" t="s">
        <v>164</v>
      </c>
      <c r="H75" s="38">
        <v>3600.0</v>
      </c>
      <c r="I75" s="39">
        <v>40.0</v>
      </c>
      <c r="J75" s="32" t="s">
        <v>156</v>
      </c>
      <c r="K75" s="40">
        <v>5.8</v>
      </c>
      <c r="L75" s="32" t="s">
        <v>157</v>
      </c>
      <c r="M75" s="32" t="str">
        <f>LOOKUP(I75,Methodology!$B$46:$B$49,Methodology!$C$46:$C$49)</f>
        <v>Moderate</v>
      </c>
      <c r="N75" s="32" t="s">
        <v>208</v>
      </c>
      <c r="O75" s="41">
        <v>5.0</v>
      </c>
      <c r="P75" s="32">
        <f>LOOKUP(H75,Methodology!$B$15:$B$19,Methodology!$C$15:$C$19)</f>
        <v>5</v>
      </c>
      <c r="Q75" s="32">
        <f>LOOKUP(I75,Methodology!$B$23:$B$27,Methodology!$C$23:$C$27)</f>
        <v>3</v>
      </c>
      <c r="R75" s="32">
        <f t="array" ref="R75">INDEX(Methodology!$C$31:$C$34,MATCH(E75,Methodology!$B$31:$B$34,0))</f>
        <v>4</v>
      </c>
      <c r="S75" s="41">
        <v>3.0</v>
      </c>
      <c r="T75" s="41">
        <v>5.0</v>
      </c>
      <c r="U75" s="24">
        <f>ROUND((O75*Methodology!$C$5+P75*Methodology!$C$6+Q75*Methodology!$C$7+R75*Methodology!$C$8+S75*Methodology!$C$9+T75*Methodology!$C$10)*20,0)</f>
        <v>83</v>
      </c>
      <c r="V75" s="32" t="str">
        <f>LOOKUP(U75,Methodology!$B$38:$B$42,Methodology!$C$38:$C$42)</f>
        <v>High</v>
      </c>
      <c r="W75" s="32" t="s">
        <v>305</v>
      </c>
      <c r="X75" s="32" t="s">
        <v>165</v>
      </c>
      <c r="Y75" s="32"/>
      <c r="Z75" s="32" t="s">
        <v>167</v>
      </c>
    </row>
    <row r="76" ht="15.75" customHeight="1">
      <c r="A76" s="30" t="s">
        <v>314</v>
      </c>
      <c r="B76" s="30" t="s">
        <v>15</v>
      </c>
      <c r="C76" s="30" t="s">
        <v>304</v>
      </c>
      <c r="D76" s="30" t="s">
        <v>304</v>
      </c>
      <c r="E76" s="30" t="s">
        <v>15</v>
      </c>
      <c r="F76" s="30" t="s">
        <v>20</v>
      </c>
      <c r="G76" s="30" t="s">
        <v>164</v>
      </c>
      <c r="H76" s="34">
        <v>6600.0</v>
      </c>
      <c r="I76" s="35">
        <v>42.0</v>
      </c>
      <c r="J76" s="30" t="s">
        <v>156</v>
      </c>
      <c r="K76" s="36">
        <v>3.1</v>
      </c>
      <c r="L76" s="30" t="s">
        <v>157</v>
      </c>
      <c r="M76" s="30" t="str">
        <f>LOOKUP(I76,Methodology!$B$46:$B$49,Methodology!$C$46:$C$49)</f>
        <v>Competitive</v>
      </c>
      <c r="N76" s="30" t="s">
        <v>208</v>
      </c>
      <c r="O76" s="37">
        <v>4.0</v>
      </c>
      <c r="P76" s="30">
        <f>LOOKUP(H76,Methodology!$B$15:$B$19,Methodology!$C$15:$C$19)</f>
        <v>5</v>
      </c>
      <c r="Q76" s="30">
        <f>LOOKUP(I76,Methodology!$B$23:$B$27,Methodology!$C$23:$C$27)</f>
        <v>2</v>
      </c>
      <c r="R76" s="30">
        <f t="array" ref="R76">INDEX(Methodology!$C$31:$C$34,MATCH(E76,Methodology!$B$31:$B$34,0))</f>
        <v>2</v>
      </c>
      <c r="S76" s="37">
        <v>1.0</v>
      </c>
      <c r="T76" s="37">
        <v>4.0</v>
      </c>
      <c r="U76" s="29">
        <f>ROUND((O76*Methodology!$C$5+P76*Methodology!$C$6+Q76*Methodology!$C$7+R76*Methodology!$C$8+S76*Methodology!$C$9+T76*Methodology!$C$10)*20,0)</f>
        <v>60</v>
      </c>
      <c r="V76" s="30" t="str">
        <f>LOOKUP(U76,Methodology!$B$38:$B$42,Methodology!$C$38:$C$42)</f>
        <v>Medium</v>
      </c>
      <c r="W76" s="30" t="s">
        <v>305</v>
      </c>
      <c r="X76" s="30" t="s">
        <v>165</v>
      </c>
      <c r="Y76" s="30"/>
      <c r="Z76" s="30" t="s">
        <v>167</v>
      </c>
    </row>
    <row r="77" ht="15.75" customHeight="1">
      <c r="A77" s="32" t="s">
        <v>315</v>
      </c>
      <c r="B77" s="32" t="s">
        <v>15</v>
      </c>
      <c r="C77" s="32" t="s">
        <v>304</v>
      </c>
      <c r="D77" s="32" t="s">
        <v>304</v>
      </c>
      <c r="E77" s="32" t="s">
        <v>15</v>
      </c>
      <c r="F77" s="32" t="s">
        <v>20</v>
      </c>
      <c r="G77" s="32" t="s">
        <v>164</v>
      </c>
      <c r="H77" s="38">
        <v>5400.0</v>
      </c>
      <c r="I77" s="39">
        <v>40.0</v>
      </c>
      <c r="J77" s="32" t="s">
        <v>156</v>
      </c>
      <c r="K77" s="40">
        <v>2.7</v>
      </c>
      <c r="L77" s="32" t="s">
        <v>157</v>
      </c>
      <c r="M77" s="32" t="str">
        <f>LOOKUP(I77,Methodology!$B$46:$B$49,Methodology!$C$46:$C$49)</f>
        <v>Moderate</v>
      </c>
      <c r="N77" s="32" t="s">
        <v>208</v>
      </c>
      <c r="O77" s="41">
        <v>4.0</v>
      </c>
      <c r="P77" s="32">
        <f>LOOKUP(H77,Methodology!$B$15:$B$19,Methodology!$C$15:$C$19)</f>
        <v>5</v>
      </c>
      <c r="Q77" s="32">
        <f>LOOKUP(I77,Methodology!$B$23:$B$27,Methodology!$C$23:$C$27)</f>
        <v>3</v>
      </c>
      <c r="R77" s="32">
        <f t="array" ref="R77">INDEX(Methodology!$C$31:$C$34,MATCH(E77,Methodology!$B$31:$B$34,0))</f>
        <v>2</v>
      </c>
      <c r="S77" s="41">
        <v>1.0</v>
      </c>
      <c r="T77" s="41">
        <v>4.0</v>
      </c>
      <c r="U77" s="24">
        <f>ROUND((O77*Methodology!$C$5+P77*Methodology!$C$6+Q77*Methodology!$C$7+R77*Methodology!$C$8+S77*Methodology!$C$9+T77*Methodology!$C$10)*20,0)</f>
        <v>64</v>
      </c>
      <c r="V77" s="32" t="str">
        <f>LOOKUP(U77,Methodology!$B$38:$B$42,Methodology!$C$38:$C$42)</f>
        <v>Medium</v>
      </c>
      <c r="W77" s="32" t="s">
        <v>305</v>
      </c>
      <c r="X77" s="32" t="s">
        <v>165</v>
      </c>
      <c r="Y77" s="32"/>
      <c r="Z77" s="32" t="s">
        <v>167</v>
      </c>
    </row>
    <row r="78" ht="15.75" customHeight="1">
      <c r="A78" s="30" t="s">
        <v>316</v>
      </c>
      <c r="B78" s="30" t="s">
        <v>17</v>
      </c>
      <c r="C78" s="30" t="s">
        <v>304</v>
      </c>
      <c r="D78" s="30" t="s">
        <v>304</v>
      </c>
      <c r="E78" s="30" t="s">
        <v>17</v>
      </c>
      <c r="F78" s="30" t="s">
        <v>21</v>
      </c>
      <c r="G78" s="30" t="s">
        <v>164</v>
      </c>
      <c r="H78" s="34">
        <v>5400.0</v>
      </c>
      <c r="I78" s="35">
        <v>50.0</v>
      </c>
      <c r="J78" s="30" t="s">
        <v>156</v>
      </c>
      <c r="K78" s="36">
        <v>12.1</v>
      </c>
      <c r="L78" s="30" t="s">
        <v>157</v>
      </c>
      <c r="M78" s="30" t="str">
        <f>LOOKUP(I78,Methodology!$B$46:$B$49,Methodology!$C$46:$C$49)</f>
        <v>Competitive</v>
      </c>
      <c r="N78" s="30" t="s">
        <v>195</v>
      </c>
      <c r="O78" s="37">
        <v>5.0</v>
      </c>
      <c r="P78" s="30">
        <f>LOOKUP(H78,Methodology!$B$15:$B$19,Methodology!$C$15:$C$19)</f>
        <v>5</v>
      </c>
      <c r="Q78" s="30">
        <f>LOOKUP(I78,Methodology!$B$23:$B$27,Methodology!$C$23:$C$27)</f>
        <v>2</v>
      </c>
      <c r="R78" s="30">
        <f t="array" ref="R78">INDEX(Methodology!$C$31:$C$34,MATCH(E78,Methodology!$B$31:$B$34,0))</f>
        <v>4</v>
      </c>
      <c r="S78" s="37">
        <v>3.0</v>
      </c>
      <c r="T78" s="37">
        <v>5.0</v>
      </c>
      <c r="U78" s="29">
        <f>ROUND((O78*Methodology!$C$5+P78*Methodology!$C$6+Q78*Methodology!$C$7+R78*Methodology!$C$8+S78*Methodology!$C$9+T78*Methodology!$C$10)*20,0)</f>
        <v>79</v>
      </c>
      <c r="V78" s="30" t="str">
        <f>LOOKUP(U78,Methodology!$B$38:$B$42,Methodology!$C$38:$C$42)</f>
        <v>High</v>
      </c>
      <c r="W78" s="30" t="s">
        <v>305</v>
      </c>
      <c r="X78" s="30" t="s">
        <v>165</v>
      </c>
      <c r="Y78" s="30"/>
      <c r="Z78" s="30" t="s">
        <v>167</v>
      </c>
    </row>
    <row r="79" ht="15.75" customHeight="1">
      <c r="A79" s="32" t="s">
        <v>317</v>
      </c>
      <c r="B79" s="32" t="s">
        <v>17</v>
      </c>
      <c r="C79" s="32" t="s">
        <v>304</v>
      </c>
      <c r="D79" s="32" t="s">
        <v>304</v>
      </c>
      <c r="E79" s="32" t="s">
        <v>17</v>
      </c>
      <c r="F79" s="32" t="s">
        <v>21</v>
      </c>
      <c r="G79" s="32" t="s">
        <v>164</v>
      </c>
      <c r="H79" s="38">
        <v>1300.0</v>
      </c>
      <c r="I79" s="39">
        <v>34.0</v>
      </c>
      <c r="J79" s="32" t="s">
        <v>156</v>
      </c>
      <c r="K79" s="40">
        <v>9.5</v>
      </c>
      <c r="L79" s="32" t="s">
        <v>157</v>
      </c>
      <c r="M79" s="32" t="str">
        <f>LOOKUP(I79,Methodology!$B$46:$B$49,Methodology!$C$46:$C$49)</f>
        <v>Moderate</v>
      </c>
      <c r="N79" s="32" t="s">
        <v>195</v>
      </c>
      <c r="O79" s="41">
        <v>5.0</v>
      </c>
      <c r="P79" s="32">
        <f>LOOKUP(H79,Methodology!$B$15:$B$19,Methodology!$C$15:$C$19)</f>
        <v>5</v>
      </c>
      <c r="Q79" s="32">
        <f>LOOKUP(I79,Methodology!$B$23:$B$27,Methodology!$C$23:$C$27)</f>
        <v>3</v>
      </c>
      <c r="R79" s="32">
        <f t="array" ref="R79">INDEX(Methodology!$C$31:$C$34,MATCH(E79,Methodology!$B$31:$B$34,0))</f>
        <v>4</v>
      </c>
      <c r="S79" s="41">
        <v>3.0</v>
      </c>
      <c r="T79" s="41">
        <v>5.0</v>
      </c>
      <c r="U79" s="24">
        <f>ROUND((O79*Methodology!$C$5+P79*Methodology!$C$6+Q79*Methodology!$C$7+R79*Methodology!$C$8+S79*Methodology!$C$9+T79*Methodology!$C$10)*20,0)</f>
        <v>83</v>
      </c>
      <c r="V79" s="32" t="str">
        <f>LOOKUP(U79,Methodology!$B$38:$B$42,Methodology!$C$38:$C$42)</f>
        <v>High</v>
      </c>
      <c r="W79" s="32" t="s">
        <v>178</v>
      </c>
      <c r="X79" s="32" t="s">
        <v>179</v>
      </c>
      <c r="Y79" s="32" t="s">
        <v>318</v>
      </c>
      <c r="Z79" s="32" t="s">
        <v>167</v>
      </c>
    </row>
    <row r="80" ht="15.75" customHeight="1">
      <c r="A80" s="30" t="s">
        <v>319</v>
      </c>
      <c r="B80" s="30" t="s">
        <v>189</v>
      </c>
      <c r="C80" s="30" t="s">
        <v>320</v>
      </c>
      <c r="D80" s="30" t="s">
        <v>320</v>
      </c>
      <c r="E80" s="30" t="s">
        <v>18</v>
      </c>
      <c r="F80" s="30" t="s">
        <v>22</v>
      </c>
      <c r="G80" s="30" t="s">
        <v>155</v>
      </c>
      <c r="H80" s="34">
        <v>30.0</v>
      </c>
      <c r="I80" s="35">
        <v>12.0</v>
      </c>
      <c r="J80" s="30" t="s">
        <v>156</v>
      </c>
      <c r="K80" s="36">
        <v>7.8</v>
      </c>
      <c r="L80" s="30" t="s">
        <v>157</v>
      </c>
      <c r="M80" s="30" t="str">
        <f>LOOKUP(I80,Methodology!$B$46:$B$49,Methodology!$C$46:$C$49)</f>
        <v>Easy</v>
      </c>
      <c r="N80" s="30" t="s">
        <v>184</v>
      </c>
      <c r="O80" s="37">
        <v>4.0</v>
      </c>
      <c r="P80" s="30">
        <f>LOOKUP(H80,Methodology!$B$15:$B$19,Methodology!$C$15:$C$19)</f>
        <v>2</v>
      </c>
      <c r="Q80" s="30">
        <f>LOOKUP(I80,Methodology!$B$23:$B$27,Methodology!$C$23:$C$27)</f>
        <v>5</v>
      </c>
      <c r="R80" s="30">
        <f t="array" ref="R80">INDEX(Methodology!$C$31:$C$34,MATCH(E80,Methodology!$B$31:$B$34,0))</f>
        <v>5</v>
      </c>
      <c r="S80" s="37">
        <v>5.0</v>
      </c>
      <c r="T80" s="37">
        <v>4.0</v>
      </c>
      <c r="U80" s="29">
        <f>ROUND((O80*Methodology!$C$5+P80*Methodology!$C$6+Q80*Methodology!$C$7+R80*Methodology!$C$8+S80*Methodology!$C$9+T80*Methodology!$C$10)*20,0)</f>
        <v>84</v>
      </c>
      <c r="V80" s="30" t="str">
        <f>LOOKUP(U80,Methodology!$B$38:$B$42,Methodology!$C$38:$C$42)</f>
        <v>High</v>
      </c>
      <c r="W80" s="30" t="s">
        <v>321</v>
      </c>
      <c r="X80" s="30" t="s">
        <v>165</v>
      </c>
      <c r="Y80" s="30"/>
      <c r="Z80" s="30" t="s">
        <v>162</v>
      </c>
    </row>
    <row r="81" ht="15.75" customHeight="1">
      <c r="A81" s="32" t="s">
        <v>322</v>
      </c>
      <c r="B81" s="32" t="s">
        <v>18</v>
      </c>
      <c r="C81" s="32" t="s">
        <v>320</v>
      </c>
      <c r="D81" s="32" t="s">
        <v>320</v>
      </c>
      <c r="E81" s="32" t="s">
        <v>18</v>
      </c>
      <c r="F81" s="32" t="s">
        <v>22</v>
      </c>
      <c r="G81" s="32" t="s">
        <v>164</v>
      </c>
      <c r="H81" s="38">
        <v>60500.0</v>
      </c>
      <c r="I81" s="39">
        <v>62.0</v>
      </c>
      <c r="J81" s="32" t="s">
        <v>156</v>
      </c>
      <c r="K81" s="40">
        <v>8.4</v>
      </c>
      <c r="L81" s="32" t="s">
        <v>157</v>
      </c>
      <c r="M81" s="32" t="str">
        <f>LOOKUP(I81,Methodology!$B$46:$B$49,Methodology!$C$46:$C$49)</f>
        <v>Competitive</v>
      </c>
      <c r="N81" s="32" t="s">
        <v>184</v>
      </c>
      <c r="O81" s="41">
        <v>4.0</v>
      </c>
      <c r="P81" s="32">
        <f>LOOKUP(H81,Methodology!$B$15:$B$19,Methodology!$C$15:$C$19)</f>
        <v>5</v>
      </c>
      <c r="Q81" s="32">
        <f>LOOKUP(I81,Methodology!$B$23:$B$27,Methodology!$C$23:$C$27)</f>
        <v>1</v>
      </c>
      <c r="R81" s="32">
        <f t="array" ref="R81">INDEX(Methodology!$C$31:$C$34,MATCH(E81,Methodology!$B$31:$B$34,0))</f>
        <v>5</v>
      </c>
      <c r="S81" s="41">
        <v>5.0</v>
      </c>
      <c r="T81" s="41">
        <v>4.0</v>
      </c>
      <c r="U81" s="24">
        <f>ROUND((O81*Methodology!$C$5+P81*Methodology!$C$6+Q81*Methodology!$C$7+R81*Methodology!$C$8+S81*Methodology!$C$9+T81*Methodology!$C$10)*20,0)</f>
        <v>77</v>
      </c>
      <c r="V81" s="32" t="str">
        <f>LOOKUP(U81,Methodology!$B$38:$B$42,Methodology!$C$38:$C$42)</f>
        <v>High</v>
      </c>
      <c r="W81" s="32" t="s">
        <v>321</v>
      </c>
      <c r="X81" s="32" t="s">
        <v>165</v>
      </c>
      <c r="Y81" s="32"/>
      <c r="Z81" s="32" t="s">
        <v>167</v>
      </c>
    </row>
    <row r="82" ht="15.75" customHeight="1">
      <c r="A82" s="30" t="s">
        <v>323</v>
      </c>
      <c r="B82" s="30" t="s">
        <v>17</v>
      </c>
      <c r="C82" s="30" t="s">
        <v>320</v>
      </c>
      <c r="D82" s="30" t="s">
        <v>320</v>
      </c>
      <c r="E82" s="30" t="s">
        <v>17</v>
      </c>
      <c r="F82" s="30" t="s">
        <v>21</v>
      </c>
      <c r="G82" s="30" t="s">
        <v>164</v>
      </c>
      <c r="H82" s="34">
        <v>33100.0</v>
      </c>
      <c r="I82" s="35">
        <v>56.0</v>
      </c>
      <c r="J82" s="30" t="s">
        <v>156</v>
      </c>
      <c r="K82" s="36">
        <v>6.7</v>
      </c>
      <c r="L82" s="30" t="s">
        <v>157</v>
      </c>
      <c r="M82" s="30" t="str">
        <f>LOOKUP(I82,Methodology!$B$46:$B$49,Methodology!$C$46:$C$49)</f>
        <v>Competitive</v>
      </c>
      <c r="N82" s="30" t="s">
        <v>195</v>
      </c>
      <c r="O82" s="37">
        <v>4.0</v>
      </c>
      <c r="P82" s="30">
        <f>LOOKUP(H82,Methodology!$B$15:$B$19,Methodology!$C$15:$C$19)</f>
        <v>5</v>
      </c>
      <c r="Q82" s="30">
        <f>LOOKUP(I82,Methodology!$B$23:$B$27,Methodology!$C$23:$C$27)</f>
        <v>1</v>
      </c>
      <c r="R82" s="30">
        <f t="array" ref="R82">INDEX(Methodology!$C$31:$C$34,MATCH(E82,Methodology!$B$31:$B$34,0))</f>
        <v>4</v>
      </c>
      <c r="S82" s="37">
        <v>3.0</v>
      </c>
      <c r="T82" s="37">
        <v>4.0</v>
      </c>
      <c r="U82" s="29">
        <f>ROUND((O82*Methodology!$C$5+P82*Methodology!$C$6+Q82*Methodology!$C$7+R82*Methodology!$C$8+S82*Methodology!$C$9+T82*Methodology!$C$10)*20,0)</f>
        <v>68</v>
      </c>
      <c r="V82" s="30" t="str">
        <f>LOOKUP(U82,Methodology!$B$38:$B$42,Methodology!$C$38:$C$42)</f>
        <v>Medium</v>
      </c>
      <c r="W82" s="30" t="s">
        <v>321</v>
      </c>
      <c r="X82" s="30" t="s">
        <v>165</v>
      </c>
      <c r="Y82" s="30"/>
      <c r="Z82" s="30" t="s">
        <v>167</v>
      </c>
    </row>
    <row r="83" ht="15.75" customHeight="1">
      <c r="A83" s="32" t="s">
        <v>324</v>
      </c>
      <c r="B83" s="32" t="s">
        <v>17</v>
      </c>
      <c r="C83" s="32" t="s">
        <v>320</v>
      </c>
      <c r="D83" s="32" t="s">
        <v>320</v>
      </c>
      <c r="E83" s="32" t="s">
        <v>17</v>
      </c>
      <c r="F83" s="32" t="s">
        <v>21</v>
      </c>
      <c r="G83" s="32" t="s">
        <v>164</v>
      </c>
      <c r="H83" s="38">
        <v>320.0</v>
      </c>
      <c r="I83" s="39">
        <v>28.0</v>
      </c>
      <c r="J83" s="32" t="s">
        <v>156</v>
      </c>
      <c r="K83" s="40">
        <v>6.2</v>
      </c>
      <c r="L83" s="32" t="s">
        <v>157</v>
      </c>
      <c r="M83" s="32" t="str">
        <f>LOOKUP(I83,Methodology!$B$46:$B$49,Methodology!$C$46:$C$49)</f>
        <v>Moderate</v>
      </c>
      <c r="N83" s="32" t="s">
        <v>195</v>
      </c>
      <c r="O83" s="41">
        <v>4.0</v>
      </c>
      <c r="P83" s="32">
        <f>LOOKUP(H83,Methodology!$B$15:$B$19,Methodology!$C$15:$C$19)</f>
        <v>4</v>
      </c>
      <c r="Q83" s="32">
        <f>LOOKUP(I83,Methodology!$B$23:$B$27,Methodology!$C$23:$C$27)</f>
        <v>3</v>
      </c>
      <c r="R83" s="32">
        <f t="array" ref="R83">INDEX(Methodology!$C$31:$C$34,MATCH(E83,Methodology!$B$31:$B$34,0))</f>
        <v>4</v>
      </c>
      <c r="S83" s="41">
        <v>3.0</v>
      </c>
      <c r="T83" s="41">
        <v>4.0</v>
      </c>
      <c r="U83" s="24">
        <f>ROUND((O83*Methodology!$C$5+P83*Methodology!$C$6+Q83*Methodology!$C$7+R83*Methodology!$C$8+S83*Methodology!$C$9+T83*Methodology!$C$10)*20,0)</f>
        <v>73</v>
      </c>
      <c r="V83" s="32" t="str">
        <f>LOOKUP(U83,Methodology!$B$38:$B$42,Methodology!$C$38:$C$42)</f>
        <v>Medium</v>
      </c>
      <c r="W83" s="32" t="s">
        <v>321</v>
      </c>
      <c r="X83" s="32" t="s">
        <v>165</v>
      </c>
      <c r="Y83" s="32"/>
      <c r="Z83" s="32" t="s">
        <v>225</v>
      </c>
    </row>
    <row r="84" ht="15.75" customHeight="1">
      <c r="A84" s="30" t="s">
        <v>325</v>
      </c>
      <c r="B84" s="30" t="s">
        <v>15</v>
      </c>
      <c r="C84" s="30" t="s">
        <v>320</v>
      </c>
      <c r="D84" s="30" t="s">
        <v>320</v>
      </c>
      <c r="E84" s="30" t="s">
        <v>15</v>
      </c>
      <c r="F84" s="30" t="s">
        <v>20</v>
      </c>
      <c r="G84" s="30" t="s">
        <v>164</v>
      </c>
      <c r="H84" s="34">
        <v>3600.0</v>
      </c>
      <c r="I84" s="35">
        <v>36.0</v>
      </c>
      <c r="J84" s="30" t="s">
        <v>156</v>
      </c>
      <c r="K84" s="36">
        <v>2.3</v>
      </c>
      <c r="L84" s="30" t="s">
        <v>157</v>
      </c>
      <c r="M84" s="30" t="str">
        <f>LOOKUP(I84,Methodology!$B$46:$B$49,Methodology!$C$46:$C$49)</f>
        <v>Moderate</v>
      </c>
      <c r="N84" s="30" t="s">
        <v>208</v>
      </c>
      <c r="O84" s="37">
        <v>3.0</v>
      </c>
      <c r="P84" s="30">
        <f>LOOKUP(H84,Methodology!$B$15:$B$19,Methodology!$C$15:$C$19)</f>
        <v>5</v>
      </c>
      <c r="Q84" s="30">
        <f>LOOKUP(I84,Methodology!$B$23:$B$27,Methodology!$C$23:$C$27)</f>
        <v>3</v>
      </c>
      <c r="R84" s="30">
        <f t="array" ref="R84">INDEX(Methodology!$C$31:$C$34,MATCH(E84,Methodology!$B$31:$B$34,0))</f>
        <v>2</v>
      </c>
      <c r="S84" s="37">
        <v>1.0</v>
      </c>
      <c r="T84" s="37">
        <v>3.0</v>
      </c>
      <c r="U84" s="29">
        <f>ROUND((O84*Methodology!$C$5+P84*Methodology!$C$6+Q84*Methodology!$C$7+R84*Methodology!$C$8+S84*Methodology!$C$9+T84*Methodology!$C$10)*20,0)</f>
        <v>57</v>
      </c>
      <c r="V84" s="30" t="str">
        <f>LOOKUP(U84,Methodology!$B$38:$B$42,Methodology!$C$38:$C$42)</f>
        <v>Low</v>
      </c>
      <c r="W84" s="30" t="s">
        <v>321</v>
      </c>
      <c r="X84" s="30" t="s">
        <v>165</v>
      </c>
      <c r="Y84" s="30"/>
      <c r="Z84" s="30" t="s">
        <v>167</v>
      </c>
    </row>
    <row r="85" ht="15.75" customHeight="1">
      <c r="A85" s="32" t="s">
        <v>326</v>
      </c>
      <c r="B85" s="32" t="s">
        <v>246</v>
      </c>
      <c r="C85" s="32" t="s">
        <v>320</v>
      </c>
      <c r="D85" s="32" t="s">
        <v>320</v>
      </c>
      <c r="E85" s="32" t="s">
        <v>17</v>
      </c>
      <c r="F85" s="32" t="s">
        <v>21</v>
      </c>
      <c r="G85" s="32" t="s">
        <v>164</v>
      </c>
      <c r="H85" s="38">
        <v>880.0</v>
      </c>
      <c r="I85" s="39">
        <v>30.0</v>
      </c>
      <c r="J85" s="32" t="s">
        <v>156</v>
      </c>
      <c r="K85" s="40">
        <v>3.2</v>
      </c>
      <c r="L85" s="32" t="s">
        <v>157</v>
      </c>
      <c r="M85" s="32" t="str">
        <f>LOOKUP(I85,Methodology!$B$46:$B$49,Methodology!$C$46:$C$49)</f>
        <v>Moderate</v>
      </c>
      <c r="N85" s="32" t="s">
        <v>208</v>
      </c>
      <c r="O85" s="41">
        <v>4.0</v>
      </c>
      <c r="P85" s="32">
        <f>LOOKUP(H85,Methodology!$B$15:$B$19,Methodology!$C$15:$C$19)</f>
        <v>4</v>
      </c>
      <c r="Q85" s="32">
        <f>LOOKUP(I85,Methodology!$B$23:$B$27,Methodology!$C$23:$C$27)</f>
        <v>3</v>
      </c>
      <c r="R85" s="32">
        <f t="array" ref="R85">INDEX(Methodology!$C$31:$C$34,MATCH(E85,Methodology!$B$31:$B$34,0))</f>
        <v>4</v>
      </c>
      <c r="S85" s="41">
        <v>3.0</v>
      </c>
      <c r="T85" s="41">
        <v>4.0</v>
      </c>
      <c r="U85" s="24">
        <f>ROUND((O85*Methodology!$C$5+P85*Methodology!$C$6+Q85*Methodology!$C$7+R85*Methodology!$C$8+S85*Methodology!$C$9+T85*Methodology!$C$10)*20,0)</f>
        <v>73</v>
      </c>
      <c r="V85" s="32" t="str">
        <f>LOOKUP(U85,Methodology!$B$38:$B$42,Methodology!$C$38:$C$42)</f>
        <v>Medium</v>
      </c>
      <c r="W85" s="32" t="s">
        <v>321</v>
      </c>
      <c r="X85" s="32" t="s">
        <v>165</v>
      </c>
      <c r="Y85" s="32"/>
      <c r="Z85" s="32" t="s">
        <v>167</v>
      </c>
    </row>
    <row r="86" ht="15.75" customHeight="1">
      <c r="A86" s="30" t="s">
        <v>327</v>
      </c>
      <c r="B86" s="30" t="s">
        <v>189</v>
      </c>
      <c r="C86" s="30" t="s">
        <v>328</v>
      </c>
      <c r="D86" s="30" t="s">
        <v>328</v>
      </c>
      <c r="E86" s="30" t="s">
        <v>18</v>
      </c>
      <c r="F86" s="30" t="s">
        <v>22</v>
      </c>
      <c r="G86" s="30" t="s">
        <v>155</v>
      </c>
      <c r="H86" s="34">
        <v>20.0</v>
      </c>
      <c r="I86" s="35">
        <v>11.0</v>
      </c>
      <c r="J86" s="30" t="s">
        <v>156</v>
      </c>
      <c r="K86" s="36">
        <v>7.1</v>
      </c>
      <c r="L86" s="30" t="s">
        <v>157</v>
      </c>
      <c r="M86" s="30" t="str">
        <f>LOOKUP(I86,Methodology!$B$46:$B$49,Methodology!$C$46:$C$49)</f>
        <v>Easy</v>
      </c>
      <c r="N86" s="30" t="s">
        <v>184</v>
      </c>
      <c r="O86" s="37">
        <v>3.0</v>
      </c>
      <c r="P86" s="30">
        <f>LOOKUP(H86,Methodology!$B$15:$B$19,Methodology!$C$15:$C$19)</f>
        <v>2</v>
      </c>
      <c r="Q86" s="30">
        <f>LOOKUP(I86,Methodology!$B$23:$B$27,Methodology!$C$23:$C$27)</f>
        <v>5</v>
      </c>
      <c r="R86" s="30">
        <f t="array" ref="R86">INDEX(Methodology!$C$31:$C$34,MATCH(E86,Methodology!$B$31:$B$34,0))</f>
        <v>5</v>
      </c>
      <c r="S86" s="37">
        <v>5.0</v>
      </c>
      <c r="T86" s="37">
        <v>3.0</v>
      </c>
      <c r="U86" s="29">
        <f>ROUND((O86*Methodology!$C$5+P86*Methodology!$C$6+Q86*Methodology!$C$7+R86*Methodology!$C$8+S86*Methodology!$C$9+T86*Methodology!$C$10)*20,0)</f>
        <v>77</v>
      </c>
      <c r="V86" s="30" t="str">
        <f>LOOKUP(U86,Methodology!$B$38:$B$42,Methodology!$C$38:$C$42)</f>
        <v>High</v>
      </c>
      <c r="W86" s="30" t="s">
        <v>329</v>
      </c>
      <c r="X86" s="30" t="s">
        <v>165</v>
      </c>
      <c r="Y86" s="30"/>
      <c r="Z86" s="30" t="s">
        <v>162</v>
      </c>
    </row>
    <row r="87" ht="15.75" customHeight="1">
      <c r="A87" s="32" t="s">
        <v>330</v>
      </c>
      <c r="B87" s="32" t="s">
        <v>18</v>
      </c>
      <c r="C87" s="32" t="s">
        <v>328</v>
      </c>
      <c r="D87" s="32" t="s">
        <v>328</v>
      </c>
      <c r="E87" s="32" t="s">
        <v>18</v>
      </c>
      <c r="F87" s="32" t="s">
        <v>22</v>
      </c>
      <c r="G87" s="32" t="s">
        <v>164</v>
      </c>
      <c r="H87" s="38">
        <v>4400.0</v>
      </c>
      <c r="I87" s="39">
        <v>48.0</v>
      </c>
      <c r="J87" s="32" t="s">
        <v>156</v>
      </c>
      <c r="K87" s="40">
        <v>6.9</v>
      </c>
      <c r="L87" s="32" t="s">
        <v>157</v>
      </c>
      <c r="M87" s="32" t="str">
        <f>LOOKUP(I87,Methodology!$B$46:$B$49,Methodology!$C$46:$C$49)</f>
        <v>Competitive</v>
      </c>
      <c r="N87" s="32" t="s">
        <v>184</v>
      </c>
      <c r="O87" s="41">
        <v>3.0</v>
      </c>
      <c r="P87" s="32">
        <f>LOOKUP(H87,Methodology!$B$15:$B$19,Methodology!$C$15:$C$19)</f>
        <v>5</v>
      </c>
      <c r="Q87" s="32">
        <f>LOOKUP(I87,Methodology!$B$23:$B$27,Methodology!$C$23:$C$27)</f>
        <v>2</v>
      </c>
      <c r="R87" s="32">
        <f t="array" ref="R87">INDEX(Methodology!$C$31:$C$34,MATCH(E87,Methodology!$B$31:$B$34,0))</f>
        <v>5</v>
      </c>
      <c r="S87" s="41">
        <v>5.0</v>
      </c>
      <c r="T87" s="41">
        <v>3.0</v>
      </c>
      <c r="U87" s="24">
        <f>ROUND((O87*Methodology!$C$5+P87*Methodology!$C$6+Q87*Methodology!$C$7+R87*Methodology!$C$8+S87*Methodology!$C$9+T87*Methodology!$C$10)*20,0)</f>
        <v>74</v>
      </c>
      <c r="V87" s="32" t="str">
        <f>LOOKUP(U87,Methodology!$B$38:$B$42,Methodology!$C$38:$C$42)</f>
        <v>Medium</v>
      </c>
      <c r="W87" s="32" t="s">
        <v>329</v>
      </c>
      <c r="X87" s="32" t="s">
        <v>165</v>
      </c>
      <c r="Y87" s="32"/>
      <c r="Z87" s="32" t="s">
        <v>167</v>
      </c>
    </row>
    <row r="88" ht="15.75" customHeight="1">
      <c r="A88" s="30" t="s">
        <v>331</v>
      </c>
      <c r="B88" s="30" t="s">
        <v>17</v>
      </c>
      <c r="C88" s="30" t="s">
        <v>328</v>
      </c>
      <c r="D88" s="30" t="s">
        <v>328</v>
      </c>
      <c r="E88" s="30" t="s">
        <v>17</v>
      </c>
      <c r="F88" s="30" t="s">
        <v>21</v>
      </c>
      <c r="G88" s="30" t="s">
        <v>164</v>
      </c>
      <c r="H88" s="34">
        <v>6600.0</v>
      </c>
      <c r="I88" s="35">
        <v>46.0</v>
      </c>
      <c r="J88" s="30" t="s">
        <v>156</v>
      </c>
      <c r="K88" s="36">
        <v>5.9</v>
      </c>
      <c r="L88" s="30" t="s">
        <v>157</v>
      </c>
      <c r="M88" s="30" t="str">
        <f>LOOKUP(I88,Methodology!$B$46:$B$49,Methodology!$C$46:$C$49)</f>
        <v>Competitive</v>
      </c>
      <c r="N88" s="30" t="s">
        <v>195</v>
      </c>
      <c r="O88" s="37">
        <v>3.0</v>
      </c>
      <c r="P88" s="30">
        <f>LOOKUP(H88,Methodology!$B$15:$B$19,Methodology!$C$15:$C$19)</f>
        <v>5</v>
      </c>
      <c r="Q88" s="30">
        <f>LOOKUP(I88,Methodology!$B$23:$B$27,Methodology!$C$23:$C$27)</f>
        <v>2</v>
      </c>
      <c r="R88" s="30">
        <f t="array" ref="R88">INDEX(Methodology!$C$31:$C$34,MATCH(E88,Methodology!$B$31:$B$34,0))</f>
        <v>4</v>
      </c>
      <c r="S88" s="37">
        <v>3.0</v>
      </c>
      <c r="T88" s="37">
        <v>3.0</v>
      </c>
      <c r="U88" s="29">
        <f>ROUND((O88*Methodology!$C$5+P88*Methodology!$C$6+Q88*Methodology!$C$7+R88*Methodology!$C$8+S88*Methodology!$C$9+T88*Methodology!$C$10)*20,0)</f>
        <v>65</v>
      </c>
      <c r="V88" s="30" t="str">
        <f>LOOKUP(U88,Methodology!$B$38:$B$42,Methodology!$C$38:$C$42)</f>
        <v>Medium</v>
      </c>
      <c r="W88" s="30" t="s">
        <v>329</v>
      </c>
      <c r="X88" s="30" t="s">
        <v>165</v>
      </c>
      <c r="Y88" s="30"/>
      <c r="Z88" s="30" t="s">
        <v>167</v>
      </c>
    </row>
    <row r="89" ht="15.75" customHeight="1">
      <c r="A89" s="32" t="s">
        <v>332</v>
      </c>
      <c r="B89" s="32" t="s">
        <v>17</v>
      </c>
      <c r="C89" s="32" t="s">
        <v>328</v>
      </c>
      <c r="D89" s="32" t="s">
        <v>328</v>
      </c>
      <c r="E89" s="32" t="s">
        <v>17</v>
      </c>
      <c r="F89" s="32" t="s">
        <v>21</v>
      </c>
      <c r="G89" s="32" t="s">
        <v>164</v>
      </c>
      <c r="H89" s="38">
        <v>2400.0</v>
      </c>
      <c r="I89" s="39">
        <v>36.0</v>
      </c>
      <c r="J89" s="32" t="s">
        <v>156</v>
      </c>
      <c r="K89" s="40">
        <v>3.8</v>
      </c>
      <c r="L89" s="32" t="s">
        <v>157</v>
      </c>
      <c r="M89" s="32" t="str">
        <f>LOOKUP(I89,Methodology!$B$46:$B$49,Methodology!$C$46:$C$49)</f>
        <v>Moderate</v>
      </c>
      <c r="N89" s="32" t="s">
        <v>208</v>
      </c>
      <c r="O89" s="41">
        <v>3.0</v>
      </c>
      <c r="P89" s="32">
        <f>LOOKUP(H89,Methodology!$B$15:$B$19,Methodology!$C$15:$C$19)</f>
        <v>5</v>
      </c>
      <c r="Q89" s="32">
        <f>LOOKUP(I89,Methodology!$B$23:$B$27,Methodology!$C$23:$C$27)</f>
        <v>3</v>
      </c>
      <c r="R89" s="32">
        <f t="array" ref="R89">INDEX(Methodology!$C$31:$C$34,MATCH(E89,Methodology!$B$31:$B$34,0))</f>
        <v>4</v>
      </c>
      <c r="S89" s="41">
        <v>3.0</v>
      </c>
      <c r="T89" s="41">
        <v>3.0</v>
      </c>
      <c r="U89" s="24">
        <f>ROUND((O89*Methodology!$C$5+P89*Methodology!$C$6+Q89*Methodology!$C$7+R89*Methodology!$C$8+S89*Methodology!$C$9+T89*Methodology!$C$10)*20,0)</f>
        <v>69</v>
      </c>
      <c r="V89" s="32" t="str">
        <f>LOOKUP(U89,Methodology!$B$38:$B$42,Methodology!$C$38:$C$42)</f>
        <v>Medium</v>
      </c>
      <c r="W89" s="32" t="s">
        <v>329</v>
      </c>
      <c r="X89" s="32" t="s">
        <v>165</v>
      </c>
      <c r="Y89" s="32" t="s">
        <v>333</v>
      </c>
      <c r="Z89" s="32" t="s">
        <v>167</v>
      </c>
    </row>
    <row r="90" ht="15.75" customHeight="1">
      <c r="A90" s="30" t="s">
        <v>334</v>
      </c>
      <c r="B90" s="30" t="s">
        <v>15</v>
      </c>
      <c r="C90" s="30" t="s">
        <v>328</v>
      </c>
      <c r="D90" s="30" t="s">
        <v>328</v>
      </c>
      <c r="E90" s="30" t="s">
        <v>15</v>
      </c>
      <c r="F90" s="30" t="s">
        <v>20</v>
      </c>
      <c r="G90" s="30" t="s">
        <v>164</v>
      </c>
      <c r="H90" s="34">
        <v>1600.0</v>
      </c>
      <c r="I90" s="35">
        <v>32.0</v>
      </c>
      <c r="J90" s="30" t="s">
        <v>156</v>
      </c>
      <c r="K90" s="36">
        <v>2.1</v>
      </c>
      <c r="L90" s="30" t="s">
        <v>157</v>
      </c>
      <c r="M90" s="30" t="str">
        <f>LOOKUP(I90,Methodology!$B$46:$B$49,Methodology!$C$46:$C$49)</f>
        <v>Moderate</v>
      </c>
      <c r="N90" s="30" t="s">
        <v>208</v>
      </c>
      <c r="O90" s="37">
        <v>2.0</v>
      </c>
      <c r="P90" s="30">
        <f>LOOKUP(H90,Methodology!$B$15:$B$19,Methodology!$C$15:$C$19)</f>
        <v>5</v>
      </c>
      <c r="Q90" s="30">
        <f>LOOKUP(I90,Methodology!$B$23:$B$27,Methodology!$C$23:$C$27)</f>
        <v>3</v>
      </c>
      <c r="R90" s="30">
        <f t="array" ref="R90">INDEX(Methodology!$C$31:$C$34,MATCH(E90,Methodology!$B$31:$B$34,0))</f>
        <v>2</v>
      </c>
      <c r="S90" s="37">
        <v>1.0</v>
      </c>
      <c r="T90" s="37">
        <v>2.0</v>
      </c>
      <c r="U90" s="29">
        <f>ROUND((O90*Methodology!$C$5+P90*Methodology!$C$6+Q90*Methodology!$C$7+R90*Methodology!$C$8+S90*Methodology!$C$9+T90*Methodology!$C$10)*20,0)</f>
        <v>50</v>
      </c>
      <c r="V90" s="30" t="str">
        <f>LOOKUP(U90,Methodology!$B$38:$B$42,Methodology!$C$38:$C$42)</f>
        <v>Low</v>
      </c>
      <c r="W90" s="30" t="s">
        <v>329</v>
      </c>
      <c r="X90" s="30" t="s">
        <v>165</v>
      </c>
      <c r="Y90" s="30"/>
      <c r="Z90" s="30" t="s">
        <v>167</v>
      </c>
    </row>
    <row r="91" ht="15.75" customHeight="1">
      <c r="A91" s="32" t="s">
        <v>335</v>
      </c>
      <c r="B91" s="32" t="s">
        <v>246</v>
      </c>
      <c r="C91" s="32" t="s">
        <v>328</v>
      </c>
      <c r="D91" s="32" t="s">
        <v>328</v>
      </c>
      <c r="E91" s="32" t="s">
        <v>17</v>
      </c>
      <c r="F91" s="32" t="s">
        <v>21</v>
      </c>
      <c r="G91" s="32" t="s">
        <v>164</v>
      </c>
      <c r="H91" s="38">
        <v>1000.0</v>
      </c>
      <c r="I91" s="39">
        <v>34.0</v>
      </c>
      <c r="J91" s="32" t="s">
        <v>156</v>
      </c>
      <c r="K91" s="40">
        <v>4.2</v>
      </c>
      <c r="L91" s="32" t="s">
        <v>157</v>
      </c>
      <c r="M91" s="32" t="str">
        <f>LOOKUP(I91,Methodology!$B$46:$B$49,Methodology!$C$46:$C$49)</f>
        <v>Moderate</v>
      </c>
      <c r="N91" s="32" t="s">
        <v>208</v>
      </c>
      <c r="O91" s="41">
        <v>3.0</v>
      </c>
      <c r="P91" s="32">
        <f>LOOKUP(H91,Methodology!$B$15:$B$19,Methodology!$C$15:$C$19)</f>
        <v>5</v>
      </c>
      <c r="Q91" s="32">
        <f>LOOKUP(I91,Methodology!$B$23:$B$27,Methodology!$C$23:$C$27)</f>
        <v>3</v>
      </c>
      <c r="R91" s="32">
        <f t="array" ref="R91">INDEX(Methodology!$C$31:$C$34,MATCH(E91,Methodology!$B$31:$B$34,0))</f>
        <v>4</v>
      </c>
      <c r="S91" s="41">
        <v>3.0</v>
      </c>
      <c r="T91" s="41">
        <v>3.0</v>
      </c>
      <c r="U91" s="24">
        <f>ROUND((O91*Methodology!$C$5+P91*Methodology!$C$6+Q91*Methodology!$C$7+R91*Methodology!$C$8+S91*Methodology!$C$9+T91*Methodology!$C$10)*20,0)</f>
        <v>69</v>
      </c>
      <c r="V91" s="32" t="str">
        <f>LOOKUP(U91,Methodology!$B$38:$B$42,Methodology!$C$38:$C$42)</f>
        <v>Medium</v>
      </c>
      <c r="W91" s="32" t="s">
        <v>336</v>
      </c>
      <c r="X91" s="32" t="s">
        <v>179</v>
      </c>
      <c r="Y91" s="32"/>
      <c r="Z91" s="32" t="s">
        <v>167</v>
      </c>
    </row>
    <row r="92" ht="15.75" customHeight="1">
      <c r="A92" s="30" t="s">
        <v>337</v>
      </c>
      <c r="B92" s="30" t="s">
        <v>189</v>
      </c>
      <c r="C92" s="30" t="s">
        <v>338</v>
      </c>
      <c r="D92" s="30" t="s">
        <v>339</v>
      </c>
      <c r="E92" s="30" t="s">
        <v>18</v>
      </c>
      <c r="F92" s="30" t="s">
        <v>22</v>
      </c>
      <c r="G92" s="30" t="s">
        <v>155</v>
      </c>
      <c r="H92" s="34">
        <v>10.0</v>
      </c>
      <c r="I92" s="35">
        <v>10.0</v>
      </c>
      <c r="J92" s="30" t="s">
        <v>156</v>
      </c>
      <c r="K92" s="36">
        <v>8.5</v>
      </c>
      <c r="L92" s="30" t="s">
        <v>157</v>
      </c>
      <c r="M92" s="30" t="str">
        <f>LOOKUP(I92,Methodology!$B$46:$B$49,Methodology!$C$46:$C$49)</f>
        <v>Easy</v>
      </c>
      <c r="N92" s="30" t="s">
        <v>184</v>
      </c>
      <c r="O92" s="37">
        <v>4.0</v>
      </c>
      <c r="P92" s="30">
        <f>LOOKUP(H92,Methodology!$B$15:$B$19,Methodology!$C$15:$C$19)</f>
        <v>1</v>
      </c>
      <c r="Q92" s="30">
        <f>LOOKUP(I92,Methodology!$B$23:$B$27,Methodology!$C$23:$C$27)</f>
        <v>5</v>
      </c>
      <c r="R92" s="30">
        <f t="array" ref="R92">INDEX(Methodology!$C$31:$C$34,MATCH(E92,Methodology!$B$31:$B$34,0))</f>
        <v>5</v>
      </c>
      <c r="S92" s="37">
        <v>5.0</v>
      </c>
      <c r="T92" s="37">
        <v>4.0</v>
      </c>
      <c r="U92" s="29">
        <f>ROUND((O92*Methodology!$C$5+P92*Methodology!$C$6+Q92*Methodology!$C$7+R92*Methodology!$C$8+S92*Methodology!$C$9+T92*Methodology!$C$10)*20,0)</f>
        <v>81</v>
      </c>
      <c r="V92" s="30" t="str">
        <f>LOOKUP(U92,Methodology!$B$38:$B$42,Methodology!$C$38:$C$42)</f>
        <v>High</v>
      </c>
      <c r="W92" s="30" t="s">
        <v>340</v>
      </c>
      <c r="X92" s="30" t="s">
        <v>165</v>
      </c>
      <c r="Y92" s="30"/>
      <c r="Z92" s="30" t="s">
        <v>162</v>
      </c>
    </row>
    <row r="93" ht="15.75" customHeight="1">
      <c r="A93" s="32" t="s">
        <v>341</v>
      </c>
      <c r="B93" s="32" t="s">
        <v>181</v>
      </c>
      <c r="C93" s="32" t="s">
        <v>338</v>
      </c>
      <c r="D93" s="32" t="s">
        <v>339</v>
      </c>
      <c r="E93" s="32" t="s">
        <v>18</v>
      </c>
      <c r="F93" s="32" t="s">
        <v>22</v>
      </c>
      <c r="G93" s="32" t="s">
        <v>164</v>
      </c>
      <c r="H93" s="38">
        <v>20.0</v>
      </c>
      <c r="I93" s="39">
        <v>14.0</v>
      </c>
      <c r="J93" s="32" t="s">
        <v>156</v>
      </c>
      <c r="K93" s="40">
        <v>9.0</v>
      </c>
      <c r="L93" s="32" t="s">
        <v>157</v>
      </c>
      <c r="M93" s="32" t="str">
        <f>LOOKUP(I93,Methodology!$B$46:$B$49,Methodology!$C$46:$C$49)</f>
        <v>Easy</v>
      </c>
      <c r="N93" s="32" t="s">
        <v>184</v>
      </c>
      <c r="O93" s="41">
        <v>4.0</v>
      </c>
      <c r="P93" s="32">
        <f>LOOKUP(H93,Methodology!$B$15:$B$19,Methodology!$C$15:$C$19)</f>
        <v>2</v>
      </c>
      <c r="Q93" s="32">
        <f>LOOKUP(I93,Methodology!$B$23:$B$27,Methodology!$C$23:$C$27)</f>
        <v>5</v>
      </c>
      <c r="R93" s="32">
        <f t="array" ref="R93">INDEX(Methodology!$C$31:$C$34,MATCH(E93,Methodology!$B$31:$B$34,0))</f>
        <v>5</v>
      </c>
      <c r="S93" s="41">
        <v>5.0</v>
      </c>
      <c r="T93" s="41">
        <v>4.0</v>
      </c>
      <c r="U93" s="24">
        <f>ROUND((O93*Methodology!$C$5+P93*Methodology!$C$6+Q93*Methodology!$C$7+R93*Methodology!$C$8+S93*Methodology!$C$9+T93*Methodology!$C$10)*20,0)</f>
        <v>84</v>
      </c>
      <c r="V93" s="32" t="str">
        <f>LOOKUP(U93,Methodology!$B$38:$B$42,Methodology!$C$38:$C$42)</f>
        <v>High</v>
      </c>
      <c r="W93" s="32" t="s">
        <v>340</v>
      </c>
      <c r="X93" s="32" t="s">
        <v>165</v>
      </c>
      <c r="Y93" s="32"/>
      <c r="Z93" s="32" t="s">
        <v>162</v>
      </c>
    </row>
    <row r="94" ht="15.75" customHeight="1">
      <c r="A94" s="30" t="s">
        <v>342</v>
      </c>
      <c r="B94" s="30" t="s">
        <v>18</v>
      </c>
      <c r="C94" s="30" t="s">
        <v>338</v>
      </c>
      <c r="D94" s="30" t="s">
        <v>339</v>
      </c>
      <c r="E94" s="30" t="s">
        <v>18</v>
      </c>
      <c r="F94" s="30" t="s">
        <v>22</v>
      </c>
      <c r="G94" s="30" t="s">
        <v>164</v>
      </c>
      <c r="H94" s="34">
        <v>33100.0</v>
      </c>
      <c r="I94" s="35">
        <v>58.0</v>
      </c>
      <c r="J94" s="30" t="s">
        <v>156</v>
      </c>
      <c r="K94" s="36">
        <v>8.9</v>
      </c>
      <c r="L94" s="30" t="s">
        <v>157</v>
      </c>
      <c r="M94" s="30" t="str">
        <f>LOOKUP(I94,Methodology!$B$46:$B$49,Methodology!$C$46:$C$49)</f>
        <v>Competitive</v>
      </c>
      <c r="N94" s="30" t="s">
        <v>184</v>
      </c>
      <c r="O94" s="37">
        <v>4.0</v>
      </c>
      <c r="P94" s="30">
        <f>LOOKUP(H94,Methodology!$B$15:$B$19,Methodology!$C$15:$C$19)</f>
        <v>5</v>
      </c>
      <c r="Q94" s="30">
        <f>LOOKUP(I94,Methodology!$B$23:$B$27,Methodology!$C$23:$C$27)</f>
        <v>1</v>
      </c>
      <c r="R94" s="30">
        <f t="array" ref="R94">INDEX(Methodology!$C$31:$C$34,MATCH(E94,Methodology!$B$31:$B$34,0))</f>
        <v>5</v>
      </c>
      <c r="S94" s="37">
        <v>5.0</v>
      </c>
      <c r="T94" s="37">
        <v>4.0</v>
      </c>
      <c r="U94" s="29">
        <f>ROUND((O94*Methodology!$C$5+P94*Methodology!$C$6+Q94*Methodology!$C$7+R94*Methodology!$C$8+S94*Methodology!$C$9+T94*Methodology!$C$10)*20,0)</f>
        <v>77</v>
      </c>
      <c r="V94" s="30" t="str">
        <f>LOOKUP(U94,Methodology!$B$38:$B$42,Methodology!$C$38:$C$42)</f>
        <v>High</v>
      </c>
      <c r="W94" s="30" t="s">
        <v>340</v>
      </c>
      <c r="X94" s="30" t="s">
        <v>165</v>
      </c>
      <c r="Y94" s="30"/>
      <c r="Z94" s="30" t="s">
        <v>167</v>
      </c>
    </row>
    <row r="95" ht="15.75" customHeight="1">
      <c r="A95" s="32" t="s">
        <v>343</v>
      </c>
      <c r="B95" s="32" t="s">
        <v>17</v>
      </c>
      <c r="C95" s="32" t="s">
        <v>338</v>
      </c>
      <c r="D95" s="32" t="s">
        <v>339</v>
      </c>
      <c r="E95" s="32" t="s">
        <v>17</v>
      </c>
      <c r="F95" s="32" t="s">
        <v>21</v>
      </c>
      <c r="G95" s="32" t="s">
        <v>164</v>
      </c>
      <c r="H95" s="38">
        <v>22200.0</v>
      </c>
      <c r="I95" s="39">
        <v>60.0</v>
      </c>
      <c r="J95" s="32" t="s">
        <v>156</v>
      </c>
      <c r="K95" s="40">
        <v>10.2</v>
      </c>
      <c r="L95" s="32" t="s">
        <v>157</v>
      </c>
      <c r="M95" s="32" t="str">
        <f>LOOKUP(I95,Methodology!$B$46:$B$49,Methodology!$C$46:$C$49)</f>
        <v>Competitive</v>
      </c>
      <c r="N95" s="32" t="s">
        <v>195</v>
      </c>
      <c r="O95" s="41">
        <v>4.0</v>
      </c>
      <c r="P95" s="32">
        <f>LOOKUP(H95,Methodology!$B$15:$B$19,Methodology!$C$15:$C$19)</f>
        <v>5</v>
      </c>
      <c r="Q95" s="32">
        <f>LOOKUP(I95,Methodology!$B$23:$B$27,Methodology!$C$23:$C$27)</f>
        <v>1</v>
      </c>
      <c r="R95" s="32">
        <f t="array" ref="R95">INDEX(Methodology!$C$31:$C$34,MATCH(E95,Methodology!$B$31:$B$34,0))</f>
        <v>4</v>
      </c>
      <c r="S95" s="41">
        <v>3.0</v>
      </c>
      <c r="T95" s="41">
        <v>4.0</v>
      </c>
      <c r="U95" s="24">
        <f>ROUND((O95*Methodology!$C$5+P95*Methodology!$C$6+Q95*Methodology!$C$7+R95*Methodology!$C$8+S95*Methodology!$C$9+T95*Methodology!$C$10)*20,0)</f>
        <v>68</v>
      </c>
      <c r="V95" s="32" t="str">
        <f>LOOKUP(U95,Methodology!$B$38:$B$42,Methodology!$C$38:$C$42)</f>
        <v>Medium</v>
      </c>
      <c r="W95" s="32" t="s">
        <v>340</v>
      </c>
      <c r="X95" s="32" t="s">
        <v>165</v>
      </c>
      <c r="Y95" s="32"/>
      <c r="Z95" s="32" t="s">
        <v>167</v>
      </c>
    </row>
    <row r="96" ht="15.75" customHeight="1">
      <c r="A96" s="30" t="s">
        <v>344</v>
      </c>
      <c r="B96" s="30" t="s">
        <v>17</v>
      </c>
      <c r="C96" s="30" t="s">
        <v>338</v>
      </c>
      <c r="D96" s="30" t="s">
        <v>339</v>
      </c>
      <c r="E96" s="30" t="s">
        <v>17</v>
      </c>
      <c r="F96" s="30" t="s">
        <v>21</v>
      </c>
      <c r="G96" s="30" t="s">
        <v>164</v>
      </c>
      <c r="H96" s="34">
        <v>2900.0</v>
      </c>
      <c r="I96" s="35">
        <v>38.0</v>
      </c>
      <c r="J96" s="30" t="s">
        <v>156</v>
      </c>
      <c r="K96" s="36">
        <v>3.7</v>
      </c>
      <c r="L96" s="30" t="s">
        <v>157</v>
      </c>
      <c r="M96" s="30" t="str">
        <f>LOOKUP(I96,Methodology!$B$46:$B$49,Methodology!$C$46:$C$49)</f>
        <v>Moderate</v>
      </c>
      <c r="N96" s="30" t="s">
        <v>208</v>
      </c>
      <c r="O96" s="37">
        <v>4.0</v>
      </c>
      <c r="P96" s="30">
        <f>LOOKUP(H96,Methodology!$B$15:$B$19,Methodology!$C$15:$C$19)</f>
        <v>5</v>
      </c>
      <c r="Q96" s="30">
        <f>LOOKUP(I96,Methodology!$B$23:$B$27,Methodology!$C$23:$C$27)</f>
        <v>3</v>
      </c>
      <c r="R96" s="30">
        <f t="array" ref="R96">INDEX(Methodology!$C$31:$C$34,MATCH(E96,Methodology!$B$31:$B$34,0))</f>
        <v>4</v>
      </c>
      <c r="S96" s="37">
        <v>3.0</v>
      </c>
      <c r="T96" s="37">
        <v>4.0</v>
      </c>
      <c r="U96" s="29">
        <f>ROUND((O96*Methodology!$C$5+P96*Methodology!$C$6+Q96*Methodology!$C$7+R96*Methodology!$C$8+S96*Methodology!$C$9+T96*Methodology!$C$10)*20,0)</f>
        <v>76</v>
      </c>
      <c r="V96" s="30" t="str">
        <f>LOOKUP(U96,Methodology!$B$38:$B$42,Methodology!$C$38:$C$42)</f>
        <v>High</v>
      </c>
      <c r="W96" s="30" t="s">
        <v>340</v>
      </c>
      <c r="X96" s="30" t="s">
        <v>165</v>
      </c>
      <c r="Y96" s="30"/>
      <c r="Z96" s="30" t="s">
        <v>167</v>
      </c>
    </row>
    <row r="97" ht="15.75" customHeight="1">
      <c r="A97" s="32" t="s">
        <v>345</v>
      </c>
      <c r="B97" s="32" t="s">
        <v>15</v>
      </c>
      <c r="C97" s="32" t="s">
        <v>338</v>
      </c>
      <c r="D97" s="32" t="s">
        <v>339</v>
      </c>
      <c r="E97" s="32" t="s">
        <v>15</v>
      </c>
      <c r="F97" s="32" t="s">
        <v>20</v>
      </c>
      <c r="G97" s="32" t="s">
        <v>164</v>
      </c>
      <c r="H97" s="38">
        <v>6600.0</v>
      </c>
      <c r="I97" s="39">
        <v>44.0</v>
      </c>
      <c r="J97" s="32" t="s">
        <v>156</v>
      </c>
      <c r="K97" s="40">
        <v>2.5</v>
      </c>
      <c r="L97" s="32" t="s">
        <v>157</v>
      </c>
      <c r="M97" s="32" t="str">
        <f>LOOKUP(I97,Methodology!$B$46:$B$49,Methodology!$C$46:$C$49)</f>
        <v>Competitive</v>
      </c>
      <c r="N97" s="32" t="s">
        <v>208</v>
      </c>
      <c r="O97" s="41">
        <v>3.0</v>
      </c>
      <c r="P97" s="32">
        <f>LOOKUP(H97,Methodology!$B$15:$B$19,Methodology!$C$15:$C$19)</f>
        <v>5</v>
      </c>
      <c r="Q97" s="32">
        <f>LOOKUP(I97,Methodology!$B$23:$B$27,Methodology!$C$23:$C$27)</f>
        <v>2</v>
      </c>
      <c r="R97" s="32">
        <f t="array" ref="R97">INDEX(Methodology!$C$31:$C$34,MATCH(E97,Methodology!$B$31:$B$34,0))</f>
        <v>2</v>
      </c>
      <c r="S97" s="41">
        <v>1.0</v>
      </c>
      <c r="T97" s="41">
        <v>3.0</v>
      </c>
      <c r="U97" s="24">
        <f>ROUND((O97*Methodology!$C$5+P97*Methodology!$C$6+Q97*Methodology!$C$7+R97*Methodology!$C$8+S97*Methodology!$C$9+T97*Methodology!$C$10)*20,0)</f>
        <v>53</v>
      </c>
      <c r="V97" s="32" t="str">
        <f>LOOKUP(U97,Methodology!$B$38:$B$42,Methodology!$C$38:$C$42)</f>
        <v>Low</v>
      </c>
      <c r="W97" s="32" t="s">
        <v>340</v>
      </c>
      <c r="X97" s="32" t="s">
        <v>165</v>
      </c>
      <c r="Y97" s="32"/>
      <c r="Z97" s="32" t="s">
        <v>167</v>
      </c>
    </row>
    <row r="98" ht="15.75" customHeight="1">
      <c r="A98" s="30" t="s">
        <v>346</v>
      </c>
      <c r="B98" s="30" t="s">
        <v>246</v>
      </c>
      <c r="C98" s="30" t="s">
        <v>338</v>
      </c>
      <c r="D98" s="30" t="s">
        <v>339</v>
      </c>
      <c r="E98" s="30" t="s">
        <v>17</v>
      </c>
      <c r="F98" s="30" t="s">
        <v>21</v>
      </c>
      <c r="G98" s="30" t="s">
        <v>164</v>
      </c>
      <c r="H98" s="34">
        <v>3600.0</v>
      </c>
      <c r="I98" s="35">
        <v>40.0</v>
      </c>
      <c r="J98" s="30" t="s">
        <v>156</v>
      </c>
      <c r="K98" s="36">
        <v>4.1</v>
      </c>
      <c r="L98" s="30" t="s">
        <v>157</v>
      </c>
      <c r="M98" s="30" t="str">
        <f>LOOKUP(I98,Methodology!$B$46:$B$49,Methodology!$C$46:$C$49)</f>
        <v>Moderate</v>
      </c>
      <c r="N98" s="30" t="s">
        <v>208</v>
      </c>
      <c r="O98" s="37">
        <v>4.0</v>
      </c>
      <c r="P98" s="30">
        <f>LOOKUP(H98,Methodology!$B$15:$B$19,Methodology!$C$15:$C$19)</f>
        <v>5</v>
      </c>
      <c r="Q98" s="30">
        <f>LOOKUP(I98,Methodology!$B$23:$B$27,Methodology!$C$23:$C$27)</f>
        <v>3</v>
      </c>
      <c r="R98" s="30">
        <f t="array" ref="R98">INDEX(Methodology!$C$31:$C$34,MATCH(E98,Methodology!$B$31:$B$34,0))</f>
        <v>4</v>
      </c>
      <c r="S98" s="37">
        <v>3.0</v>
      </c>
      <c r="T98" s="37">
        <v>4.0</v>
      </c>
      <c r="U98" s="29">
        <f>ROUND((O98*Methodology!$C$5+P98*Methodology!$C$6+Q98*Methodology!$C$7+R98*Methodology!$C$8+S98*Methodology!$C$9+T98*Methodology!$C$10)*20,0)</f>
        <v>76</v>
      </c>
      <c r="V98" s="30" t="str">
        <f>LOOKUP(U98,Methodology!$B$38:$B$42,Methodology!$C$38:$C$42)</f>
        <v>High</v>
      </c>
      <c r="W98" s="30" t="s">
        <v>347</v>
      </c>
      <c r="X98" s="30" t="s">
        <v>179</v>
      </c>
      <c r="Y98" s="30"/>
      <c r="Z98" s="30" t="s">
        <v>167</v>
      </c>
    </row>
    <row r="99" ht="15.75" customHeight="1">
      <c r="A99" s="32" t="s">
        <v>348</v>
      </c>
      <c r="B99" s="32" t="s">
        <v>189</v>
      </c>
      <c r="C99" s="32" t="s">
        <v>349</v>
      </c>
      <c r="D99" s="32" t="s">
        <v>350</v>
      </c>
      <c r="E99" s="32" t="s">
        <v>18</v>
      </c>
      <c r="F99" s="32" t="s">
        <v>22</v>
      </c>
      <c r="G99" s="32" t="s">
        <v>155</v>
      </c>
      <c r="H99" s="38">
        <v>10.0</v>
      </c>
      <c r="I99" s="39">
        <v>8.0</v>
      </c>
      <c r="J99" s="32" t="s">
        <v>156</v>
      </c>
      <c r="K99" s="40">
        <v>4.2</v>
      </c>
      <c r="L99" s="32" t="s">
        <v>157</v>
      </c>
      <c r="M99" s="32" t="str">
        <f>LOOKUP(I99,Methodology!$B$46:$B$49,Methodology!$C$46:$C$49)</f>
        <v>Easy</v>
      </c>
      <c r="N99" s="32" t="s">
        <v>184</v>
      </c>
      <c r="O99" s="41">
        <v>2.0</v>
      </c>
      <c r="P99" s="32">
        <f>LOOKUP(H99,Methodology!$B$15:$B$19,Methodology!$C$15:$C$19)</f>
        <v>1</v>
      </c>
      <c r="Q99" s="32">
        <f>LOOKUP(I99,Methodology!$B$23:$B$27,Methodology!$C$23:$C$27)</f>
        <v>5</v>
      </c>
      <c r="R99" s="32">
        <f t="array" ref="R99">INDEX(Methodology!$C$31:$C$34,MATCH(E99,Methodology!$B$31:$B$34,0))</f>
        <v>5</v>
      </c>
      <c r="S99" s="41">
        <v>5.0</v>
      </c>
      <c r="T99" s="41">
        <v>3.0</v>
      </c>
      <c r="U99" s="24">
        <f>ROUND((O99*Methodology!$C$5+P99*Methodology!$C$6+Q99*Methodology!$C$7+R99*Methodology!$C$8+S99*Methodology!$C$9+T99*Methodology!$C$10)*20,0)</f>
        <v>69</v>
      </c>
      <c r="V99" s="32" t="str">
        <f>LOOKUP(U99,Methodology!$B$38:$B$42,Methodology!$C$38:$C$42)</f>
        <v>Medium</v>
      </c>
      <c r="W99" s="32" t="s">
        <v>351</v>
      </c>
      <c r="X99" s="32" t="s">
        <v>165</v>
      </c>
      <c r="Y99" s="32"/>
      <c r="Z99" s="32" t="s">
        <v>162</v>
      </c>
    </row>
    <row r="100" ht="15.75" customHeight="1">
      <c r="A100" s="30" t="s">
        <v>352</v>
      </c>
      <c r="B100" s="30" t="s">
        <v>15</v>
      </c>
      <c r="C100" s="30" t="s">
        <v>349</v>
      </c>
      <c r="D100" s="30" t="s">
        <v>350</v>
      </c>
      <c r="E100" s="30" t="s">
        <v>15</v>
      </c>
      <c r="F100" s="30" t="s">
        <v>20</v>
      </c>
      <c r="G100" s="30" t="s">
        <v>164</v>
      </c>
      <c r="H100" s="34">
        <v>1600.0</v>
      </c>
      <c r="I100" s="35">
        <v>30.0</v>
      </c>
      <c r="J100" s="30" t="s">
        <v>156</v>
      </c>
      <c r="K100" s="36">
        <v>2.3</v>
      </c>
      <c r="L100" s="30" t="s">
        <v>157</v>
      </c>
      <c r="M100" s="30" t="str">
        <f>LOOKUP(I100,Methodology!$B$46:$B$49,Methodology!$C$46:$C$49)</f>
        <v>Moderate</v>
      </c>
      <c r="N100" s="30" t="s">
        <v>208</v>
      </c>
      <c r="O100" s="37">
        <v>1.0</v>
      </c>
      <c r="P100" s="30">
        <f>LOOKUP(H100,Methodology!$B$15:$B$19,Methodology!$C$15:$C$19)</f>
        <v>5</v>
      </c>
      <c r="Q100" s="30">
        <f>LOOKUP(I100,Methodology!$B$23:$B$27,Methodology!$C$23:$C$27)</f>
        <v>3</v>
      </c>
      <c r="R100" s="30">
        <f t="array" ref="R100">INDEX(Methodology!$C$31:$C$34,MATCH(E100,Methodology!$B$31:$B$34,0))</f>
        <v>2</v>
      </c>
      <c r="S100" s="37">
        <v>1.0</v>
      </c>
      <c r="T100" s="37">
        <v>2.0</v>
      </c>
      <c r="U100" s="29">
        <f>ROUND((O100*Methodology!$C$5+P100*Methodology!$C$6+Q100*Methodology!$C$7+R100*Methodology!$C$8+S100*Methodology!$C$9+T100*Methodology!$C$10)*20,0)</f>
        <v>45</v>
      </c>
      <c r="V100" s="30" t="str">
        <f>LOOKUP(U100,Methodology!$B$38:$B$42,Methodology!$C$38:$C$42)</f>
        <v>Low</v>
      </c>
      <c r="W100" s="30" t="s">
        <v>351</v>
      </c>
      <c r="X100" s="30" t="s">
        <v>165</v>
      </c>
      <c r="Y100" s="30"/>
      <c r="Z100" s="30" t="s">
        <v>167</v>
      </c>
    </row>
    <row r="101" ht="15.75" customHeight="1">
      <c r="A101" s="32" t="s">
        <v>353</v>
      </c>
      <c r="B101" s="32" t="s">
        <v>246</v>
      </c>
      <c r="C101" s="32" t="s">
        <v>349</v>
      </c>
      <c r="D101" s="32" t="s">
        <v>350</v>
      </c>
      <c r="E101" s="32" t="s">
        <v>17</v>
      </c>
      <c r="F101" s="32" t="s">
        <v>21</v>
      </c>
      <c r="G101" s="32" t="s">
        <v>164</v>
      </c>
      <c r="H101" s="38">
        <v>880.0</v>
      </c>
      <c r="I101" s="39">
        <v>28.0</v>
      </c>
      <c r="J101" s="32" t="s">
        <v>156</v>
      </c>
      <c r="K101" s="40">
        <v>2.1</v>
      </c>
      <c r="L101" s="32" t="s">
        <v>157</v>
      </c>
      <c r="M101" s="32" t="str">
        <f>LOOKUP(I101,Methodology!$B$46:$B$49,Methodology!$C$46:$C$49)</f>
        <v>Moderate</v>
      </c>
      <c r="N101" s="32" t="s">
        <v>208</v>
      </c>
      <c r="O101" s="41">
        <v>2.0</v>
      </c>
      <c r="P101" s="32">
        <f>LOOKUP(H101,Methodology!$B$15:$B$19,Methodology!$C$15:$C$19)</f>
        <v>4</v>
      </c>
      <c r="Q101" s="32">
        <f>LOOKUP(I101,Methodology!$B$23:$B$27,Methodology!$C$23:$C$27)</f>
        <v>3</v>
      </c>
      <c r="R101" s="32">
        <f t="array" ref="R101">INDEX(Methodology!$C$31:$C$34,MATCH(E101,Methodology!$B$31:$B$34,0))</f>
        <v>4</v>
      </c>
      <c r="S101" s="41">
        <v>3.0</v>
      </c>
      <c r="T101" s="41">
        <v>3.0</v>
      </c>
      <c r="U101" s="24">
        <f>ROUND((O101*Methodology!$C$5+P101*Methodology!$C$6+Q101*Methodology!$C$7+R101*Methodology!$C$8+S101*Methodology!$C$9+T101*Methodology!$C$10)*20,0)</f>
        <v>61</v>
      </c>
      <c r="V101" s="32" t="str">
        <f>LOOKUP(U101,Methodology!$B$38:$B$42,Methodology!$C$38:$C$42)</f>
        <v>Medium</v>
      </c>
      <c r="W101" s="32" t="s">
        <v>351</v>
      </c>
      <c r="X101" s="32" t="s">
        <v>165</v>
      </c>
      <c r="Y101" s="32"/>
      <c r="Z101" s="32" t="s">
        <v>167</v>
      </c>
    </row>
    <row r="102" ht="15.75" customHeight="1">
      <c r="A102" s="30" t="s">
        <v>354</v>
      </c>
      <c r="B102" s="30" t="s">
        <v>15</v>
      </c>
      <c r="C102" s="30" t="s">
        <v>349</v>
      </c>
      <c r="D102" s="30" t="s">
        <v>350</v>
      </c>
      <c r="E102" s="30" t="s">
        <v>15</v>
      </c>
      <c r="F102" s="30" t="s">
        <v>20</v>
      </c>
      <c r="G102" s="30" t="s">
        <v>164</v>
      </c>
      <c r="H102" s="34">
        <v>14800.0</v>
      </c>
      <c r="I102" s="35">
        <v>50.0</v>
      </c>
      <c r="J102" s="30" t="s">
        <v>156</v>
      </c>
      <c r="K102" s="36">
        <v>1.7</v>
      </c>
      <c r="L102" s="30" t="s">
        <v>157</v>
      </c>
      <c r="M102" s="30" t="str">
        <f>LOOKUP(I102,Methodology!$B$46:$B$49,Methodology!$C$46:$C$49)</f>
        <v>Competitive</v>
      </c>
      <c r="N102" s="30" t="s">
        <v>208</v>
      </c>
      <c r="O102" s="37">
        <v>1.0</v>
      </c>
      <c r="P102" s="30">
        <f>LOOKUP(H102,Methodology!$B$15:$B$19,Methodology!$C$15:$C$19)</f>
        <v>5</v>
      </c>
      <c r="Q102" s="30">
        <f>LOOKUP(I102,Methodology!$B$23:$B$27,Methodology!$C$23:$C$27)</f>
        <v>2</v>
      </c>
      <c r="R102" s="30">
        <f t="array" ref="R102">INDEX(Methodology!$C$31:$C$34,MATCH(E102,Methodology!$B$31:$B$34,0))</f>
        <v>2</v>
      </c>
      <c r="S102" s="37">
        <v>1.0</v>
      </c>
      <c r="T102" s="37">
        <v>2.0</v>
      </c>
      <c r="U102" s="29">
        <f>ROUND((O102*Methodology!$C$5+P102*Methodology!$C$6+Q102*Methodology!$C$7+R102*Methodology!$C$8+S102*Methodology!$C$9+T102*Methodology!$C$10)*20,0)</f>
        <v>41</v>
      </c>
      <c r="V102" s="30" t="str">
        <f>LOOKUP(U102,Methodology!$B$38:$B$42,Methodology!$C$38:$C$42)</f>
        <v>Low</v>
      </c>
      <c r="W102" s="30" t="s">
        <v>355</v>
      </c>
      <c r="X102" s="30" t="s">
        <v>179</v>
      </c>
      <c r="Y102" s="30"/>
      <c r="Z102" s="30" t="s">
        <v>167</v>
      </c>
    </row>
    <row r="103" ht="15.75" customHeight="1">
      <c r="A103" s="32" t="s">
        <v>356</v>
      </c>
      <c r="B103" s="32" t="s">
        <v>15</v>
      </c>
      <c r="C103" s="32" t="s">
        <v>349</v>
      </c>
      <c r="D103" s="32" t="s">
        <v>350</v>
      </c>
      <c r="E103" s="32" t="s">
        <v>15</v>
      </c>
      <c r="F103" s="32" t="s">
        <v>20</v>
      </c>
      <c r="G103" s="32" t="s">
        <v>164</v>
      </c>
      <c r="H103" s="38">
        <v>5400.0</v>
      </c>
      <c r="I103" s="39">
        <v>44.0</v>
      </c>
      <c r="J103" s="32" t="s">
        <v>156</v>
      </c>
      <c r="K103" s="40">
        <v>1.6</v>
      </c>
      <c r="L103" s="32" t="s">
        <v>157</v>
      </c>
      <c r="M103" s="32" t="str">
        <f>LOOKUP(I103,Methodology!$B$46:$B$49,Methodology!$C$46:$C$49)</f>
        <v>Competitive</v>
      </c>
      <c r="N103" s="32" t="s">
        <v>208</v>
      </c>
      <c r="O103" s="41">
        <v>1.0</v>
      </c>
      <c r="P103" s="32">
        <f>LOOKUP(H103,Methodology!$B$15:$B$19,Methodology!$C$15:$C$19)</f>
        <v>5</v>
      </c>
      <c r="Q103" s="32">
        <f>LOOKUP(I103,Methodology!$B$23:$B$27,Methodology!$C$23:$C$27)</f>
        <v>2</v>
      </c>
      <c r="R103" s="32">
        <f t="array" ref="R103">INDEX(Methodology!$C$31:$C$34,MATCH(E103,Methodology!$B$31:$B$34,0))</f>
        <v>2</v>
      </c>
      <c r="S103" s="41">
        <v>1.0</v>
      </c>
      <c r="T103" s="41">
        <v>2.0</v>
      </c>
      <c r="U103" s="24">
        <f>ROUND((O103*Methodology!$C$5+P103*Methodology!$C$6+Q103*Methodology!$C$7+R103*Methodology!$C$8+S103*Methodology!$C$9+T103*Methodology!$C$10)*20,0)</f>
        <v>41</v>
      </c>
      <c r="V103" s="32" t="str">
        <f>LOOKUP(U103,Methodology!$B$38:$B$42,Methodology!$C$38:$C$42)</f>
        <v>Low</v>
      </c>
      <c r="W103" s="32" t="s">
        <v>355</v>
      </c>
      <c r="X103" s="32" t="s">
        <v>179</v>
      </c>
      <c r="Y103" s="32"/>
      <c r="Z103" s="32" t="s">
        <v>167</v>
      </c>
    </row>
    <row r="104" ht="15.75" customHeight="1">
      <c r="A104" s="30" t="s">
        <v>357</v>
      </c>
      <c r="B104" s="30" t="s">
        <v>18</v>
      </c>
      <c r="C104" s="30" t="s">
        <v>358</v>
      </c>
      <c r="D104" s="30" t="s">
        <v>359</v>
      </c>
      <c r="E104" s="30" t="s">
        <v>18</v>
      </c>
      <c r="F104" s="30" t="s">
        <v>22</v>
      </c>
      <c r="G104" s="30" t="s">
        <v>155</v>
      </c>
      <c r="H104" s="34">
        <v>20.0</v>
      </c>
      <c r="I104" s="35">
        <v>12.0</v>
      </c>
      <c r="J104" s="30" t="s">
        <v>156</v>
      </c>
      <c r="K104" s="36">
        <v>9.0</v>
      </c>
      <c r="L104" s="30" t="s">
        <v>157</v>
      </c>
      <c r="M104" s="30" t="str">
        <f>LOOKUP(I104,Methodology!$B$46:$B$49,Methodology!$C$46:$C$49)</f>
        <v>Easy</v>
      </c>
      <c r="N104" s="30" t="s">
        <v>195</v>
      </c>
      <c r="O104" s="37">
        <v>4.0</v>
      </c>
      <c r="P104" s="30">
        <f>LOOKUP(H104,Methodology!$B$15:$B$19,Methodology!$C$15:$C$19)</f>
        <v>2</v>
      </c>
      <c r="Q104" s="30">
        <f>LOOKUP(I104,Methodology!$B$23:$B$27,Methodology!$C$23:$C$27)</f>
        <v>5</v>
      </c>
      <c r="R104" s="30">
        <f t="array" ref="R104">INDEX(Methodology!$C$31:$C$34,MATCH(E104,Methodology!$B$31:$B$34,0))</f>
        <v>5</v>
      </c>
      <c r="S104" s="37">
        <v>5.0</v>
      </c>
      <c r="T104" s="37">
        <v>3.0</v>
      </c>
      <c r="U104" s="29">
        <f>ROUND((O104*Methodology!$C$5+P104*Methodology!$C$6+Q104*Methodology!$C$7+R104*Methodology!$C$8+S104*Methodology!$C$9+T104*Methodology!$C$10)*20,0)</f>
        <v>82</v>
      </c>
      <c r="V104" s="30" t="str">
        <f>LOOKUP(U104,Methodology!$B$38:$B$42,Methodology!$C$38:$C$42)</f>
        <v>High</v>
      </c>
      <c r="W104" s="30" t="s">
        <v>178</v>
      </c>
      <c r="X104" s="30" t="s">
        <v>179</v>
      </c>
      <c r="Y104" s="30" t="s">
        <v>360</v>
      </c>
      <c r="Z104" s="30" t="s">
        <v>162</v>
      </c>
    </row>
    <row r="105" ht="15.75" customHeight="1">
      <c r="A105" s="32" t="s">
        <v>361</v>
      </c>
      <c r="B105" s="32" t="s">
        <v>17</v>
      </c>
      <c r="C105" s="32" t="s">
        <v>358</v>
      </c>
      <c r="D105" s="32" t="s">
        <v>359</v>
      </c>
      <c r="E105" s="32" t="s">
        <v>17</v>
      </c>
      <c r="F105" s="32" t="s">
        <v>21</v>
      </c>
      <c r="G105" s="32" t="s">
        <v>164</v>
      </c>
      <c r="H105" s="38">
        <v>140.0</v>
      </c>
      <c r="I105" s="39">
        <v>22.0</v>
      </c>
      <c r="J105" s="32" t="s">
        <v>156</v>
      </c>
      <c r="K105" s="40">
        <v>7.5</v>
      </c>
      <c r="L105" s="32" t="s">
        <v>157</v>
      </c>
      <c r="M105" s="32" t="str">
        <f>LOOKUP(I105,Methodology!$B$46:$B$49,Methodology!$C$46:$C$49)</f>
        <v>Moderate</v>
      </c>
      <c r="N105" s="32" t="s">
        <v>195</v>
      </c>
      <c r="O105" s="41">
        <v>4.0</v>
      </c>
      <c r="P105" s="32">
        <f>LOOKUP(H105,Methodology!$B$15:$B$19,Methodology!$C$15:$C$19)</f>
        <v>3</v>
      </c>
      <c r="Q105" s="32">
        <f>LOOKUP(I105,Methodology!$B$23:$B$27,Methodology!$C$23:$C$27)</f>
        <v>4</v>
      </c>
      <c r="R105" s="32">
        <f t="array" ref="R105">INDEX(Methodology!$C$31:$C$34,MATCH(E105,Methodology!$B$31:$B$34,0))</f>
        <v>4</v>
      </c>
      <c r="S105" s="41">
        <v>3.0</v>
      </c>
      <c r="T105" s="41">
        <v>3.0</v>
      </c>
      <c r="U105" s="24">
        <f>ROUND((O105*Methodology!$C$5+P105*Methodology!$C$6+Q105*Methodology!$C$7+R105*Methodology!$C$8+S105*Methodology!$C$9+T105*Methodology!$C$10)*20,0)</f>
        <v>72</v>
      </c>
      <c r="V105" s="32" t="str">
        <f>LOOKUP(U105,Methodology!$B$38:$B$42,Methodology!$C$38:$C$42)</f>
        <v>Medium</v>
      </c>
      <c r="W105" s="32" t="s">
        <v>178</v>
      </c>
      <c r="X105" s="32" t="s">
        <v>179</v>
      </c>
      <c r="Y105" s="32"/>
      <c r="Z105" s="32" t="s">
        <v>225</v>
      </c>
    </row>
    <row r="106" ht="15.75" customHeight="1">
      <c r="A106" s="30" t="s">
        <v>362</v>
      </c>
      <c r="B106" s="30" t="s">
        <v>17</v>
      </c>
      <c r="C106" s="30" t="s">
        <v>358</v>
      </c>
      <c r="D106" s="30" t="s">
        <v>359</v>
      </c>
      <c r="E106" s="30" t="s">
        <v>17</v>
      </c>
      <c r="F106" s="30" t="s">
        <v>21</v>
      </c>
      <c r="G106" s="30" t="s">
        <v>164</v>
      </c>
      <c r="H106" s="34">
        <v>50.0</v>
      </c>
      <c r="I106" s="35">
        <v>14.0</v>
      </c>
      <c r="J106" s="30" t="s">
        <v>156</v>
      </c>
      <c r="K106" s="36">
        <v>6.4</v>
      </c>
      <c r="L106" s="30" t="s">
        <v>157</v>
      </c>
      <c r="M106" s="30" t="str">
        <f>LOOKUP(I106,Methodology!$B$46:$B$49,Methodology!$C$46:$C$49)</f>
        <v>Easy</v>
      </c>
      <c r="N106" s="30" t="s">
        <v>195</v>
      </c>
      <c r="O106" s="37">
        <v>4.0</v>
      </c>
      <c r="P106" s="30">
        <f>LOOKUP(H106,Methodology!$B$15:$B$19,Methodology!$C$15:$C$19)</f>
        <v>3</v>
      </c>
      <c r="Q106" s="30">
        <f>LOOKUP(I106,Methodology!$B$23:$B$27,Methodology!$C$23:$C$27)</f>
        <v>5</v>
      </c>
      <c r="R106" s="30">
        <f t="array" ref="R106">INDEX(Methodology!$C$31:$C$34,MATCH(E106,Methodology!$B$31:$B$34,0))</f>
        <v>4</v>
      </c>
      <c r="S106" s="37">
        <v>3.0</v>
      </c>
      <c r="T106" s="37">
        <v>3.0</v>
      </c>
      <c r="U106" s="29">
        <f>ROUND((O106*Methodology!$C$5+P106*Methodology!$C$6+Q106*Methodology!$C$7+R106*Methodology!$C$8+S106*Methodology!$C$9+T106*Methodology!$C$10)*20,0)</f>
        <v>76</v>
      </c>
      <c r="V106" s="30" t="str">
        <f>LOOKUP(U106,Methodology!$B$38:$B$42,Methodology!$C$38:$C$42)</f>
        <v>High</v>
      </c>
      <c r="W106" s="30" t="s">
        <v>178</v>
      </c>
      <c r="X106" s="30" t="s">
        <v>179</v>
      </c>
      <c r="Y106" s="30"/>
      <c r="Z106" s="30" t="s">
        <v>225</v>
      </c>
    </row>
    <row r="107" ht="15.75" customHeight="1">
      <c r="A107" s="32" t="s">
        <v>363</v>
      </c>
      <c r="B107" s="32" t="s">
        <v>18</v>
      </c>
      <c r="C107" s="32" t="s">
        <v>358</v>
      </c>
      <c r="D107" s="32" t="s">
        <v>359</v>
      </c>
      <c r="E107" s="32" t="s">
        <v>18</v>
      </c>
      <c r="F107" s="32" t="s">
        <v>22</v>
      </c>
      <c r="G107" s="32" t="s">
        <v>164</v>
      </c>
      <c r="H107" s="38">
        <v>12100.0</v>
      </c>
      <c r="I107" s="39">
        <v>52.0</v>
      </c>
      <c r="J107" s="32" t="s">
        <v>156</v>
      </c>
      <c r="K107" s="40">
        <v>8.2</v>
      </c>
      <c r="L107" s="32" t="s">
        <v>157</v>
      </c>
      <c r="M107" s="32" t="str">
        <f>LOOKUP(I107,Methodology!$B$46:$B$49,Methodology!$C$46:$C$49)</f>
        <v>Competitive</v>
      </c>
      <c r="N107" s="32" t="s">
        <v>195</v>
      </c>
      <c r="O107" s="41">
        <v>4.0</v>
      </c>
      <c r="P107" s="32">
        <f>LOOKUP(H107,Methodology!$B$15:$B$19,Methodology!$C$15:$C$19)</f>
        <v>5</v>
      </c>
      <c r="Q107" s="32">
        <f>LOOKUP(I107,Methodology!$B$23:$B$27,Methodology!$C$23:$C$27)</f>
        <v>2</v>
      </c>
      <c r="R107" s="32">
        <f t="array" ref="R107">INDEX(Methodology!$C$31:$C$34,MATCH(E107,Methodology!$B$31:$B$34,0))</f>
        <v>5</v>
      </c>
      <c r="S107" s="41">
        <v>5.0</v>
      </c>
      <c r="T107" s="41">
        <v>3.0</v>
      </c>
      <c r="U107" s="24">
        <f>ROUND((O107*Methodology!$C$5+P107*Methodology!$C$6+Q107*Methodology!$C$7+R107*Methodology!$C$8+S107*Methodology!$C$9+T107*Methodology!$C$10)*20,0)</f>
        <v>79</v>
      </c>
      <c r="V107" s="32" t="str">
        <f>LOOKUP(U107,Methodology!$B$38:$B$42,Methodology!$C$38:$C$42)</f>
        <v>High</v>
      </c>
      <c r="W107" s="32" t="s">
        <v>178</v>
      </c>
      <c r="X107" s="32" t="s">
        <v>179</v>
      </c>
      <c r="Y107" s="32"/>
      <c r="Z107" s="32" t="s">
        <v>167</v>
      </c>
    </row>
    <row r="108" ht="15.75" customHeight="1">
      <c r="A108" s="30" t="s">
        <v>364</v>
      </c>
      <c r="B108" s="30" t="s">
        <v>17</v>
      </c>
      <c r="C108" s="30" t="s">
        <v>358</v>
      </c>
      <c r="D108" s="30" t="s">
        <v>359</v>
      </c>
      <c r="E108" s="30" t="s">
        <v>17</v>
      </c>
      <c r="F108" s="30" t="s">
        <v>21</v>
      </c>
      <c r="G108" s="30" t="s">
        <v>164</v>
      </c>
      <c r="H108" s="34">
        <v>40500.0</v>
      </c>
      <c r="I108" s="35">
        <v>60.0</v>
      </c>
      <c r="J108" s="30" t="s">
        <v>156</v>
      </c>
      <c r="K108" s="36">
        <v>7.8</v>
      </c>
      <c r="L108" s="30" t="s">
        <v>157</v>
      </c>
      <c r="M108" s="30" t="str">
        <f>LOOKUP(I108,Methodology!$B$46:$B$49,Methodology!$C$46:$C$49)</f>
        <v>Competitive</v>
      </c>
      <c r="N108" s="30" t="s">
        <v>195</v>
      </c>
      <c r="O108" s="37">
        <v>4.0</v>
      </c>
      <c r="P108" s="30">
        <f>LOOKUP(H108,Methodology!$B$15:$B$19,Methodology!$C$15:$C$19)</f>
        <v>5</v>
      </c>
      <c r="Q108" s="30">
        <f>LOOKUP(I108,Methodology!$B$23:$B$27,Methodology!$C$23:$C$27)</f>
        <v>1</v>
      </c>
      <c r="R108" s="30">
        <f t="array" ref="R108">INDEX(Methodology!$C$31:$C$34,MATCH(E108,Methodology!$B$31:$B$34,0))</f>
        <v>4</v>
      </c>
      <c r="S108" s="37">
        <v>3.0</v>
      </c>
      <c r="T108" s="37">
        <v>3.0</v>
      </c>
      <c r="U108" s="29">
        <f>ROUND((O108*Methodology!$C$5+P108*Methodology!$C$6+Q108*Methodology!$C$7+R108*Methodology!$C$8+S108*Methodology!$C$9+T108*Methodology!$C$10)*20,0)</f>
        <v>66</v>
      </c>
      <c r="V108" s="30" t="str">
        <f>LOOKUP(U108,Methodology!$B$38:$B$42,Methodology!$C$38:$C$42)</f>
        <v>Medium</v>
      </c>
      <c r="W108" s="30" t="s">
        <v>178</v>
      </c>
      <c r="X108" s="30" t="s">
        <v>179</v>
      </c>
      <c r="Y108" s="30"/>
      <c r="Z108" s="30" t="s">
        <v>167</v>
      </c>
    </row>
    <row r="109" ht="15.75" customHeight="1">
      <c r="A109" s="32" t="s">
        <v>365</v>
      </c>
      <c r="B109" s="32" t="s">
        <v>17</v>
      </c>
      <c r="C109" s="32" t="s">
        <v>358</v>
      </c>
      <c r="D109" s="32" t="s">
        <v>359</v>
      </c>
      <c r="E109" s="32" t="s">
        <v>17</v>
      </c>
      <c r="F109" s="32" t="s">
        <v>21</v>
      </c>
      <c r="G109" s="32" t="s">
        <v>164</v>
      </c>
      <c r="H109" s="38">
        <v>2900.0</v>
      </c>
      <c r="I109" s="39">
        <v>40.0</v>
      </c>
      <c r="J109" s="32" t="s">
        <v>156</v>
      </c>
      <c r="K109" s="40">
        <v>8.2</v>
      </c>
      <c r="L109" s="32" t="s">
        <v>157</v>
      </c>
      <c r="M109" s="32" t="str">
        <f>LOOKUP(I109,Methodology!$B$46:$B$49,Methodology!$C$46:$C$49)</f>
        <v>Moderate</v>
      </c>
      <c r="N109" s="32" t="s">
        <v>195</v>
      </c>
      <c r="O109" s="41">
        <v>4.0</v>
      </c>
      <c r="P109" s="32">
        <f>LOOKUP(H109,Methodology!$B$15:$B$19,Methodology!$C$15:$C$19)</f>
        <v>5</v>
      </c>
      <c r="Q109" s="32">
        <f>LOOKUP(I109,Methodology!$B$23:$B$27,Methodology!$C$23:$C$27)</f>
        <v>3</v>
      </c>
      <c r="R109" s="32">
        <f t="array" ref="R109">INDEX(Methodology!$C$31:$C$34,MATCH(E109,Methodology!$B$31:$B$34,0))</f>
        <v>4</v>
      </c>
      <c r="S109" s="41">
        <v>3.0</v>
      </c>
      <c r="T109" s="41">
        <v>3.0</v>
      </c>
      <c r="U109" s="24">
        <f>ROUND((O109*Methodology!$C$5+P109*Methodology!$C$6+Q109*Methodology!$C$7+R109*Methodology!$C$8+S109*Methodology!$C$9+T109*Methodology!$C$10)*20,0)</f>
        <v>74</v>
      </c>
      <c r="V109" s="32" t="str">
        <f>LOOKUP(U109,Methodology!$B$38:$B$42,Methodology!$C$38:$C$42)</f>
        <v>Medium</v>
      </c>
      <c r="W109" s="32" t="s">
        <v>178</v>
      </c>
      <c r="X109" s="32" t="s">
        <v>179</v>
      </c>
      <c r="Y109" s="32" t="s">
        <v>366</v>
      </c>
      <c r="Z109" s="32" t="s">
        <v>167</v>
      </c>
    </row>
    <row r="110" ht="15.75" customHeight="1">
      <c r="A110" s="30" t="s">
        <v>367</v>
      </c>
      <c r="B110" s="30" t="s">
        <v>17</v>
      </c>
      <c r="C110" s="30" t="s">
        <v>358</v>
      </c>
      <c r="D110" s="30" t="s">
        <v>359</v>
      </c>
      <c r="E110" s="30" t="s">
        <v>17</v>
      </c>
      <c r="F110" s="30" t="s">
        <v>21</v>
      </c>
      <c r="G110" s="30" t="s">
        <v>164</v>
      </c>
      <c r="H110" s="34">
        <v>1000.0</v>
      </c>
      <c r="I110" s="35">
        <v>35.0</v>
      </c>
      <c r="J110" s="30" t="s">
        <v>156</v>
      </c>
      <c r="K110" s="36">
        <v>4.2</v>
      </c>
      <c r="L110" s="30" t="s">
        <v>157</v>
      </c>
      <c r="M110" s="30" t="str">
        <f>LOOKUP(I110,Methodology!$B$46:$B$49,Methodology!$C$46:$C$49)</f>
        <v>Moderate</v>
      </c>
      <c r="N110" s="30" t="s">
        <v>195</v>
      </c>
      <c r="O110" s="37">
        <v>4.0</v>
      </c>
      <c r="P110" s="30">
        <f>LOOKUP(H110,Methodology!$B$15:$B$19,Methodology!$C$15:$C$19)</f>
        <v>5</v>
      </c>
      <c r="Q110" s="30">
        <f>LOOKUP(I110,Methodology!$B$23:$B$27,Methodology!$C$23:$C$27)</f>
        <v>3</v>
      </c>
      <c r="R110" s="30">
        <f t="array" ref="R110">INDEX(Methodology!$C$31:$C$34,MATCH(E110,Methodology!$B$31:$B$34,0))</f>
        <v>4</v>
      </c>
      <c r="S110" s="37">
        <v>3.0</v>
      </c>
      <c r="T110" s="37">
        <v>3.0</v>
      </c>
      <c r="U110" s="29">
        <f>ROUND((O110*Methodology!$C$5+P110*Methodology!$C$6+Q110*Methodology!$C$7+R110*Methodology!$C$8+S110*Methodology!$C$9+T110*Methodology!$C$10)*20,0)</f>
        <v>74</v>
      </c>
      <c r="V110" s="30" t="str">
        <f>LOOKUP(U110,Methodology!$B$38:$B$42,Methodology!$C$38:$C$42)</f>
        <v>Medium</v>
      </c>
      <c r="W110" s="30" t="s">
        <v>368</v>
      </c>
      <c r="X110" s="30" t="s">
        <v>179</v>
      </c>
      <c r="Y110" s="30"/>
      <c r="Z110" s="30" t="s">
        <v>167</v>
      </c>
    </row>
    <row r="111" ht="15.75" customHeight="1">
      <c r="A111" s="32" t="s">
        <v>369</v>
      </c>
      <c r="B111" s="32" t="s">
        <v>62</v>
      </c>
      <c r="C111" s="32" t="s">
        <v>370</v>
      </c>
      <c r="D111" s="32" t="s">
        <v>371</v>
      </c>
      <c r="E111" s="32" t="s">
        <v>18</v>
      </c>
      <c r="F111" s="32" t="s">
        <v>22</v>
      </c>
      <c r="G111" s="32" t="s">
        <v>155</v>
      </c>
      <c r="H111" s="38">
        <v>210.0</v>
      </c>
      <c r="I111" s="39">
        <v>24.0</v>
      </c>
      <c r="J111" s="32" t="s">
        <v>156</v>
      </c>
      <c r="K111" s="40">
        <v>6.8</v>
      </c>
      <c r="L111" s="32" t="s">
        <v>157</v>
      </c>
      <c r="M111" s="32" t="str">
        <f>LOOKUP(I111,Methodology!$B$46:$B$49,Methodology!$C$46:$C$49)</f>
        <v>Moderate</v>
      </c>
      <c r="N111" s="32" t="s">
        <v>224</v>
      </c>
      <c r="O111" s="41">
        <v>4.0</v>
      </c>
      <c r="P111" s="32">
        <f>LOOKUP(H111,Methodology!$B$15:$B$19,Methodology!$C$15:$C$19)</f>
        <v>4</v>
      </c>
      <c r="Q111" s="32">
        <f>LOOKUP(I111,Methodology!$B$23:$B$27,Methodology!$C$23:$C$27)</f>
        <v>4</v>
      </c>
      <c r="R111" s="32">
        <f t="array" ref="R111">INDEX(Methodology!$C$31:$C$34,MATCH(E111,Methodology!$B$31:$B$34,0))</f>
        <v>5</v>
      </c>
      <c r="S111" s="41">
        <v>5.0</v>
      </c>
      <c r="T111" s="41">
        <v>4.0</v>
      </c>
      <c r="U111" s="24">
        <f>ROUND((O111*Methodology!$C$5+P111*Methodology!$C$6+Q111*Methodology!$C$7+R111*Methodology!$C$8+S111*Methodology!$C$9+T111*Methodology!$C$10)*20,0)</f>
        <v>86</v>
      </c>
      <c r="V111" s="32" t="str">
        <f>LOOKUP(U111,Methodology!$B$38:$B$42,Methodology!$C$38:$C$42)</f>
        <v>High</v>
      </c>
      <c r="W111" s="32" t="s">
        <v>372</v>
      </c>
      <c r="X111" s="32" t="s">
        <v>179</v>
      </c>
      <c r="Y111" s="32" t="s">
        <v>373</v>
      </c>
      <c r="Z111" s="32" t="s">
        <v>162</v>
      </c>
    </row>
    <row r="112" ht="15.75" customHeight="1">
      <c r="A112" s="30" t="s">
        <v>374</v>
      </c>
      <c r="B112" s="30" t="s">
        <v>62</v>
      </c>
      <c r="C112" s="30" t="s">
        <v>370</v>
      </c>
      <c r="D112" s="30" t="s">
        <v>371</v>
      </c>
      <c r="E112" s="30" t="s">
        <v>18</v>
      </c>
      <c r="F112" s="30" t="s">
        <v>22</v>
      </c>
      <c r="G112" s="30" t="s">
        <v>164</v>
      </c>
      <c r="H112" s="34">
        <v>170.0</v>
      </c>
      <c r="I112" s="35">
        <v>24.0</v>
      </c>
      <c r="J112" s="30" t="s">
        <v>156</v>
      </c>
      <c r="K112" s="36">
        <v>6.6</v>
      </c>
      <c r="L112" s="30" t="s">
        <v>157</v>
      </c>
      <c r="M112" s="30" t="str">
        <f>LOOKUP(I112,Methodology!$B$46:$B$49,Methodology!$C$46:$C$49)</f>
        <v>Moderate</v>
      </c>
      <c r="N112" s="30" t="s">
        <v>224</v>
      </c>
      <c r="O112" s="37">
        <v>4.0</v>
      </c>
      <c r="P112" s="30">
        <f>LOOKUP(H112,Methodology!$B$15:$B$19,Methodology!$C$15:$C$19)</f>
        <v>3</v>
      </c>
      <c r="Q112" s="30">
        <f>LOOKUP(I112,Methodology!$B$23:$B$27,Methodology!$C$23:$C$27)</f>
        <v>4</v>
      </c>
      <c r="R112" s="30">
        <f t="array" ref="R112">INDEX(Methodology!$C$31:$C$34,MATCH(E112,Methodology!$B$31:$B$34,0))</f>
        <v>5</v>
      </c>
      <c r="S112" s="37">
        <v>5.0</v>
      </c>
      <c r="T112" s="37">
        <v>4.0</v>
      </c>
      <c r="U112" s="29">
        <f>ROUND((O112*Methodology!$C$5+P112*Methodology!$C$6+Q112*Methodology!$C$7+R112*Methodology!$C$8+S112*Methodology!$C$9+T112*Methodology!$C$10)*20,0)</f>
        <v>83</v>
      </c>
      <c r="V112" s="30" t="str">
        <f>LOOKUP(U112,Methodology!$B$38:$B$42,Methodology!$C$38:$C$42)</f>
        <v>High</v>
      </c>
      <c r="W112" s="30" t="s">
        <v>375</v>
      </c>
      <c r="X112" s="30" t="s">
        <v>179</v>
      </c>
      <c r="Y112" s="30" t="s">
        <v>376</v>
      </c>
      <c r="Z112" s="30" t="s">
        <v>162</v>
      </c>
    </row>
    <row r="113" ht="15.75" customHeight="1">
      <c r="A113" s="32" t="s">
        <v>377</v>
      </c>
      <c r="B113" s="32" t="s">
        <v>62</v>
      </c>
      <c r="C113" s="32" t="s">
        <v>370</v>
      </c>
      <c r="D113" s="32" t="s">
        <v>371</v>
      </c>
      <c r="E113" s="32" t="s">
        <v>18</v>
      </c>
      <c r="F113" s="32" t="s">
        <v>22</v>
      </c>
      <c r="G113" s="32" t="s">
        <v>164</v>
      </c>
      <c r="H113" s="38">
        <v>40.0</v>
      </c>
      <c r="I113" s="39">
        <v>18.0</v>
      </c>
      <c r="J113" s="32" t="s">
        <v>156</v>
      </c>
      <c r="K113" s="40">
        <v>10.1</v>
      </c>
      <c r="L113" s="32" t="s">
        <v>157</v>
      </c>
      <c r="M113" s="32" t="str">
        <f>LOOKUP(I113,Methodology!$B$46:$B$49,Methodology!$C$46:$C$49)</f>
        <v>Easy</v>
      </c>
      <c r="N113" s="32" t="s">
        <v>224</v>
      </c>
      <c r="O113" s="41">
        <v>4.0</v>
      </c>
      <c r="P113" s="32">
        <f>LOOKUP(H113,Methodology!$B$15:$B$19,Methodology!$C$15:$C$19)</f>
        <v>2</v>
      </c>
      <c r="Q113" s="32">
        <f>LOOKUP(I113,Methodology!$B$23:$B$27,Methodology!$C$23:$C$27)</f>
        <v>4</v>
      </c>
      <c r="R113" s="32">
        <f t="array" ref="R113">INDEX(Methodology!$C$31:$C$34,MATCH(E113,Methodology!$B$31:$B$34,0))</f>
        <v>5</v>
      </c>
      <c r="S113" s="41">
        <v>5.0</v>
      </c>
      <c r="T113" s="41">
        <v>4.0</v>
      </c>
      <c r="U113" s="24">
        <f>ROUND((O113*Methodology!$C$5+P113*Methodology!$C$6+Q113*Methodology!$C$7+R113*Methodology!$C$8+S113*Methodology!$C$9+T113*Methodology!$C$10)*20,0)</f>
        <v>80</v>
      </c>
      <c r="V113" s="32" t="str">
        <f>LOOKUP(U113,Methodology!$B$38:$B$42,Methodology!$C$38:$C$42)</f>
        <v>High</v>
      </c>
      <c r="W113" s="32" t="s">
        <v>372</v>
      </c>
      <c r="X113" s="32" t="s">
        <v>179</v>
      </c>
      <c r="Y113" s="32"/>
      <c r="Z113" s="32" t="s">
        <v>162</v>
      </c>
    </row>
    <row r="114" ht="15.75" customHeight="1">
      <c r="A114" s="30" t="s">
        <v>378</v>
      </c>
      <c r="B114" s="30" t="s">
        <v>62</v>
      </c>
      <c r="C114" s="30" t="s">
        <v>370</v>
      </c>
      <c r="D114" s="30" t="s">
        <v>371</v>
      </c>
      <c r="E114" s="30" t="s">
        <v>18</v>
      </c>
      <c r="F114" s="30" t="s">
        <v>22</v>
      </c>
      <c r="G114" s="30" t="s">
        <v>164</v>
      </c>
      <c r="H114" s="34">
        <v>30.0</v>
      </c>
      <c r="I114" s="35">
        <v>18.0</v>
      </c>
      <c r="J114" s="30" t="s">
        <v>156</v>
      </c>
      <c r="K114" s="36">
        <v>13.9</v>
      </c>
      <c r="L114" s="30" t="s">
        <v>157</v>
      </c>
      <c r="M114" s="30" t="str">
        <f>LOOKUP(I114,Methodology!$B$46:$B$49,Methodology!$C$46:$C$49)</f>
        <v>Easy</v>
      </c>
      <c r="N114" s="30" t="s">
        <v>224</v>
      </c>
      <c r="O114" s="37">
        <v>4.0</v>
      </c>
      <c r="P114" s="30">
        <f>LOOKUP(H114,Methodology!$B$15:$B$19,Methodology!$C$15:$C$19)</f>
        <v>2</v>
      </c>
      <c r="Q114" s="30">
        <f>LOOKUP(I114,Methodology!$B$23:$B$27,Methodology!$C$23:$C$27)</f>
        <v>4</v>
      </c>
      <c r="R114" s="30">
        <f t="array" ref="R114">INDEX(Methodology!$C$31:$C$34,MATCH(E114,Methodology!$B$31:$B$34,0))</f>
        <v>5</v>
      </c>
      <c r="S114" s="37">
        <v>5.0</v>
      </c>
      <c r="T114" s="37">
        <v>4.0</v>
      </c>
      <c r="U114" s="29">
        <f>ROUND((O114*Methodology!$C$5+P114*Methodology!$C$6+Q114*Methodology!$C$7+R114*Methodology!$C$8+S114*Methodology!$C$9+T114*Methodology!$C$10)*20,0)</f>
        <v>80</v>
      </c>
      <c r="V114" s="30" t="str">
        <f>LOOKUP(U114,Methodology!$B$38:$B$42,Methodology!$C$38:$C$42)</f>
        <v>High</v>
      </c>
      <c r="W114" s="30" t="s">
        <v>372</v>
      </c>
      <c r="X114" s="30" t="s">
        <v>179</v>
      </c>
      <c r="Y114" s="30"/>
      <c r="Z114" s="30" t="s">
        <v>162</v>
      </c>
    </row>
    <row r="115" ht="15.75" customHeight="1">
      <c r="A115" s="32" t="s">
        <v>379</v>
      </c>
      <c r="B115" s="32" t="s">
        <v>62</v>
      </c>
      <c r="C115" s="32" t="s">
        <v>370</v>
      </c>
      <c r="D115" s="32" t="s">
        <v>371</v>
      </c>
      <c r="E115" s="32" t="s">
        <v>18</v>
      </c>
      <c r="F115" s="32" t="s">
        <v>22</v>
      </c>
      <c r="G115" s="32" t="s">
        <v>164</v>
      </c>
      <c r="H115" s="38">
        <v>20.0</v>
      </c>
      <c r="I115" s="39">
        <v>16.0</v>
      </c>
      <c r="J115" s="32" t="s">
        <v>156</v>
      </c>
      <c r="K115" s="40">
        <v>7.6</v>
      </c>
      <c r="L115" s="32" t="s">
        <v>157</v>
      </c>
      <c r="M115" s="32" t="str">
        <f>LOOKUP(I115,Methodology!$B$46:$B$49,Methodology!$C$46:$C$49)</f>
        <v>Easy</v>
      </c>
      <c r="N115" s="32" t="s">
        <v>224</v>
      </c>
      <c r="O115" s="41">
        <v>4.0</v>
      </c>
      <c r="P115" s="32">
        <f>LOOKUP(H115,Methodology!$B$15:$B$19,Methodology!$C$15:$C$19)</f>
        <v>2</v>
      </c>
      <c r="Q115" s="32">
        <f>LOOKUP(I115,Methodology!$B$23:$B$27,Methodology!$C$23:$C$27)</f>
        <v>4</v>
      </c>
      <c r="R115" s="32">
        <f t="array" ref="R115">INDEX(Methodology!$C$31:$C$34,MATCH(E115,Methodology!$B$31:$B$34,0))</f>
        <v>5</v>
      </c>
      <c r="S115" s="41">
        <v>5.0</v>
      </c>
      <c r="T115" s="41">
        <v>4.0</v>
      </c>
      <c r="U115" s="24">
        <f>ROUND((O115*Methodology!$C$5+P115*Methodology!$C$6+Q115*Methodology!$C$7+R115*Methodology!$C$8+S115*Methodology!$C$9+T115*Methodology!$C$10)*20,0)</f>
        <v>80</v>
      </c>
      <c r="V115" s="32" t="str">
        <f>LOOKUP(U115,Methodology!$B$38:$B$42,Methodology!$C$38:$C$42)</f>
        <v>High</v>
      </c>
      <c r="W115" s="32" t="s">
        <v>372</v>
      </c>
      <c r="X115" s="32" t="s">
        <v>179</v>
      </c>
      <c r="Y115" s="32"/>
      <c r="Z115" s="32" t="s">
        <v>162</v>
      </c>
    </row>
    <row r="116" ht="15.75" customHeight="1">
      <c r="A116" s="30" t="s">
        <v>380</v>
      </c>
      <c r="B116" s="30" t="s">
        <v>62</v>
      </c>
      <c r="C116" s="30" t="s">
        <v>370</v>
      </c>
      <c r="D116" s="30" t="s">
        <v>371</v>
      </c>
      <c r="E116" s="30" t="s">
        <v>18</v>
      </c>
      <c r="F116" s="30" t="s">
        <v>22</v>
      </c>
      <c r="G116" s="30" t="s">
        <v>164</v>
      </c>
      <c r="H116" s="34">
        <v>30.0</v>
      </c>
      <c r="I116" s="35">
        <v>18.0</v>
      </c>
      <c r="J116" s="30" t="s">
        <v>156</v>
      </c>
      <c r="K116" s="36">
        <v>9.8</v>
      </c>
      <c r="L116" s="30" t="s">
        <v>157</v>
      </c>
      <c r="M116" s="30" t="str">
        <f>LOOKUP(I116,Methodology!$B$46:$B$49,Methodology!$C$46:$C$49)</f>
        <v>Easy</v>
      </c>
      <c r="N116" s="30" t="s">
        <v>224</v>
      </c>
      <c r="O116" s="37">
        <v>4.0</v>
      </c>
      <c r="P116" s="30">
        <f>LOOKUP(H116,Methodology!$B$15:$B$19,Methodology!$C$15:$C$19)</f>
        <v>2</v>
      </c>
      <c r="Q116" s="30">
        <f>LOOKUP(I116,Methodology!$B$23:$B$27,Methodology!$C$23:$C$27)</f>
        <v>4</v>
      </c>
      <c r="R116" s="30">
        <f t="array" ref="R116">INDEX(Methodology!$C$31:$C$34,MATCH(E116,Methodology!$B$31:$B$34,0))</f>
        <v>5</v>
      </c>
      <c r="S116" s="37">
        <v>5.0</v>
      </c>
      <c r="T116" s="37">
        <v>4.0</v>
      </c>
      <c r="U116" s="29">
        <f>ROUND((O116*Methodology!$C$5+P116*Methodology!$C$6+Q116*Methodology!$C$7+R116*Methodology!$C$8+S116*Methodology!$C$9+T116*Methodology!$C$10)*20,0)</f>
        <v>80</v>
      </c>
      <c r="V116" s="30" t="str">
        <f>LOOKUP(U116,Methodology!$B$38:$B$42,Methodology!$C$38:$C$42)</f>
        <v>High</v>
      </c>
      <c r="W116" s="30" t="s">
        <v>375</v>
      </c>
      <c r="X116" s="30" t="s">
        <v>179</v>
      </c>
      <c r="Y116" s="30"/>
      <c r="Z116" s="30" t="s">
        <v>162</v>
      </c>
    </row>
    <row r="117" ht="15.75" customHeight="1">
      <c r="A117" s="32" t="s">
        <v>381</v>
      </c>
      <c r="B117" s="32" t="s">
        <v>62</v>
      </c>
      <c r="C117" s="32" t="s">
        <v>370</v>
      </c>
      <c r="D117" s="32" t="s">
        <v>371</v>
      </c>
      <c r="E117" s="32" t="s">
        <v>18</v>
      </c>
      <c r="F117" s="32" t="s">
        <v>22</v>
      </c>
      <c r="G117" s="32" t="s">
        <v>164</v>
      </c>
      <c r="H117" s="38">
        <v>30.0</v>
      </c>
      <c r="I117" s="39">
        <v>15.0</v>
      </c>
      <c r="J117" s="32" t="s">
        <v>156</v>
      </c>
      <c r="K117" s="40">
        <v>5.2</v>
      </c>
      <c r="L117" s="32" t="s">
        <v>157</v>
      </c>
      <c r="M117" s="32" t="str">
        <f>LOOKUP(I117,Methodology!$B$46:$B$49,Methodology!$C$46:$C$49)</f>
        <v>Easy</v>
      </c>
      <c r="N117" s="32" t="s">
        <v>224</v>
      </c>
      <c r="O117" s="41">
        <v>4.0</v>
      </c>
      <c r="P117" s="32">
        <f>LOOKUP(H117,Methodology!$B$15:$B$19,Methodology!$C$15:$C$19)</f>
        <v>2</v>
      </c>
      <c r="Q117" s="32">
        <f>LOOKUP(I117,Methodology!$B$23:$B$27,Methodology!$C$23:$C$27)</f>
        <v>5</v>
      </c>
      <c r="R117" s="32">
        <f t="array" ref="R117">INDEX(Methodology!$C$31:$C$34,MATCH(E117,Methodology!$B$31:$B$34,0))</f>
        <v>5</v>
      </c>
      <c r="S117" s="41">
        <v>5.0</v>
      </c>
      <c r="T117" s="41">
        <v>4.0</v>
      </c>
      <c r="U117" s="24">
        <f>ROUND((O117*Methodology!$C$5+P117*Methodology!$C$6+Q117*Methodology!$C$7+R117*Methodology!$C$8+S117*Methodology!$C$9+T117*Methodology!$C$10)*20,0)</f>
        <v>84</v>
      </c>
      <c r="V117" s="32" t="str">
        <f>LOOKUP(U117,Methodology!$B$38:$B$42,Methodology!$C$38:$C$42)</f>
        <v>High</v>
      </c>
      <c r="W117" s="32" t="s">
        <v>382</v>
      </c>
      <c r="X117" s="32" t="s">
        <v>179</v>
      </c>
      <c r="Y117" s="32"/>
      <c r="Z117" s="32" t="s">
        <v>225</v>
      </c>
    </row>
    <row r="118" ht="15.75" customHeight="1">
      <c r="A118" s="30" t="s">
        <v>383</v>
      </c>
      <c r="B118" s="30" t="s">
        <v>62</v>
      </c>
      <c r="C118" s="30" t="s">
        <v>370</v>
      </c>
      <c r="D118" s="30" t="s">
        <v>371</v>
      </c>
      <c r="E118" s="30" t="s">
        <v>18</v>
      </c>
      <c r="F118" s="30" t="s">
        <v>22</v>
      </c>
      <c r="G118" s="30" t="s">
        <v>164</v>
      </c>
      <c r="H118" s="34">
        <v>40.0</v>
      </c>
      <c r="I118" s="35">
        <v>16.0</v>
      </c>
      <c r="J118" s="30" t="s">
        <v>156</v>
      </c>
      <c r="K118" s="36">
        <v>5.4</v>
      </c>
      <c r="L118" s="30" t="s">
        <v>157</v>
      </c>
      <c r="M118" s="30" t="str">
        <f>LOOKUP(I118,Methodology!$B$46:$B$49,Methodology!$C$46:$C$49)</f>
        <v>Easy</v>
      </c>
      <c r="N118" s="30" t="s">
        <v>224</v>
      </c>
      <c r="O118" s="37">
        <v>4.0</v>
      </c>
      <c r="P118" s="30">
        <f>LOOKUP(H118,Methodology!$B$15:$B$19,Methodology!$C$15:$C$19)</f>
        <v>2</v>
      </c>
      <c r="Q118" s="30">
        <f>LOOKUP(I118,Methodology!$B$23:$B$27,Methodology!$C$23:$C$27)</f>
        <v>4</v>
      </c>
      <c r="R118" s="30">
        <f t="array" ref="R118">INDEX(Methodology!$C$31:$C$34,MATCH(E118,Methodology!$B$31:$B$34,0))</f>
        <v>5</v>
      </c>
      <c r="S118" s="37">
        <v>5.0</v>
      </c>
      <c r="T118" s="37">
        <v>4.0</v>
      </c>
      <c r="U118" s="29">
        <f>ROUND((O118*Methodology!$C$5+P118*Methodology!$C$6+Q118*Methodology!$C$7+R118*Methodology!$C$8+S118*Methodology!$C$9+T118*Methodology!$C$10)*20,0)</f>
        <v>80</v>
      </c>
      <c r="V118" s="30" t="str">
        <f>LOOKUP(U118,Methodology!$B$38:$B$42,Methodology!$C$38:$C$42)</f>
        <v>High</v>
      </c>
      <c r="W118" s="30" t="s">
        <v>382</v>
      </c>
      <c r="X118" s="30" t="s">
        <v>179</v>
      </c>
      <c r="Y118" s="30"/>
      <c r="Z118" s="30" t="s">
        <v>225</v>
      </c>
    </row>
    <row r="119" ht="15.75" customHeight="1">
      <c r="A119" s="32" t="s">
        <v>384</v>
      </c>
      <c r="B119" s="32" t="s">
        <v>62</v>
      </c>
      <c r="C119" s="32" t="s">
        <v>370</v>
      </c>
      <c r="D119" s="32" t="s">
        <v>371</v>
      </c>
      <c r="E119" s="32" t="s">
        <v>18</v>
      </c>
      <c r="F119" s="32" t="s">
        <v>22</v>
      </c>
      <c r="G119" s="32" t="s">
        <v>164</v>
      </c>
      <c r="H119" s="38">
        <v>30.0</v>
      </c>
      <c r="I119" s="39">
        <v>8.0</v>
      </c>
      <c r="J119" s="32" t="s">
        <v>156</v>
      </c>
      <c r="K119" s="40">
        <v>5.3</v>
      </c>
      <c r="L119" s="32" t="s">
        <v>157</v>
      </c>
      <c r="M119" s="32" t="str">
        <f>LOOKUP(I119,Methodology!$B$46:$B$49,Methodology!$C$46:$C$49)</f>
        <v>Easy</v>
      </c>
      <c r="N119" s="32" t="s">
        <v>224</v>
      </c>
      <c r="O119" s="41">
        <v>4.0</v>
      </c>
      <c r="P119" s="32">
        <f>LOOKUP(H119,Methodology!$B$15:$B$19,Methodology!$C$15:$C$19)</f>
        <v>2</v>
      </c>
      <c r="Q119" s="32">
        <f>LOOKUP(I119,Methodology!$B$23:$B$27,Methodology!$C$23:$C$27)</f>
        <v>5</v>
      </c>
      <c r="R119" s="32">
        <f t="array" ref="R119">INDEX(Methodology!$C$31:$C$34,MATCH(E119,Methodology!$B$31:$B$34,0))</f>
        <v>5</v>
      </c>
      <c r="S119" s="41">
        <v>5.0</v>
      </c>
      <c r="T119" s="41">
        <v>4.0</v>
      </c>
      <c r="U119" s="24">
        <f>ROUND((O119*Methodology!$C$5+P119*Methodology!$C$6+Q119*Methodology!$C$7+R119*Methodology!$C$8+S119*Methodology!$C$9+T119*Methodology!$C$10)*20,0)</f>
        <v>84</v>
      </c>
      <c r="V119" s="32" t="str">
        <f>LOOKUP(U119,Methodology!$B$38:$B$42,Methodology!$C$38:$C$42)</f>
        <v>High</v>
      </c>
      <c r="W119" s="32" t="s">
        <v>382</v>
      </c>
      <c r="X119" s="32" t="s">
        <v>179</v>
      </c>
      <c r="Y119" s="32" t="s">
        <v>385</v>
      </c>
      <c r="Z119" s="32" t="s">
        <v>162</v>
      </c>
    </row>
    <row r="120" ht="15.75" customHeight="1">
      <c r="A120" s="30" t="s">
        <v>386</v>
      </c>
      <c r="B120" s="30" t="s">
        <v>62</v>
      </c>
      <c r="C120" s="30" t="s">
        <v>370</v>
      </c>
      <c r="D120" s="30" t="s">
        <v>371</v>
      </c>
      <c r="E120" s="30" t="s">
        <v>18</v>
      </c>
      <c r="F120" s="30" t="s">
        <v>22</v>
      </c>
      <c r="G120" s="30" t="s">
        <v>164</v>
      </c>
      <c r="H120" s="34">
        <v>20.0</v>
      </c>
      <c r="I120" s="35">
        <v>8.0</v>
      </c>
      <c r="J120" s="30" t="s">
        <v>156</v>
      </c>
      <c r="K120" s="36">
        <v>5.3</v>
      </c>
      <c r="L120" s="30" t="s">
        <v>157</v>
      </c>
      <c r="M120" s="30" t="str">
        <f>LOOKUP(I120,Methodology!$B$46:$B$49,Methodology!$C$46:$C$49)</f>
        <v>Easy</v>
      </c>
      <c r="N120" s="30" t="s">
        <v>224</v>
      </c>
      <c r="O120" s="37">
        <v>4.0</v>
      </c>
      <c r="P120" s="30">
        <f>LOOKUP(H120,Methodology!$B$15:$B$19,Methodology!$C$15:$C$19)</f>
        <v>2</v>
      </c>
      <c r="Q120" s="30">
        <f>LOOKUP(I120,Methodology!$B$23:$B$27,Methodology!$C$23:$C$27)</f>
        <v>5</v>
      </c>
      <c r="R120" s="30">
        <f t="array" ref="R120">INDEX(Methodology!$C$31:$C$34,MATCH(E120,Methodology!$B$31:$B$34,0))</f>
        <v>5</v>
      </c>
      <c r="S120" s="37">
        <v>5.0</v>
      </c>
      <c r="T120" s="37">
        <v>4.0</v>
      </c>
      <c r="U120" s="29">
        <f>ROUND((O120*Methodology!$C$5+P120*Methodology!$C$6+Q120*Methodology!$C$7+R120*Methodology!$C$8+S120*Methodology!$C$9+T120*Methodology!$C$10)*20,0)</f>
        <v>84</v>
      </c>
      <c r="V120" s="30" t="str">
        <f>LOOKUP(U120,Methodology!$B$38:$B$42,Methodology!$C$38:$C$42)</f>
        <v>High</v>
      </c>
      <c r="W120" s="30" t="s">
        <v>382</v>
      </c>
      <c r="X120" s="30" t="s">
        <v>179</v>
      </c>
      <c r="Y120" s="30" t="s">
        <v>385</v>
      </c>
      <c r="Z120" s="30" t="s">
        <v>162</v>
      </c>
    </row>
    <row r="121" ht="15.75" customHeight="1">
      <c r="A121" s="32" t="s">
        <v>387</v>
      </c>
      <c r="B121" s="32" t="s">
        <v>62</v>
      </c>
      <c r="C121" s="32" t="s">
        <v>370</v>
      </c>
      <c r="D121" s="32" t="s">
        <v>371</v>
      </c>
      <c r="E121" s="32" t="s">
        <v>18</v>
      </c>
      <c r="F121" s="32" t="s">
        <v>22</v>
      </c>
      <c r="G121" s="32" t="s">
        <v>164</v>
      </c>
      <c r="H121" s="38">
        <v>20.0</v>
      </c>
      <c r="I121" s="39">
        <v>8.0</v>
      </c>
      <c r="J121" s="32" t="s">
        <v>156</v>
      </c>
      <c r="K121" s="40">
        <v>5.3</v>
      </c>
      <c r="L121" s="32" t="s">
        <v>157</v>
      </c>
      <c r="M121" s="32" t="str">
        <f>LOOKUP(I121,Methodology!$B$46:$B$49,Methodology!$C$46:$C$49)</f>
        <v>Easy</v>
      </c>
      <c r="N121" s="32" t="s">
        <v>224</v>
      </c>
      <c r="O121" s="41">
        <v>4.0</v>
      </c>
      <c r="P121" s="32">
        <f>LOOKUP(H121,Methodology!$B$15:$B$19,Methodology!$C$15:$C$19)</f>
        <v>2</v>
      </c>
      <c r="Q121" s="32">
        <f>LOOKUP(I121,Methodology!$B$23:$B$27,Methodology!$C$23:$C$27)</f>
        <v>5</v>
      </c>
      <c r="R121" s="32">
        <f t="array" ref="R121">INDEX(Methodology!$C$31:$C$34,MATCH(E121,Methodology!$B$31:$B$34,0))</f>
        <v>5</v>
      </c>
      <c r="S121" s="41">
        <v>5.0</v>
      </c>
      <c r="T121" s="41">
        <v>4.0</v>
      </c>
      <c r="U121" s="24">
        <f>ROUND((O121*Methodology!$C$5+P121*Methodology!$C$6+Q121*Methodology!$C$7+R121*Methodology!$C$8+S121*Methodology!$C$9+T121*Methodology!$C$10)*20,0)</f>
        <v>84</v>
      </c>
      <c r="V121" s="32" t="str">
        <f>LOOKUP(U121,Methodology!$B$38:$B$42,Methodology!$C$38:$C$42)</f>
        <v>High</v>
      </c>
      <c r="W121" s="32" t="s">
        <v>382</v>
      </c>
      <c r="X121" s="32" t="s">
        <v>179</v>
      </c>
      <c r="Y121" s="32" t="s">
        <v>385</v>
      </c>
      <c r="Z121" s="32" t="s">
        <v>162</v>
      </c>
    </row>
    <row r="122" ht="15.75" customHeight="1">
      <c r="A122" s="30" t="s">
        <v>388</v>
      </c>
      <c r="B122" s="30" t="s">
        <v>62</v>
      </c>
      <c r="C122" s="30" t="s">
        <v>370</v>
      </c>
      <c r="D122" s="30" t="s">
        <v>371</v>
      </c>
      <c r="E122" s="30" t="s">
        <v>18</v>
      </c>
      <c r="F122" s="30" t="s">
        <v>22</v>
      </c>
      <c r="G122" s="30" t="s">
        <v>164</v>
      </c>
      <c r="H122" s="34">
        <v>20.0</v>
      </c>
      <c r="I122" s="35">
        <v>9.0</v>
      </c>
      <c r="J122" s="30" t="s">
        <v>156</v>
      </c>
      <c r="K122" s="36">
        <v>5.3</v>
      </c>
      <c r="L122" s="30" t="s">
        <v>157</v>
      </c>
      <c r="M122" s="30" t="str">
        <f>LOOKUP(I122,Methodology!$B$46:$B$49,Methodology!$C$46:$C$49)</f>
        <v>Easy</v>
      </c>
      <c r="N122" s="30" t="s">
        <v>224</v>
      </c>
      <c r="O122" s="37">
        <v>4.0</v>
      </c>
      <c r="P122" s="30">
        <f>LOOKUP(H122,Methodology!$B$15:$B$19,Methodology!$C$15:$C$19)</f>
        <v>2</v>
      </c>
      <c r="Q122" s="30">
        <f>LOOKUP(I122,Methodology!$B$23:$B$27,Methodology!$C$23:$C$27)</f>
        <v>5</v>
      </c>
      <c r="R122" s="30">
        <f t="array" ref="R122">INDEX(Methodology!$C$31:$C$34,MATCH(E122,Methodology!$B$31:$B$34,0))</f>
        <v>5</v>
      </c>
      <c r="S122" s="37">
        <v>5.0</v>
      </c>
      <c r="T122" s="37">
        <v>4.0</v>
      </c>
      <c r="U122" s="29">
        <f>ROUND((O122*Methodology!$C$5+P122*Methodology!$C$6+Q122*Methodology!$C$7+R122*Methodology!$C$8+S122*Methodology!$C$9+T122*Methodology!$C$10)*20,0)</f>
        <v>84</v>
      </c>
      <c r="V122" s="30" t="str">
        <f>LOOKUP(U122,Methodology!$B$38:$B$42,Methodology!$C$38:$C$42)</f>
        <v>High</v>
      </c>
      <c r="W122" s="30" t="s">
        <v>382</v>
      </c>
      <c r="X122" s="30" t="s">
        <v>179</v>
      </c>
      <c r="Y122" s="30" t="s">
        <v>385</v>
      </c>
      <c r="Z122" s="30" t="s">
        <v>162</v>
      </c>
    </row>
    <row r="123" ht="15.75" customHeight="1">
      <c r="A123" s="32" t="s">
        <v>389</v>
      </c>
      <c r="B123" s="32" t="s">
        <v>62</v>
      </c>
      <c r="C123" s="32" t="s">
        <v>370</v>
      </c>
      <c r="D123" s="32" t="s">
        <v>371</v>
      </c>
      <c r="E123" s="32" t="s">
        <v>18</v>
      </c>
      <c r="F123" s="32" t="s">
        <v>22</v>
      </c>
      <c r="G123" s="32" t="s">
        <v>164</v>
      </c>
      <c r="H123" s="38">
        <v>20.0</v>
      </c>
      <c r="I123" s="39">
        <v>8.0</v>
      </c>
      <c r="J123" s="32" t="s">
        <v>156</v>
      </c>
      <c r="K123" s="40">
        <v>5.3</v>
      </c>
      <c r="L123" s="32" t="s">
        <v>157</v>
      </c>
      <c r="M123" s="32" t="str">
        <f>LOOKUP(I123,Methodology!$B$46:$B$49,Methodology!$C$46:$C$49)</f>
        <v>Easy</v>
      </c>
      <c r="N123" s="32" t="s">
        <v>224</v>
      </c>
      <c r="O123" s="41">
        <v>4.0</v>
      </c>
      <c r="P123" s="32">
        <f>LOOKUP(H123,Methodology!$B$15:$B$19,Methodology!$C$15:$C$19)</f>
        <v>2</v>
      </c>
      <c r="Q123" s="32">
        <f>LOOKUP(I123,Methodology!$B$23:$B$27,Methodology!$C$23:$C$27)</f>
        <v>5</v>
      </c>
      <c r="R123" s="32">
        <f t="array" ref="R123">INDEX(Methodology!$C$31:$C$34,MATCH(E123,Methodology!$B$31:$B$34,0))</f>
        <v>5</v>
      </c>
      <c r="S123" s="41">
        <v>5.0</v>
      </c>
      <c r="T123" s="41">
        <v>4.0</v>
      </c>
      <c r="U123" s="24">
        <f>ROUND((O123*Methodology!$C$5+P123*Methodology!$C$6+Q123*Methodology!$C$7+R123*Methodology!$C$8+S123*Methodology!$C$9+T123*Methodology!$C$10)*20,0)</f>
        <v>84</v>
      </c>
      <c r="V123" s="32" t="str">
        <f>LOOKUP(U123,Methodology!$B$38:$B$42,Methodology!$C$38:$C$42)</f>
        <v>High</v>
      </c>
      <c r="W123" s="32" t="s">
        <v>382</v>
      </c>
      <c r="X123" s="32" t="s">
        <v>179</v>
      </c>
      <c r="Y123" s="32" t="s">
        <v>385</v>
      </c>
      <c r="Z123" s="32" t="s">
        <v>162</v>
      </c>
    </row>
    <row r="124" ht="15.75" customHeight="1">
      <c r="A124" s="30" t="s">
        <v>390</v>
      </c>
      <c r="B124" s="30" t="s">
        <v>62</v>
      </c>
      <c r="C124" s="30" t="s">
        <v>370</v>
      </c>
      <c r="D124" s="30" t="s">
        <v>371</v>
      </c>
      <c r="E124" s="30" t="s">
        <v>18</v>
      </c>
      <c r="F124" s="30" t="s">
        <v>22</v>
      </c>
      <c r="G124" s="30" t="s">
        <v>164</v>
      </c>
      <c r="H124" s="34">
        <v>10.0</v>
      </c>
      <c r="I124" s="35">
        <v>7.0</v>
      </c>
      <c r="J124" s="30" t="s">
        <v>156</v>
      </c>
      <c r="K124" s="36">
        <v>5.3</v>
      </c>
      <c r="L124" s="30" t="s">
        <v>157</v>
      </c>
      <c r="M124" s="30" t="str">
        <f>LOOKUP(I124,Methodology!$B$46:$B$49,Methodology!$C$46:$C$49)</f>
        <v>Easy</v>
      </c>
      <c r="N124" s="30" t="s">
        <v>224</v>
      </c>
      <c r="O124" s="37">
        <v>4.0</v>
      </c>
      <c r="P124" s="30">
        <f>LOOKUP(H124,Methodology!$B$15:$B$19,Methodology!$C$15:$C$19)</f>
        <v>1</v>
      </c>
      <c r="Q124" s="30">
        <f>LOOKUP(I124,Methodology!$B$23:$B$27,Methodology!$C$23:$C$27)</f>
        <v>5</v>
      </c>
      <c r="R124" s="30">
        <f t="array" ref="R124">INDEX(Methodology!$C$31:$C$34,MATCH(E124,Methodology!$B$31:$B$34,0))</f>
        <v>5</v>
      </c>
      <c r="S124" s="37">
        <v>5.0</v>
      </c>
      <c r="T124" s="37">
        <v>4.0</v>
      </c>
      <c r="U124" s="29">
        <f>ROUND((O124*Methodology!$C$5+P124*Methodology!$C$6+Q124*Methodology!$C$7+R124*Methodology!$C$8+S124*Methodology!$C$9+T124*Methodology!$C$10)*20,0)</f>
        <v>81</v>
      </c>
      <c r="V124" s="30" t="str">
        <f>LOOKUP(U124,Methodology!$B$38:$B$42,Methodology!$C$38:$C$42)</f>
        <v>High</v>
      </c>
      <c r="W124" s="30" t="s">
        <v>382</v>
      </c>
      <c r="X124" s="30" t="s">
        <v>179</v>
      </c>
      <c r="Y124" s="30" t="s">
        <v>385</v>
      </c>
      <c r="Z124" s="30" t="s">
        <v>162</v>
      </c>
    </row>
    <row r="125" ht="15.75" customHeight="1">
      <c r="A125" s="32" t="s">
        <v>391</v>
      </c>
      <c r="B125" s="32" t="s">
        <v>62</v>
      </c>
      <c r="C125" s="32" t="s">
        <v>370</v>
      </c>
      <c r="D125" s="32" t="s">
        <v>371</v>
      </c>
      <c r="E125" s="32" t="s">
        <v>18</v>
      </c>
      <c r="F125" s="32" t="s">
        <v>22</v>
      </c>
      <c r="G125" s="32" t="s">
        <v>164</v>
      </c>
      <c r="H125" s="38">
        <v>10.0</v>
      </c>
      <c r="I125" s="39">
        <v>7.0</v>
      </c>
      <c r="J125" s="32" t="s">
        <v>156</v>
      </c>
      <c r="K125" s="40">
        <v>5.3</v>
      </c>
      <c r="L125" s="32" t="s">
        <v>157</v>
      </c>
      <c r="M125" s="32" t="str">
        <f>LOOKUP(I125,Methodology!$B$46:$B$49,Methodology!$C$46:$C$49)</f>
        <v>Easy</v>
      </c>
      <c r="N125" s="32" t="s">
        <v>224</v>
      </c>
      <c r="O125" s="41">
        <v>4.0</v>
      </c>
      <c r="P125" s="32">
        <f>LOOKUP(H125,Methodology!$B$15:$B$19,Methodology!$C$15:$C$19)</f>
        <v>1</v>
      </c>
      <c r="Q125" s="32">
        <f>LOOKUP(I125,Methodology!$B$23:$B$27,Methodology!$C$23:$C$27)</f>
        <v>5</v>
      </c>
      <c r="R125" s="32">
        <f t="array" ref="R125">INDEX(Methodology!$C$31:$C$34,MATCH(E125,Methodology!$B$31:$B$34,0))</f>
        <v>5</v>
      </c>
      <c r="S125" s="41">
        <v>5.0</v>
      </c>
      <c r="T125" s="41">
        <v>4.0</v>
      </c>
      <c r="U125" s="24">
        <f>ROUND((O125*Methodology!$C$5+P125*Methodology!$C$6+Q125*Methodology!$C$7+R125*Methodology!$C$8+S125*Methodology!$C$9+T125*Methodology!$C$10)*20,0)</f>
        <v>81</v>
      </c>
      <c r="V125" s="32" t="str">
        <f>LOOKUP(U125,Methodology!$B$38:$B$42,Methodology!$C$38:$C$42)</f>
        <v>High</v>
      </c>
      <c r="W125" s="32" t="s">
        <v>382</v>
      </c>
      <c r="X125" s="32" t="s">
        <v>179</v>
      </c>
      <c r="Y125" s="32" t="s">
        <v>385</v>
      </c>
      <c r="Z125" s="32" t="s">
        <v>162</v>
      </c>
    </row>
    <row r="126" ht="15.75" customHeight="1">
      <c r="A126" s="30" t="s">
        <v>392</v>
      </c>
      <c r="B126" s="30" t="s">
        <v>62</v>
      </c>
      <c r="C126" s="30" t="s">
        <v>370</v>
      </c>
      <c r="D126" s="30" t="s">
        <v>371</v>
      </c>
      <c r="E126" s="30" t="s">
        <v>18</v>
      </c>
      <c r="F126" s="30" t="s">
        <v>22</v>
      </c>
      <c r="G126" s="30" t="s">
        <v>164</v>
      </c>
      <c r="H126" s="34">
        <v>10.0</v>
      </c>
      <c r="I126" s="35">
        <v>7.0</v>
      </c>
      <c r="J126" s="30" t="s">
        <v>156</v>
      </c>
      <c r="K126" s="36">
        <v>5.3</v>
      </c>
      <c r="L126" s="30" t="s">
        <v>157</v>
      </c>
      <c r="M126" s="30" t="str">
        <f>LOOKUP(I126,Methodology!$B$46:$B$49,Methodology!$C$46:$C$49)</f>
        <v>Easy</v>
      </c>
      <c r="N126" s="30" t="s">
        <v>224</v>
      </c>
      <c r="O126" s="37">
        <v>4.0</v>
      </c>
      <c r="P126" s="30">
        <f>LOOKUP(H126,Methodology!$B$15:$B$19,Methodology!$C$15:$C$19)</f>
        <v>1</v>
      </c>
      <c r="Q126" s="30">
        <f>LOOKUP(I126,Methodology!$B$23:$B$27,Methodology!$C$23:$C$27)</f>
        <v>5</v>
      </c>
      <c r="R126" s="30">
        <f t="array" ref="R126">INDEX(Methodology!$C$31:$C$34,MATCH(E126,Methodology!$B$31:$B$34,0))</f>
        <v>5</v>
      </c>
      <c r="S126" s="37">
        <v>5.0</v>
      </c>
      <c r="T126" s="37">
        <v>4.0</v>
      </c>
      <c r="U126" s="29">
        <f>ROUND((O126*Methodology!$C$5+P126*Methodology!$C$6+Q126*Methodology!$C$7+R126*Methodology!$C$8+S126*Methodology!$C$9+T126*Methodology!$C$10)*20,0)</f>
        <v>81</v>
      </c>
      <c r="V126" s="30" t="str">
        <f>LOOKUP(U126,Methodology!$B$38:$B$42,Methodology!$C$38:$C$42)</f>
        <v>High</v>
      </c>
      <c r="W126" s="30" t="s">
        <v>382</v>
      </c>
      <c r="X126" s="30" t="s">
        <v>179</v>
      </c>
      <c r="Y126" s="30" t="s">
        <v>385</v>
      </c>
      <c r="Z126" s="30" t="s">
        <v>162</v>
      </c>
    </row>
    <row r="127" ht="15.75" customHeight="1">
      <c r="A127" s="32" t="s">
        <v>393</v>
      </c>
      <c r="B127" s="32" t="s">
        <v>62</v>
      </c>
      <c r="C127" s="32" t="s">
        <v>370</v>
      </c>
      <c r="D127" s="32" t="s">
        <v>371</v>
      </c>
      <c r="E127" s="32" t="s">
        <v>18</v>
      </c>
      <c r="F127" s="32" t="s">
        <v>22</v>
      </c>
      <c r="G127" s="32" t="s">
        <v>164</v>
      </c>
      <c r="H127" s="38">
        <v>10.0</v>
      </c>
      <c r="I127" s="39">
        <v>7.0</v>
      </c>
      <c r="J127" s="32" t="s">
        <v>156</v>
      </c>
      <c r="K127" s="40">
        <v>5.3</v>
      </c>
      <c r="L127" s="32" t="s">
        <v>157</v>
      </c>
      <c r="M127" s="32" t="str">
        <f>LOOKUP(I127,Methodology!$B$46:$B$49,Methodology!$C$46:$C$49)</f>
        <v>Easy</v>
      </c>
      <c r="N127" s="32" t="s">
        <v>224</v>
      </c>
      <c r="O127" s="41">
        <v>4.0</v>
      </c>
      <c r="P127" s="32">
        <f>LOOKUP(H127,Methodology!$B$15:$B$19,Methodology!$C$15:$C$19)</f>
        <v>1</v>
      </c>
      <c r="Q127" s="32">
        <f>LOOKUP(I127,Methodology!$B$23:$B$27,Methodology!$C$23:$C$27)</f>
        <v>5</v>
      </c>
      <c r="R127" s="32">
        <f t="array" ref="R127">INDEX(Methodology!$C$31:$C$34,MATCH(E127,Methodology!$B$31:$B$34,0))</f>
        <v>5</v>
      </c>
      <c r="S127" s="41">
        <v>5.0</v>
      </c>
      <c r="T127" s="41">
        <v>4.0</v>
      </c>
      <c r="U127" s="24">
        <f>ROUND((O127*Methodology!$C$5+P127*Methodology!$C$6+Q127*Methodology!$C$7+R127*Methodology!$C$8+S127*Methodology!$C$9+T127*Methodology!$C$10)*20,0)</f>
        <v>81</v>
      </c>
      <c r="V127" s="32" t="str">
        <f>LOOKUP(U127,Methodology!$B$38:$B$42,Methodology!$C$38:$C$42)</f>
        <v>High</v>
      </c>
      <c r="W127" s="32" t="s">
        <v>382</v>
      </c>
      <c r="X127" s="32" t="s">
        <v>179</v>
      </c>
      <c r="Y127" s="32" t="s">
        <v>385</v>
      </c>
      <c r="Z127" s="32" t="s">
        <v>162</v>
      </c>
    </row>
    <row r="128" ht="15.75" customHeight="1">
      <c r="A128" s="30" t="s">
        <v>394</v>
      </c>
      <c r="B128" s="30" t="s">
        <v>15</v>
      </c>
      <c r="C128" s="30" t="s">
        <v>395</v>
      </c>
      <c r="D128" s="30" t="s">
        <v>396</v>
      </c>
      <c r="E128" s="30" t="s">
        <v>15</v>
      </c>
      <c r="F128" s="30" t="s">
        <v>20</v>
      </c>
      <c r="G128" s="30" t="s">
        <v>155</v>
      </c>
      <c r="H128" s="34">
        <v>6600.0</v>
      </c>
      <c r="I128" s="35">
        <v>52.0</v>
      </c>
      <c r="J128" s="30" t="s">
        <v>156</v>
      </c>
      <c r="K128" s="36">
        <v>1.8</v>
      </c>
      <c r="L128" s="30" t="s">
        <v>157</v>
      </c>
      <c r="M128" s="30" t="str">
        <f>LOOKUP(I128,Methodology!$B$46:$B$49,Methodology!$C$46:$C$49)</f>
        <v>Competitive</v>
      </c>
      <c r="N128" s="30" t="s">
        <v>208</v>
      </c>
      <c r="O128" s="37">
        <v>1.0</v>
      </c>
      <c r="P128" s="30">
        <f>LOOKUP(H128,Methodology!$B$15:$B$19,Methodology!$C$15:$C$19)</f>
        <v>5</v>
      </c>
      <c r="Q128" s="30">
        <f>LOOKUP(I128,Methodology!$B$23:$B$27,Methodology!$C$23:$C$27)</f>
        <v>2</v>
      </c>
      <c r="R128" s="30">
        <f t="array" ref="R128">INDEX(Methodology!$C$31:$C$34,MATCH(E128,Methodology!$B$31:$B$34,0))</f>
        <v>2</v>
      </c>
      <c r="S128" s="37">
        <v>1.0</v>
      </c>
      <c r="T128" s="37">
        <v>2.0</v>
      </c>
      <c r="U128" s="29">
        <f>ROUND((O128*Methodology!$C$5+P128*Methodology!$C$6+Q128*Methodology!$C$7+R128*Methodology!$C$8+S128*Methodology!$C$9+T128*Methodology!$C$10)*20,0)</f>
        <v>41</v>
      </c>
      <c r="V128" s="30" t="str">
        <f>LOOKUP(U128,Methodology!$B$38:$B$42,Methodology!$C$38:$C$42)</f>
        <v>Low</v>
      </c>
      <c r="W128" s="30" t="s">
        <v>397</v>
      </c>
      <c r="X128" s="30" t="s">
        <v>179</v>
      </c>
      <c r="Y128" s="30"/>
      <c r="Z128" s="30" t="s">
        <v>167</v>
      </c>
    </row>
    <row r="129" ht="15.75" customHeight="1">
      <c r="A129" s="32" t="s">
        <v>398</v>
      </c>
      <c r="B129" s="32" t="s">
        <v>227</v>
      </c>
      <c r="C129" s="32" t="s">
        <v>395</v>
      </c>
      <c r="D129" s="32" t="s">
        <v>396</v>
      </c>
      <c r="E129" s="32" t="s">
        <v>15</v>
      </c>
      <c r="F129" s="32" t="s">
        <v>20</v>
      </c>
      <c r="G129" s="32" t="s">
        <v>164</v>
      </c>
      <c r="H129" s="38">
        <v>9900.0</v>
      </c>
      <c r="I129" s="39">
        <v>45.0</v>
      </c>
      <c r="J129" s="32" t="s">
        <v>156</v>
      </c>
      <c r="K129" s="40">
        <v>1.4</v>
      </c>
      <c r="L129" s="32" t="s">
        <v>157</v>
      </c>
      <c r="M129" s="32" t="str">
        <f>LOOKUP(I129,Methodology!$B$46:$B$49,Methodology!$C$46:$C$49)</f>
        <v>Competitive</v>
      </c>
      <c r="N129" s="32" t="s">
        <v>208</v>
      </c>
      <c r="O129" s="41">
        <v>1.0</v>
      </c>
      <c r="P129" s="32">
        <f>LOOKUP(H129,Methodology!$B$15:$B$19,Methodology!$C$15:$C$19)</f>
        <v>5</v>
      </c>
      <c r="Q129" s="32">
        <f>LOOKUP(I129,Methodology!$B$23:$B$27,Methodology!$C$23:$C$27)</f>
        <v>2</v>
      </c>
      <c r="R129" s="32">
        <f t="array" ref="R129">INDEX(Methodology!$C$31:$C$34,MATCH(E129,Methodology!$B$31:$B$34,0))</f>
        <v>2</v>
      </c>
      <c r="S129" s="41">
        <v>1.0</v>
      </c>
      <c r="T129" s="41">
        <v>2.0</v>
      </c>
      <c r="U129" s="24">
        <f>ROUND((O129*Methodology!$C$5+P129*Methodology!$C$6+Q129*Methodology!$C$7+R129*Methodology!$C$8+S129*Methodology!$C$9+T129*Methodology!$C$10)*20,0)</f>
        <v>41</v>
      </c>
      <c r="V129" s="32" t="str">
        <f>LOOKUP(U129,Methodology!$B$38:$B$42,Methodology!$C$38:$C$42)</f>
        <v>Low</v>
      </c>
      <c r="W129" s="32" t="s">
        <v>399</v>
      </c>
      <c r="X129" s="32" t="s">
        <v>179</v>
      </c>
      <c r="Y129" s="32"/>
      <c r="Z129" s="32" t="s">
        <v>167</v>
      </c>
    </row>
    <row r="130" ht="15.75" customHeight="1">
      <c r="A130" s="30" t="s">
        <v>400</v>
      </c>
      <c r="B130" s="30" t="s">
        <v>227</v>
      </c>
      <c r="C130" s="30" t="s">
        <v>395</v>
      </c>
      <c r="D130" s="30" t="s">
        <v>396</v>
      </c>
      <c r="E130" s="30" t="s">
        <v>15</v>
      </c>
      <c r="F130" s="30" t="s">
        <v>20</v>
      </c>
      <c r="G130" s="30" t="s">
        <v>164</v>
      </c>
      <c r="H130" s="34">
        <v>6600.0</v>
      </c>
      <c r="I130" s="35">
        <v>36.0</v>
      </c>
      <c r="J130" s="30" t="s">
        <v>156</v>
      </c>
      <c r="K130" s="36">
        <v>1.5</v>
      </c>
      <c r="L130" s="30" t="s">
        <v>157</v>
      </c>
      <c r="M130" s="30" t="str">
        <f>LOOKUP(I130,Methodology!$B$46:$B$49,Methodology!$C$46:$C$49)</f>
        <v>Moderate</v>
      </c>
      <c r="N130" s="30" t="s">
        <v>208</v>
      </c>
      <c r="O130" s="37">
        <v>1.0</v>
      </c>
      <c r="P130" s="30">
        <f>LOOKUP(H130,Methodology!$B$15:$B$19,Methodology!$C$15:$C$19)</f>
        <v>5</v>
      </c>
      <c r="Q130" s="30">
        <f>LOOKUP(I130,Methodology!$B$23:$B$27,Methodology!$C$23:$C$27)</f>
        <v>3</v>
      </c>
      <c r="R130" s="30">
        <f t="array" ref="R130">INDEX(Methodology!$C$31:$C$34,MATCH(E130,Methodology!$B$31:$B$34,0))</f>
        <v>2</v>
      </c>
      <c r="S130" s="37">
        <v>1.0</v>
      </c>
      <c r="T130" s="37">
        <v>2.0</v>
      </c>
      <c r="U130" s="29">
        <f>ROUND((O130*Methodology!$C$5+P130*Methodology!$C$6+Q130*Methodology!$C$7+R130*Methodology!$C$8+S130*Methodology!$C$9+T130*Methodology!$C$10)*20,0)</f>
        <v>45</v>
      </c>
      <c r="V130" s="30" t="str">
        <f>LOOKUP(U130,Methodology!$B$38:$B$42,Methodology!$C$38:$C$42)</f>
        <v>Low</v>
      </c>
      <c r="W130" s="30" t="s">
        <v>401</v>
      </c>
      <c r="X130" s="30" t="s">
        <v>179</v>
      </c>
      <c r="Y130" s="30"/>
      <c r="Z130" s="30" t="s">
        <v>167</v>
      </c>
    </row>
    <row r="131" ht="15.75" customHeight="1">
      <c r="A131" s="32" t="s">
        <v>402</v>
      </c>
      <c r="B131" s="32" t="s">
        <v>403</v>
      </c>
      <c r="C131" s="32" t="s">
        <v>395</v>
      </c>
      <c r="D131" s="32" t="s">
        <v>396</v>
      </c>
      <c r="E131" s="32" t="s">
        <v>17</v>
      </c>
      <c r="F131" s="32" t="s">
        <v>21</v>
      </c>
      <c r="G131" s="32" t="s">
        <v>164</v>
      </c>
      <c r="H131" s="38">
        <v>2900.0</v>
      </c>
      <c r="I131" s="39">
        <v>40.0</v>
      </c>
      <c r="J131" s="32" t="s">
        <v>156</v>
      </c>
      <c r="K131" s="40">
        <v>5.2</v>
      </c>
      <c r="L131" s="32" t="s">
        <v>157</v>
      </c>
      <c r="M131" s="32" t="str">
        <f>LOOKUP(I131,Methodology!$B$46:$B$49,Methodology!$C$46:$C$49)</f>
        <v>Moderate</v>
      </c>
      <c r="N131" s="32" t="s">
        <v>208</v>
      </c>
      <c r="O131" s="41">
        <v>2.0</v>
      </c>
      <c r="P131" s="32">
        <f>LOOKUP(H131,Methodology!$B$15:$B$19,Methodology!$C$15:$C$19)</f>
        <v>5</v>
      </c>
      <c r="Q131" s="32">
        <f>LOOKUP(I131,Methodology!$B$23:$B$27,Methodology!$C$23:$C$27)</f>
        <v>3</v>
      </c>
      <c r="R131" s="32">
        <f t="array" ref="R131">INDEX(Methodology!$C$31:$C$34,MATCH(E131,Methodology!$B$31:$B$34,0))</f>
        <v>4</v>
      </c>
      <c r="S131" s="41">
        <v>3.0</v>
      </c>
      <c r="T131" s="41">
        <v>3.0</v>
      </c>
      <c r="U131" s="24">
        <f>ROUND((O131*Methodology!$C$5+P131*Methodology!$C$6+Q131*Methodology!$C$7+R131*Methodology!$C$8+S131*Methodology!$C$9+T131*Methodology!$C$10)*20,0)</f>
        <v>64</v>
      </c>
      <c r="V131" s="32" t="str">
        <f>LOOKUP(U131,Methodology!$B$38:$B$42,Methodology!$C$38:$C$42)</f>
        <v>Medium</v>
      </c>
      <c r="W131" s="32" t="s">
        <v>404</v>
      </c>
      <c r="X131" s="32" t="s">
        <v>179</v>
      </c>
      <c r="Y131" s="32" t="s">
        <v>405</v>
      </c>
      <c r="Z131" s="32" t="s">
        <v>167</v>
      </c>
    </row>
    <row r="132" ht="15.75" customHeight="1">
      <c r="A132" s="30" t="s">
        <v>406</v>
      </c>
      <c r="B132" s="30" t="s">
        <v>17</v>
      </c>
      <c r="C132" s="30" t="s">
        <v>395</v>
      </c>
      <c r="D132" s="30" t="s">
        <v>396</v>
      </c>
      <c r="E132" s="30" t="s">
        <v>17</v>
      </c>
      <c r="F132" s="30" t="s">
        <v>21</v>
      </c>
      <c r="G132" s="30" t="s">
        <v>164</v>
      </c>
      <c r="H132" s="34">
        <v>880.0</v>
      </c>
      <c r="I132" s="35">
        <v>30.0</v>
      </c>
      <c r="J132" s="30" t="s">
        <v>156</v>
      </c>
      <c r="K132" s="36">
        <v>3.2</v>
      </c>
      <c r="L132" s="30" t="s">
        <v>157</v>
      </c>
      <c r="M132" s="30" t="str">
        <f>LOOKUP(I132,Methodology!$B$46:$B$49,Methodology!$C$46:$C$49)</f>
        <v>Moderate</v>
      </c>
      <c r="N132" s="30" t="s">
        <v>208</v>
      </c>
      <c r="O132" s="37">
        <v>2.0</v>
      </c>
      <c r="P132" s="30">
        <f>LOOKUP(H132,Methodology!$B$15:$B$19,Methodology!$C$15:$C$19)</f>
        <v>4</v>
      </c>
      <c r="Q132" s="30">
        <f>LOOKUP(I132,Methodology!$B$23:$B$27,Methodology!$C$23:$C$27)</f>
        <v>3</v>
      </c>
      <c r="R132" s="30">
        <f t="array" ref="R132">INDEX(Methodology!$C$31:$C$34,MATCH(E132,Methodology!$B$31:$B$34,0))</f>
        <v>4</v>
      </c>
      <c r="S132" s="37">
        <v>3.0</v>
      </c>
      <c r="T132" s="37">
        <v>3.0</v>
      </c>
      <c r="U132" s="29">
        <f>ROUND((O132*Methodology!$C$5+P132*Methodology!$C$6+Q132*Methodology!$C$7+R132*Methodology!$C$8+S132*Methodology!$C$9+T132*Methodology!$C$10)*20,0)</f>
        <v>61</v>
      </c>
      <c r="V132" s="30" t="str">
        <f>LOOKUP(U132,Methodology!$B$38:$B$42,Methodology!$C$38:$C$42)</f>
        <v>Medium</v>
      </c>
      <c r="W132" s="30" t="s">
        <v>407</v>
      </c>
      <c r="X132" s="30" t="s">
        <v>179</v>
      </c>
      <c r="Y132" s="30"/>
      <c r="Z132" s="30" t="s">
        <v>167</v>
      </c>
    </row>
    <row r="133" ht="15.75" customHeight="1">
      <c r="A133" s="32" t="s">
        <v>408</v>
      </c>
      <c r="B133" s="32" t="s">
        <v>15</v>
      </c>
      <c r="C133" s="32" t="s">
        <v>395</v>
      </c>
      <c r="D133" s="32" t="s">
        <v>396</v>
      </c>
      <c r="E133" s="32" t="s">
        <v>15</v>
      </c>
      <c r="F133" s="32" t="s">
        <v>20</v>
      </c>
      <c r="G133" s="32" t="s">
        <v>164</v>
      </c>
      <c r="H133" s="38">
        <v>1300.0</v>
      </c>
      <c r="I133" s="39">
        <v>28.0</v>
      </c>
      <c r="J133" s="32" t="s">
        <v>156</v>
      </c>
      <c r="K133" s="40">
        <v>1.7</v>
      </c>
      <c r="L133" s="32" t="s">
        <v>157</v>
      </c>
      <c r="M133" s="32" t="str">
        <f>LOOKUP(I133,Methodology!$B$46:$B$49,Methodology!$C$46:$C$49)</f>
        <v>Moderate</v>
      </c>
      <c r="N133" s="32" t="s">
        <v>208</v>
      </c>
      <c r="O133" s="41">
        <v>1.0</v>
      </c>
      <c r="P133" s="32">
        <f>LOOKUP(H133,Methodology!$B$15:$B$19,Methodology!$C$15:$C$19)</f>
        <v>5</v>
      </c>
      <c r="Q133" s="32">
        <f>LOOKUP(I133,Methodology!$B$23:$B$27,Methodology!$C$23:$C$27)</f>
        <v>3</v>
      </c>
      <c r="R133" s="32">
        <f t="array" ref="R133">INDEX(Methodology!$C$31:$C$34,MATCH(E133,Methodology!$B$31:$B$34,0))</f>
        <v>2</v>
      </c>
      <c r="S133" s="41">
        <v>1.0</v>
      </c>
      <c r="T133" s="41">
        <v>2.0</v>
      </c>
      <c r="U133" s="24">
        <f>ROUND((O133*Methodology!$C$5+P133*Methodology!$C$6+Q133*Methodology!$C$7+R133*Methodology!$C$8+S133*Methodology!$C$9+T133*Methodology!$C$10)*20,0)</f>
        <v>45</v>
      </c>
      <c r="V133" s="32" t="str">
        <f>LOOKUP(U133,Methodology!$B$38:$B$42,Methodology!$C$38:$C$42)</f>
        <v>Low</v>
      </c>
      <c r="W133" s="32" t="s">
        <v>409</v>
      </c>
      <c r="X133" s="32" t="s">
        <v>179</v>
      </c>
      <c r="Y133" s="32"/>
      <c r="Z133" s="32" t="s">
        <v>167</v>
      </c>
    </row>
    <row r="134" ht="15.75" customHeight="1">
      <c r="A134" s="30" t="s">
        <v>410</v>
      </c>
      <c r="B134" s="30" t="s">
        <v>181</v>
      </c>
      <c r="C134" s="30" t="s">
        <v>75</v>
      </c>
      <c r="D134" s="30" t="s">
        <v>411</v>
      </c>
      <c r="E134" s="30" t="s">
        <v>18</v>
      </c>
      <c r="F134" s="30" t="s">
        <v>22</v>
      </c>
      <c r="G134" s="30" t="s">
        <v>155</v>
      </c>
      <c r="H134" s="34">
        <v>10.0</v>
      </c>
      <c r="I134" s="35">
        <v>8.0</v>
      </c>
      <c r="J134" s="30" t="s">
        <v>156</v>
      </c>
      <c r="K134" s="36">
        <v>4.5</v>
      </c>
      <c r="L134" s="30" t="s">
        <v>157</v>
      </c>
      <c r="M134" s="30" t="str">
        <f>LOOKUP(I134,Methodology!$B$46:$B$49,Methodology!$C$46:$C$49)</f>
        <v>Easy</v>
      </c>
      <c r="N134" s="30" t="s">
        <v>184</v>
      </c>
      <c r="O134" s="37">
        <v>3.0</v>
      </c>
      <c r="P134" s="30">
        <f>LOOKUP(H134,Methodology!$B$15:$B$19,Methodology!$C$15:$C$19)</f>
        <v>1</v>
      </c>
      <c r="Q134" s="30">
        <f>LOOKUP(I134,Methodology!$B$23:$B$27,Methodology!$C$23:$C$27)</f>
        <v>5</v>
      </c>
      <c r="R134" s="30">
        <f t="array" ref="R134">INDEX(Methodology!$C$31:$C$34,MATCH(E134,Methodology!$B$31:$B$34,0))</f>
        <v>5</v>
      </c>
      <c r="S134" s="37">
        <v>5.0</v>
      </c>
      <c r="T134" s="37">
        <v>3.0</v>
      </c>
      <c r="U134" s="29">
        <f>ROUND((O134*Methodology!$C$5+P134*Methodology!$C$6+Q134*Methodology!$C$7+R134*Methodology!$C$8+S134*Methodology!$C$9+T134*Methodology!$C$10)*20,0)</f>
        <v>74</v>
      </c>
      <c r="V134" s="30" t="str">
        <f>LOOKUP(U134,Methodology!$B$38:$B$42,Methodology!$C$38:$C$42)</f>
        <v>Medium</v>
      </c>
      <c r="W134" s="30" t="s">
        <v>412</v>
      </c>
      <c r="X134" s="30" t="s">
        <v>165</v>
      </c>
      <c r="Y134" s="30" t="s">
        <v>413</v>
      </c>
      <c r="Z134" s="30" t="s">
        <v>162</v>
      </c>
    </row>
    <row r="135" ht="15.75" customHeight="1">
      <c r="A135" s="32" t="s">
        <v>414</v>
      </c>
      <c r="B135" s="32" t="s">
        <v>152</v>
      </c>
      <c r="C135" s="32" t="s">
        <v>75</v>
      </c>
      <c r="D135" s="32" t="s">
        <v>411</v>
      </c>
      <c r="E135" s="32" t="s">
        <v>16</v>
      </c>
      <c r="F135" s="32" t="s">
        <v>21</v>
      </c>
      <c r="G135" s="32" t="s">
        <v>164</v>
      </c>
      <c r="H135" s="38">
        <v>50.0</v>
      </c>
      <c r="I135" s="39">
        <v>3.0</v>
      </c>
      <c r="J135" s="32" t="s">
        <v>156</v>
      </c>
      <c r="K135" s="40">
        <v>1.5</v>
      </c>
      <c r="L135" s="32" t="s">
        <v>157</v>
      </c>
      <c r="M135" s="32" t="str">
        <f>LOOKUP(I135,Methodology!$B$46:$B$49,Methodology!$C$46:$C$49)</f>
        <v>Easy</v>
      </c>
      <c r="N135" s="32" t="s">
        <v>158</v>
      </c>
      <c r="O135" s="41">
        <v>3.0</v>
      </c>
      <c r="P135" s="32">
        <f>LOOKUP(H135,Methodology!$B$15:$B$19,Methodology!$C$15:$C$19)</f>
        <v>3</v>
      </c>
      <c r="Q135" s="32">
        <f>LOOKUP(I135,Methodology!$B$23:$B$27,Methodology!$C$23:$C$27)</f>
        <v>5</v>
      </c>
      <c r="R135" s="32">
        <f t="array" ref="R135">INDEX(Methodology!$C$31:$C$34,MATCH(E135,Methodology!$B$31:$B$34,0))</f>
        <v>3</v>
      </c>
      <c r="S135" s="41">
        <v>4.0</v>
      </c>
      <c r="T135" s="41">
        <v>3.0</v>
      </c>
      <c r="U135" s="24">
        <f>ROUND((O135*Methodology!$C$5+P135*Methodology!$C$6+Q135*Methodology!$C$7+R135*Methodology!$C$8+S135*Methodology!$C$9+T135*Methodology!$C$10)*20,0)</f>
        <v>71</v>
      </c>
      <c r="V135" s="32" t="str">
        <f>LOOKUP(U135,Methodology!$B$38:$B$42,Methodology!$C$38:$C$42)</f>
        <v>Medium</v>
      </c>
      <c r="W135" s="32" t="s">
        <v>412</v>
      </c>
      <c r="X135" s="32" t="s">
        <v>165</v>
      </c>
      <c r="Y135" s="32"/>
      <c r="Z135" s="32" t="s">
        <v>162</v>
      </c>
    </row>
    <row r="136" ht="15.75" customHeight="1">
      <c r="A136" s="30" t="s">
        <v>415</v>
      </c>
      <c r="B136" s="30" t="s">
        <v>152</v>
      </c>
      <c r="C136" s="30" t="s">
        <v>75</v>
      </c>
      <c r="D136" s="30" t="s">
        <v>411</v>
      </c>
      <c r="E136" s="30" t="s">
        <v>16</v>
      </c>
      <c r="F136" s="30" t="s">
        <v>21</v>
      </c>
      <c r="G136" s="30" t="s">
        <v>164</v>
      </c>
      <c r="H136" s="34">
        <v>70.0</v>
      </c>
      <c r="I136" s="35">
        <v>4.0</v>
      </c>
      <c r="J136" s="30" t="s">
        <v>156</v>
      </c>
      <c r="K136" s="36">
        <v>1.5</v>
      </c>
      <c r="L136" s="30" t="s">
        <v>157</v>
      </c>
      <c r="M136" s="30" t="str">
        <f>LOOKUP(I136,Methodology!$B$46:$B$49,Methodology!$C$46:$C$49)</f>
        <v>Easy</v>
      </c>
      <c r="N136" s="30" t="s">
        <v>158</v>
      </c>
      <c r="O136" s="37">
        <v>3.0</v>
      </c>
      <c r="P136" s="30">
        <f>LOOKUP(H136,Methodology!$B$15:$B$19,Methodology!$C$15:$C$19)</f>
        <v>3</v>
      </c>
      <c r="Q136" s="30">
        <f>LOOKUP(I136,Methodology!$B$23:$B$27,Methodology!$C$23:$C$27)</f>
        <v>5</v>
      </c>
      <c r="R136" s="30">
        <f t="array" ref="R136">INDEX(Methodology!$C$31:$C$34,MATCH(E136,Methodology!$B$31:$B$34,0))</f>
        <v>3</v>
      </c>
      <c r="S136" s="37">
        <v>4.0</v>
      </c>
      <c r="T136" s="37">
        <v>3.0</v>
      </c>
      <c r="U136" s="29">
        <f>ROUND((O136*Methodology!$C$5+P136*Methodology!$C$6+Q136*Methodology!$C$7+R136*Methodology!$C$8+S136*Methodology!$C$9+T136*Methodology!$C$10)*20,0)</f>
        <v>71</v>
      </c>
      <c r="V136" s="30" t="str">
        <f>LOOKUP(U136,Methodology!$B$38:$B$42,Methodology!$C$38:$C$42)</f>
        <v>Medium</v>
      </c>
      <c r="W136" s="30" t="s">
        <v>412</v>
      </c>
      <c r="X136" s="30" t="s">
        <v>165</v>
      </c>
      <c r="Y136" s="30"/>
      <c r="Z136" s="30" t="s">
        <v>162</v>
      </c>
    </row>
    <row r="137" ht="15.75" customHeight="1">
      <c r="A137" s="32" t="s">
        <v>416</v>
      </c>
      <c r="B137" s="32" t="s">
        <v>18</v>
      </c>
      <c r="C137" s="32" t="s">
        <v>75</v>
      </c>
      <c r="D137" s="32" t="s">
        <v>411</v>
      </c>
      <c r="E137" s="32" t="s">
        <v>18</v>
      </c>
      <c r="F137" s="32" t="s">
        <v>22</v>
      </c>
      <c r="G137" s="32" t="s">
        <v>164</v>
      </c>
      <c r="H137" s="38">
        <v>22000.0</v>
      </c>
      <c r="I137" s="39">
        <v>55.0</v>
      </c>
      <c r="J137" s="32" t="s">
        <v>156</v>
      </c>
      <c r="K137" s="40">
        <v>5.2</v>
      </c>
      <c r="L137" s="32" t="s">
        <v>157</v>
      </c>
      <c r="M137" s="32" t="str">
        <f>LOOKUP(I137,Methodology!$B$46:$B$49,Methodology!$C$46:$C$49)</f>
        <v>Competitive</v>
      </c>
      <c r="N137" s="32" t="s">
        <v>184</v>
      </c>
      <c r="O137" s="41">
        <v>3.0</v>
      </c>
      <c r="P137" s="32">
        <f>LOOKUP(H137,Methodology!$B$15:$B$19,Methodology!$C$15:$C$19)</f>
        <v>5</v>
      </c>
      <c r="Q137" s="32">
        <f>LOOKUP(I137,Methodology!$B$23:$B$27,Methodology!$C$23:$C$27)</f>
        <v>2</v>
      </c>
      <c r="R137" s="32">
        <f t="array" ref="R137">INDEX(Methodology!$C$31:$C$34,MATCH(E137,Methodology!$B$31:$B$34,0))</f>
        <v>5</v>
      </c>
      <c r="S137" s="41">
        <v>5.0</v>
      </c>
      <c r="T137" s="41">
        <v>3.0</v>
      </c>
      <c r="U137" s="24">
        <f>ROUND((O137*Methodology!$C$5+P137*Methodology!$C$6+Q137*Methodology!$C$7+R137*Methodology!$C$8+S137*Methodology!$C$9+T137*Methodology!$C$10)*20,0)</f>
        <v>74</v>
      </c>
      <c r="V137" s="32" t="str">
        <f>LOOKUP(U137,Methodology!$B$38:$B$42,Methodology!$C$38:$C$42)</f>
        <v>Medium</v>
      </c>
      <c r="W137" s="32" t="s">
        <v>412</v>
      </c>
      <c r="X137" s="32" t="s">
        <v>165</v>
      </c>
      <c r="Y137" s="32" t="s">
        <v>229</v>
      </c>
      <c r="Z137" s="32" t="s">
        <v>167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V2:V137">
    <cfRule type="cellIs" dxfId="3" priority="1" operator="equal">
      <formula>"Critical"</formula>
    </cfRule>
  </conditionalFormatting>
  <conditionalFormatting sqref="V2:V137">
    <cfRule type="cellIs" dxfId="4" priority="2" operator="equal">
      <formula>"High"</formula>
    </cfRule>
  </conditionalFormatting>
  <conditionalFormatting sqref="V2:V137">
    <cfRule type="cellIs" dxfId="2" priority="3" operator="equal">
      <formula>"Medium"</formula>
    </cfRule>
  </conditionalFormatting>
  <conditionalFormatting sqref="U2:U137">
    <cfRule type="colorScale" priority="4">
      <colorScale>
        <cfvo type="formula" val="30"/>
        <cfvo type="formula" val="95"/>
        <color rgb="FFFFFFFF"/>
        <color rgb="FF8FAADC"/>
      </colorScale>
    </cfRule>
  </conditionalFormatting>
  <conditionalFormatting sqref="I2:I137">
    <cfRule type="colorScale" priority="5">
      <colorScale>
        <cfvo type="formula" val="0"/>
        <cfvo type="formula" val="40"/>
        <cfvo type="formula" val="80"/>
        <color rgb="FFC6E0B4"/>
        <color rgb="FFFFE699"/>
        <color rgb="FFF4B183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FB2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3.29"/>
    <col customWidth="1" min="2" max="2" width="38.71"/>
    <col customWidth="1" min="3" max="3" width="61.43"/>
    <col customWidth="1" min="4" max="5" width="46.0"/>
    <col customWidth="1" min="6" max="6" width="13.0"/>
    <col customWidth="1" min="7" max="7" width="7.29"/>
    <col customWidth="1" min="8" max="8" width="28.57"/>
    <col customWidth="1" min="9" max="9" width="19.14"/>
    <col customWidth="1" min="10" max="10" width="11.71"/>
    <col customWidth="1" min="11" max="11" width="17.0"/>
    <col customWidth="1" min="12" max="26" width="8.71"/>
  </cols>
  <sheetData>
    <row r="1">
      <c r="A1" s="20" t="s">
        <v>417</v>
      </c>
      <c r="B1" s="20" t="s">
        <v>418</v>
      </c>
      <c r="C1" s="20" t="s">
        <v>419</v>
      </c>
      <c r="D1" s="20" t="s">
        <v>420</v>
      </c>
      <c r="E1" s="20" t="s">
        <v>421</v>
      </c>
      <c r="F1" s="20" t="s">
        <v>422</v>
      </c>
      <c r="G1" s="20" t="s">
        <v>130</v>
      </c>
      <c r="H1" s="20" t="s">
        <v>423</v>
      </c>
      <c r="I1" s="20" t="s">
        <v>424</v>
      </c>
      <c r="J1" s="20" t="s">
        <v>425</v>
      </c>
      <c r="K1" s="20" t="s">
        <v>426</v>
      </c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30" t="s">
        <v>154</v>
      </c>
      <c r="B2" s="30" t="s">
        <v>151</v>
      </c>
      <c r="C2" s="30" t="s">
        <v>427</v>
      </c>
      <c r="D2" s="30" t="s">
        <v>428</v>
      </c>
      <c r="E2" s="30" t="s">
        <v>429</v>
      </c>
      <c r="F2" s="30" t="s">
        <v>16</v>
      </c>
      <c r="G2" s="30" t="s">
        <v>22</v>
      </c>
      <c r="H2" s="30" t="s">
        <v>159</v>
      </c>
      <c r="I2" s="30" t="s">
        <v>430</v>
      </c>
      <c r="J2" s="30">
        <f>COUNTIF('Keyword Master Database'!$D$2:$D$137,A2)</f>
        <v>7</v>
      </c>
      <c r="K2" s="43">
        <f>SUMIFS('Keyword Master Database'!$H$2:$H$137,'Keyword Master Database'!$D$2:$D$137,A2,'Keyword Master Database'!$Z$2:$Z$137,"&lt;&gt;National")</f>
        <v>250</v>
      </c>
    </row>
    <row r="3">
      <c r="A3" s="32" t="s">
        <v>183</v>
      </c>
      <c r="B3" s="32" t="s">
        <v>180</v>
      </c>
      <c r="C3" s="32" t="s">
        <v>431</v>
      </c>
      <c r="D3" s="32" t="s">
        <v>432</v>
      </c>
      <c r="E3" s="32" t="s">
        <v>433</v>
      </c>
      <c r="F3" s="32" t="s">
        <v>18</v>
      </c>
      <c r="G3" s="32" t="s">
        <v>22</v>
      </c>
      <c r="H3" s="32" t="s">
        <v>159</v>
      </c>
      <c r="I3" s="32" t="s">
        <v>430</v>
      </c>
      <c r="J3" s="32">
        <f>COUNTIF('Keyword Master Database'!$D$2:$D$137,A3)</f>
        <v>9</v>
      </c>
      <c r="K3" s="44">
        <f>SUMIFS('Keyword Master Database'!$H$2:$H$137,'Keyword Master Database'!$D$2:$D$137,A3,'Keyword Master Database'!$Z$2:$Z$137,"&lt;&gt;National")</f>
        <v>290</v>
      </c>
    </row>
    <row r="4">
      <c r="A4" s="30" t="s">
        <v>204</v>
      </c>
      <c r="B4" s="30" t="s">
        <v>202</v>
      </c>
      <c r="C4" s="30" t="s">
        <v>434</v>
      </c>
      <c r="D4" s="30" t="s">
        <v>435</v>
      </c>
      <c r="E4" s="30" t="s">
        <v>436</v>
      </c>
      <c r="F4" s="30" t="s">
        <v>18</v>
      </c>
      <c r="G4" s="30" t="s">
        <v>22</v>
      </c>
      <c r="H4" s="30" t="s">
        <v>205</v>
      </c>
      <c r="I4" s="30" t="s">
        <v>437</v>
      </c>
      <c r="J4" s="30">
        <f>COUNTIF('Keyword Master Database'!$D$2:$D$137,A4)</f>
        <v>8</v>
      </c>
      <c r="K4" s="43">
        <f>SUMIFS('Keyword Master Database'!$H$2:$H$137,'Keyword Master Database'!$D$2:$D$137,A4,'Keyword Master Database'!$Z$2:$Z$137,"&lt;&gt;National")</f>
        <v>120</v>
      </c>
    </row>
    <row r="5">
      <c r="A5" s="32" t="s">
        <v>220</v>
      </c>
      <c r="B5" s="32" t="s">
        <v>218</v>
      </c>
      <c r="C5" s="32" t="s">
        <v>438</v>
      </c>
      <c r="D5" s="32" t="s">
        <v>439</v>
      </c>
      <c r="E5" s="32" t="s">
        <v>440</v>
      </c>
      <c r="F5" s="32" t="s">
        <v>18</v>
      </c>
      <c r="G5" s="32" t="s">
        <v>22</v>
      </c>
      <c r="H5" s="32" t="s">
        <v>221</v>
      </c>
      <c r="I5" s="32" t="s">
        <v>437</v>
      </c>
      <c r="J5" s="32">
        <f>COUNTIF('Keyword Master Database'!$D$2:$D$137,A5)</f>
        <v>9</v>
      </c>
      <c r="K5" s="44">
        <f>SUMIFS('Keyword Master Database'!$H$2:$H$137,'Keyword Master Database'!$D$2:$D$137,A5,'Keyword Master Database'!$Z$2:$Z$137,"&lt;&gt;National")</f>
        <v>70</v>
      </c>
    </row>
    <row r="6">
      <c r="A6" s="30" t="s">
        <v>240</v>
      </c>
      <c r="B6" s="30" t="s">
        <v>238</v>
      </c>
      <c r="C6" s="30" t="s">
        <v>441</v>
      </c>
      <c r="D6" s="30" t="s">
        <v>442</v>
      </c>
      <c r="E6" s="30" t="s">
        <v>443</v>
      </c>
      <c r="F6" s="30" t="s">
        <v>18</v>
      </c>
      <c r="G6" s="30" t="s">
        <v>22</v>
      </c>
      <c r="H6" s="30" t="s">
        <v>241</v>
      </c>
      <c r="I6" s="30" t="s">
        <v>437</v>
      </c>
      <c r="J6" s="30">
        <f>COUNTIF('Keyword Master Database'!$D$2:$D$137,A6)</f>
        <v>7</v>
      </c>
      <c r="K6" s="43">
        <f>SUMIFS('Keyword Master Database'!$H$2:$H$137,'Keyword Master Database'!$D$2:$D$137,A6,'Keyword Master Database'!$Z$2:$Z$137,"&lt;&gt;National")</f>
        <v>20</v>
      </c>
    </row>
    <row r="7">
      <c r="A7" s="32" t="s">
        <v>254</v>
      </c>
      <c r="B7" s="32" t="s">
        <v>252</v>
      </c>
      <c r="C7" s="32" t="s">
        <v>444</v>
      </c>
      <c r="D7" s="32" t="s">
        <v>445</v>
      </c>
      <c r="E7" s="32" t="s">
        <v>446</v>
      </c>
      <c r="F7" s="32" t="s">
        <v>18</v>
      </c>
      <c r="G7" s="32" t="s">
        <v>22</v>
      </c>
      <c r="H7" s="32" t="s">
        <v>255</v>
      </c>
      <c r="I7" s="32" t="s">
        <v>437</v>
      </c>
      <c r="J7" s="32">
        <f>COUNTIF('Keyword Master Database'!$D$2:$D$137,A7)</f>
        <v>5</v>
      </c>
      <c r="K7" s="44">
        <f>SUMIFS('Keyword Master Database'!$H$2:$H$137,'Keyword Master Database'!$D$2:$D$137,A7,'Keyword Master Database'!$Z$2:$Z$137,"&lt;&gt;National")</f>
        <v>10</v>
      </c>
    </row>
    <row r="8">
      <c r="A8" s="30" t="s">
        <v>263</v>
      </c>
      <c r="B8" s="30" t="s">
        <v>262</v>
      </c>
      <c r="C8" s="30" t="s">
        <v>447</v>
      </c>
      <c r="D8" s="30" t="s">
        <v>448</v>
      </c>
      <c r="E8" s="30" t="s">
        <v>449</v>
      </c>
      <c r="F8" s="30" t="s">
        <v>18</v>
      </c>
      <c r="G8" s="30" t="s">
        <v>22</v>
      </c>
      <c r="H8" s="30" t="s">
        <v>264</v>
      </c>
      <c r="I8" s="30" t="s">
        <v>437</v>
      </c>
      <c r="J8" s="30">
        <f>COUNTIF('Keyword Master Database'!$D$2:$D$137,A8)</f>
        <v>6</v>
      </c>
      <c r="K8" s="43">
        <f>SUMIFS('Keyword Master Database'!$H$2:$H$137,'Keyword Master Database'!$D$2:$D$137,A8,'Keyword Master Database'!$Z$2:$Z$137,"&lt;&gt;National")</f>
        <v>20</v>
      </c>
    </row>
    <row r="9">
      <c r="A9" s="32" t="s">
        <v>273</v>
      </c>
      <c r="B9" s="32" t="s">
        <v>272</v>
      </c>
      <c r="C9" s="32" t="s">
        <v>450</v>
      </c>
      <c r="D9" s="32" t="s">
        <v>451</v>
      </c>
      <c r="E9" s="32" t="s">
        <v>452</v>
      </c>
      <c r="F9" s="32" t="s">
        <v>18</v>
      </c>
      <c r="G9" s="32" t="s">
        <v>22</v>
      </c>
      <c r="H9" s="32" t="s">
        <v>274</v>
      </c>
      <c r="I9" s="32" t="s">
        <v>437</v>
      </c>
      <c r="J9" s="32">
        <f>COUNTIF('Keyword Master Database'!$D$2:$D$137,A9)</f>
        <v>4</v>
      </c>
      <c r="K9" s="44">
        <f>SUMIFS('Keyword Master Database'!$H$2:$H$137,'Keyword Master Database'!$D$2:$D$137,A9,'Keyword Master Database'!$Z$2:$Z$137,"&lt;&gt;National")</f>
        <v>10</v>
      </c>
    </row>
    <row r="10">
      <c r="A10" s="30" t="s">
        <v>281</v>
      </c>
      <c r="B10" s="30" t="s">
        <v>279</v>
      </c>
      <c r="C10" s="30" t="s">
        <v>453</v>
      </c>
      <c r="D10" s="30" t="s">
        <v>454</v>
      </c>
      <c r="E10" s="30" t="s">
        <v>455</v>
      </c>
      <c r="F10" s="30" t="s">
        <v>18</v>
      </c>
      <c r="G10" s="30" t="s">
        <v>22</v>
      </c>
      <c r="H10" s="30" t="s">
        <v>282</v>
      </c>
      <c r="I10" s="30" t="s">
        <v>437</v>
      </c>
      <c r="J10" s="30">
        <f>COUNTIF('Keyword Master Database'!$D$2:$D$137,A10)</f>
        <v>7</v>
      </c>
      <c r="K10" s="43">
        <f>SUMIFS('Keyword Master Database'!$H$2:$H$137,'Keyword Master Database'!$D$2:$D$137,A10,'Keyword Master Database'!$Z$2:$Z$137,"&lt;&gt;National")</f>
        <v>30</v>
      </c>
    </row>
    <row r="11">
      <c r="A11" s="32" t="s">
        <v>294</v>
      </c>
      <c r="B11" s="32" t="s">
        <v>293</v>
      </c>
      <c r="C11" s="32" t="s">
        <v>456</v>
      </c>
      <c r="D11" s="32" t="s">
        <v>457</v>
      </c>
      <c r="E11" s="32" t="s">
        <v>458</v>
      </c>
      <c r="F11" s="32" t="s">
        <v>18</v>
      </c>
      <c r="G11" s="32" t="s">
        <v>22</v>
      </c>
      <c r="H11" s="32" t="s">
        <v>295</v>
      </c>
      <c r="I11" s="32" t="s">
        <v>437</v>
      </c>
      <c r="J11" s="32">
        <f>COUNTIF('Keyword Master Database'!$D$2:$D$137,A11)</f>
        <v>6</v>
      </c>
      <c r="K11" s="44">
        <f>SUMIFS('Keyword Master Database'!$H$2:$H$137,'Keyword Master Database'!$D$2:$D$137,A11,'Keyword Master Database'!$Z$2:$Z$137,"&lt;&gt;National")</f>
        <v>30</v>
      </c>
    </row>
    <row r="12">
      <c r="A12" s="30" t="s">
        <v>304</v>
      </c>
      <c r="B12" s="30" t="s">
        <v>303</v>
      </c>
      <c r="C12" s="30" t="s">
        <v>459</v>
      </c>
      <c r="D12" s="30" t="s">
        <v>460</v>
      </c>
      <c r="E12" s="30" t="s">
        <v>461</v>
      </c>
      <c r="F12" s="30" t="s">
        <v>18</v>
      </c>
      <c r="G12" s="30" t="s">
        <v>22</v>
      </c>
      <c r="H12" s="30" t="s">
        <v>305</v>
      </c>
      <c r="I12" s="30" t="s">
        <v>437</v>
      </c>
      <c r="J12" s="30">
        <f>COUNTIF('Keyword Master Database'!$D$2:$D$137,A12)</f>
        <v>10</v>
      </c>
      <c r="K12" s="43">
        <f>SUMIFS('Keyword Master Database'!$H$2:$H$137,'Keyword Master Database'!$D$2:$D$137,A12,'Keyword Master Database'!$Z$2:$Z$137,"&lt;&gt;National")</f>
        <v>250</v>
      </c>
    </row>
    <row r="13">
      <c r="A13" s="32" t="s">
        <v>320</v>
      </c>
      <c r="B13" s="32" t="s">
        <v>319</v>
      </c>
      <c r="C13" s="32" t="s">
        <v>462</v>
      </c>
      <c r="D13" s="32" t="s">
        <v>463</v>
      </c>
      <c r="E13" s="32" t="s">
        <v>464</v>
      </c>
      <c r="F13" s="32" t="s">
        <v>18</v>
      </c>
      <c r="G13" s="32" t="s">
        <v>22</v>
      </c>
      <c r="H13" s="32" t="s">
        <v>321</v>
      </c>
      <c r="I13" s="32" t="s">
        <v>437</v>
      </c>
      <c r="J13" s="32">
        <f>COUNTIF('Keyword Master Database'!$D$2:$D$137,A13)</f>
        <v>6</v>
      </c>
      <c r="K13" s="44">
        <f>SUMIFS('Keyword Master Database'!$H$2:$H$137,'Keyword Master Database'!$D$2:$D$137,A13,'Keyword Master Database'!$Z$2:$Z$137,"&lt;&gt;National")</f>
        <v>350</v>
      </c>
    </row>
    <row r="14">
      <c r="A14" s="30" t="s">
        <v>328</v>
      </c>
      <c r="B14" s="30" t="s">
        <v>327</v>
      </c>
      <c r="C14" s="30" t="s">
        <v>465</v>
      </c>
      <c r="D14" s="30" t="s">
        <v>466</v>
      </c>
      <c r="E14" s="30" t="s">
        <v>467</v>
      </c>
      <c r="F14" s="30" t="s">
        <v>18</v>
      </c>
      <c r="G14" s="30" t="s">
        <v>22</v>
      </c>
      <c r="H14" s="30" t="s">
        <v>329</v>
      </c>
      <c r="I14" s="30" t="s">
        <v>437</v>
      </c>
      <c r="J14" s="30">
        <f>COUNTIF('Keyword Master Database'!$D$2:$D$137,A14)</f>
        <v>6</v>
      </c>
      <c r="K14" s="43">
        <f>SUMIFS('Keyword Master Database'!$H$2:$H$137,'Keyword Master Database'!$D$2:$D$137,A14,'Keyword Master Database'!$Z$2:$Z$137,"&lt;&gt;National")</f>
        <v>20</v>
      </c>
    </row>
    <row r="15">
      <c r="A15" s="32" t="s">
        <v>339</v>
      </c>
      <c r="B15" s="32" t="s">
        <v>337</v>
      </c>
      <c r="C15" s="32" t="s">
        <v>468</v>
      </c>
      <c r="D15" s="32" t="s">
        <v>469</v>
      </c>
      <c r="E15" s="32" t="s">
        <v>470</v>
      </c>
      <c r="F15" s="32" t="s">
        <v>18</v>
      </c>
      <c r="G15" s="32" t="s">
        <v>22</v>
      </c>
      <c r="H15" s="32" t="s">
        <v>340</v>
      </c>
      <c r="I15" s="32" t="s">
        <v>437</v>
      </c>
      <c r="J15" s="32">
        <f>COUNTIF('Keyword Master Database'!$D$2:$D$137,A15)</f>
        <v>7</v>
      </c>
      <c r="K15" s="44">
        <f>SUMIFS('Keyword Master Database'!$H$2:$H$137,'Keyword Master Database'!$D$2:$D$137,A15,'Keyword Master Database'!$Z$2:$Z$137,"&lt;&gt;National")</f>
        <v>30</v>
      </c>
    </row>
    <row r="16">
      <c r="A16" s="30" t="s">
        <v>350</v>
      </c>
      <c r="B16" s="30" t="s">
        <v>348</v>
      </c>
      <c r="C16" s="30" t="s">
        <v>471</v>
      </c>
      <c r="D16" s="30" t="s">
        <v>472</v>
      </c>
      <c r="E16" s="30" t="s">
        <v>473</v>
      </c>
      <c r="F16" s="30" t="s">
        <v>18</v>
      </c>
      <c r="G16" s="30" t="s">
        <v>22</v>
      </c>
      <c r="H16" s="30" t="s">
        <v>351</v>
      </c>
      <c r="I16" s="30" t="s">
        <v>437</v>
      </c>
      <c r="J16" s="30">
        <f>COUNTIF('Keyword Master Database'!$D$2:$D$137,A16)</f>
        <v>5</v>
      </c>
      <c r="K16" s="43">
        <f>SUMIFS('Keyword Master Database'!$H$2:$H$137,'Keyword Master Database'!$D$2:$D$137,A16,'Keyword Master Database'!$Z$2:$Z$137,"&lt;&gt;National")</f>
        <v>10</v>
      </c>
    </row>
    <row r="17">
      <c r="A17" s="32" t="s">
        <v>359</v>
      </c>
      <c r="B17" s="32" t="s">
        <v>357</v>
      </c>
      <c r="C17" s="32" t="s">
        <v>474</v>
      </c>
      <c r="D17" s="32" t="s">
        <v>475</v>
      </c>
      <c r="E17" s="32" t="s">
        <v>476</v>
      </c>
      <c r="F17" s="32" t="s">
        <v>18</v>
      </c>
      <c r="G17" s="32" t="s">
        <v>22</v>
      </c>
      <c r="H17" s="32" t="s">
        <v>178</v>
      </c>
      <c r="I17" s="32" t="s">
        <v>477</v>
      </c>
      <c r="J17" s="32">
        <f>COUNTIF('Keyword Master Database'!$D$2:$D$137,A17)</f>
        <v>7</v>
      </c>
      <c r="K17" s="44">
        <f>SUMIFS('Keyword Master Database'!$H$2:$H$137,'Keyword Master Database'!$D$2:$D$137,A17,'Keyword Master Database'!$Z$2:$Z$137,"&lt;&gt;National")</f>
        <v>210</v>
      </c>
    </row>
    <row r="18">
      <c r="A18" s="30" t="s">
        <v>371</v>
      </c>
      <c r="B18" s="30" t="s">
        <v>369</v>
      </c>
      <c r="C18" s="30" t="s">
        <v>478</v>
      </c>
      <c r="D18" s="30" t="s">
        <v>479</v>
      </c>
      <c r="E18" s="30" t="s">
        <v>480</v>
      </c>
      <c r="F18" s="30" t="s">
        <v>18</v>
      </c>
      <c r="G18" s="30" t="s">
        <v>22</v>
      </c>
      <c r="H18" s="30" t="s">
        <v>481</v>
      </c>
      <c r="I18" s="30" t="s">
        <v>482</v>
      </c>
      <c r="J18" s="30">
        <f>COUNTIF('Keyword Master Database'!$D$2:$D$137,A18)</f>
        <v>17</v>
      </c>
      <c r="K18" s="43">
        <f>SUMIFS('Keyword Master Database'!$H$2:$H$137,'Keyword Master Database'!$D$2:$D$137,A18,'Keyword Master Database'!$Z$2:$Z$137,"&lt;&gt;National")</f>
        <v>720</v>
      </c>
    </row>
    <row r="19">
      <c r="A19" s="32" t="s">
        <v>396</v>
      </c>
      <c r="B19" s="32" t="s">
        <v>394</v>
      </c>
      <c r="C19" s="32" t="s">
        <v>483</v>
      </c>
      <c r="D19" s="32" t="s">
        <v>484</v>
      </c>
      <c r="E19" s="32" t="s">
        <v>485</v>
      </c>
      <c r="F19" s="32" t="s">
        <v>15</v>
      </c>
      <c r="G19" s="32" t="s">
        <v>20</v>
      </c>
      <c r="H19" s="32" t="s">
        <v>486</v>
      </c>
      <c r="I19" s="32" t="s">
        <v>487</v>
      </c>
      <c r="J19" s="32">
        <f>COUNTIF('Keyword Master Database'!$D$2:$D$137,A19)</f>
        <v>6</v>
      </c>
      <c r="K19" s="44">
        <f>SUMIFS('Keyword Master Database'!$H$2:$H$137,'Keyword Master Database'!$D$2:$D$137,A19,'Keyword Master Database'!$Z$2:$Z$137,"&lt;&gt;National")</f>
        <v>0</v>
      </c>
    </row>
    <row r="20">
      <c r="A20" s="30" t="s">
        <v>411</v>
      </c>
      <c r="B20" s="30" t="s">
        <v>410</v>
      </c>
      <c r="C20" s="30" t="s">
        <v>488</v>
      </c>
      <c r="D20" s="30" t="s">
        <v>489</v>
      </c>
      <c r="E20" s="30" t="s">
        <v>490</v>
      </c>
      <c r="F20" s="30" t="s">
        <v>18</v>
      </c>
      <c r="G20" s="30" t="s">
        <v>22</v>
      </c>
      <c r="H20" s="30" t="s">
        <v>412</v>
      </c>
      <c r="I20" s="30" t="s">
        <v>491</v>
      </c>
      <c r="J20" s="30">
        <f>COUNTIF('Keyword Master Database'!$D$2:$D$137,A20)</f>
        <v>4</v>
      </c>
      <c r="K20" s="43">
        <f>SUMIFS('Keyword Master Database'!$H$2:$H$137,'Keyword Master Database'!$D$2:$D$137,A20,'Keyword Master Database'!$Z$2:$Z$137,"&lt;&gt;National")</f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FB2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2" width="29.71"/>
    <col customWidth="1" min="3" max="3" width="45.14"/>
    <col customWidth="1" min="4" max="4" width="37.14"/>
    <col customWidth="1" min="5" max="6" width="42.14"/>
    <col customWidth="1" min="7" max="7" width="49.57"/>
    <col customWidth="1" min="8" max="8" width="31.86"/>
    <col customWidth="1" min="9" max="26" width="8.71"/>
  </cols>
  <sheetData>
    <row r="1" ht="33.75" customHeight="1">
      <c r="A1" s="28" t="s">
        <v>492</v>
      </c>
      <c r="B1" s="28" t="s">
        <v>493</v>
      </c>
      <c r="C1" s="28" t="s">
        <v>494</v>
      </c>
      <c r="D1" s="28" t="s">
        <v>495</v>
      </c>
      <c r="E1" s="28" t="s">
        <v>496</v>
      </c>
      <c r="F1" s="28" t="s">
        <v>497</v>
      </c>
      <c r="G1" s="28" t="s">
        <v>102</v>
      </c>
      <c r="H1" s="28" t="s">
        <v>498</v>
      </c>
    </row>
    <row r="2">
      <c r="A2" s="30" t="s">
        <v>499</v>
      </c>
      <c r="B2" s="30" t="s">
        <v>500</v>
      </c>
      <c r="C2" s="30" t="s">
        <v>501</v>
      </c>
      <c r="D2" s="30" t="s">
        <v>502</v>
      </c>
      <c r="E2" s="30" t="s">
        <v>503</v>
      </c>
      <c r="F2" s="30" t="s">
        <v>504</v>
      </c>
      <c r="G2" s="30" t="s">
        <v>505</v>
      </c>
      <c r="H2" s="30" t="s">
        <v>506</v>
      </c>
    </row>
    <row r="3">
      <c r="A3" s="32" t="s">
        <v>507</v>
      </c>
      <c r="B3" s="32" t="s">
        <v>508</v>
      </c>
      <c r="C3" s="32" t="s">
        <v>509</v>
      </c>
      <c r="D3" s="32" t="s">
        <v>510</v>
      </c>
      <c r="E3" s="32" t="s">
        <v>511</v>
      </c>
      <c r="F3" s="32" t="s">
        <v>512</v>
      </c>
      <c r="G3" s="32" t="s">
        <v>513</v>
      </c>
      <c r="H3" s="32" t="s">
        <v>514</v>
      </c>
    </row>
    <row r="4">
      <c r="A4" s="30" t="s">
        <v>515</v>
      </c>
      <c r="B4" s="30" t="s">
        <v>516</v>
      </c>
      <c r="C4" s="30" t="s">
        <v>517</v>
      </c>
      <c r="D4" s="30" t="s">
        <v>518</v>
      </c>
      <c r="E4" s="30" t="s">
        <v>519</v>
      </c>
      <c r="F4" s="30" t="s">
        <v>520</v>
      </c>
      <c r="G4" s="30" t="s">
        <v>521</v>
      </c>
      <c r="H4" s="30" t="s">
        <v>522</v>
      </c>
    </row>
    <row r="5">
      <c r="A5" s="32" t="s">
        <v>523</v>
      </c>
      <c r="B5" s="32" t="s">
        <v>524</v>
      </c>
      <c r="C5" s="32" t="s">
        <v>525</v>
      </c>
      <c r="D5" s="32" t="s">
        <v>526</v>
      </c>
      <c r="E5" s="32" t="s">
        <v>527</v>
      </c>
      <c r="F5" s="32" t="s">
        <v>528</v>
      </c>
      <c r="G5" s="32" t="s">
        <v>529</v>
      </c>
      <c r="H5" s="32" t="s">
        <v>530</v>
      </c>
    </row>
    <row r="6">
      <c r="A6" s="30" t="s">
        <v>531</v>
      </c>
      <c r="B6" s="30" t="s">
        <v>532</v>
      </c>
      <c r="C6" s="30" t="s">
        <v>533</v>
      </c>
      <c r="D6" s="30" t="s">
        <v>534</v>
      </c>
      <c r="E6" s="30" t="s">
        <v>535</v>
      </c>
      <c r="F6" s="30" t="s">
        <v>536</v>
      </c>
      <c r="G6" s="30" t="s">
        <v>537</v>
      </c>
      <c r="H6" s="30" t="s">
        <v>538</v>
      </c>
    </row>
    <row r="7">
      <c r="A7" s="32" t="s">
        <v>539</v>
      </c>
      <c r="B7" s="32" t="s">
        <v>540</v>
      </c>
      <c r="C7" s="32" t="s">
        <v>541</v>
      </c>
      <c r="D7" s="32" t="s">
        <v>542</v>
      </c>
      <c r="E7" s="32" t="s">
        <v>543</v>
      </c>
      <c r="F7" s="32" t="s">
        <v>544</v>
      </c>
      <c r="G7" s="32" t="s">
        <v>545</v>
      </c>
      <c r="H7" s="32" t="s">
        <v>546</v>
      </c>
    </row>
    <row r="8">
      <c r="A8" s="30" t="s">
        <v>547</v>
      </c>
      <c r="B8" s="30" t="s">
        <v>548</v>
      </c>
      <c r="C8" s="30" t="s">
        <v>549</v>
      </c>
      <c r="D8" s="30" t="s">
        <v>550</v>
      </c>
      <c r="E8" s="30" t="s">
        <v>551</v>
      </c>
      <c r="F8" s="30" t="s">
        <v>552</v>
      </c>
      <c r="G8" s="30" t="s">
        <v>553</v>
      </c>
      <c r="H8" s="30" t="s">
        <v>554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7.57"/>
    <col customWidth="1" min="2" max="2" width="40.14"/>
    <col customWidth="1" min="3" max="3" width="44.71"/>
    <col customWidth="1" min="4" max="4" width="94.57"/>
    <col customWidth="1" min="5" max="5" width="13.0"/>
    <col customWidth="1" min="6" max="6" width="9.14"/>
    <col customWidth="1" min="7" max="7" width="9.29"/>
    <col customWidth="1" min="8" max="8" width="8.71"/>
    <col customWidth="1" min="9" max="9" width="15.71"/>
    <col customWidth="1" min="10" max="26" width="8.71"/>
  </cols>
  <sheetData>
    <row r="1" ht="33.75" customHeight="1">
      <c r="A1" s="20" t="s">
        <v>493</v>
      </c>
      <c r="B1" s="20" t="s">
        <v>555</v>
      </c>
      <c r="C1" s="20" t="s">
        <v>418</v>
      </c>
      <c r="D1" s="20" t="s">
        <v>419</v>
      </c>
      <c r="E1" s="20" t="s">
        <v>422</v>
      </c>
      <c r="F1" s="20" t="s">
        <v>130</v>
      </c>
      <c r="G1" s="20" t="s">
        <v>556</v>
      </c>
      <c r="H1" s="20" t="s">
        <v>557</v>
      </c>
      <c r="I1" s="20" t="s">
        <v>558</v>
      </c>
    </row>
    <row r="2">
      <c r="A2" s="30" t="s">
        <v>159</v>
      </c>
      <c r="B2" s="30" t="s">
        <v>430</v>
      </c>
      <c r="C2" s="30" t="s">
        <v>180</v>
      </c>
      <c r="D2" s="30" t="s">
        <v>559</v>
      </c>
      <c r="E2" s="31" t="str">
        <f t="array" ref="E2">INDEX('Keyword Master Database'!$E$2:$E$137,MATCH(C2,'Keyword Master Database'!$A$2:$A$137,0))</f>
        <v>Transactional</v>
      </c>
      <c r="F2" s="31" t="str">
        <f t="array" ref="F2">INDEX('Keyword Master Database'!$F$2:$F$137,MATCH(C2,'Keyword Master Database'!$A$2:$A$137,0))</f>
        <v>BOFU</v>
      </c>
      <c r="G2" s="31" t="s">
        <v>560</v>
      </c>
      <c r="H2" s="31" t="s">
        <v>165</v>
      </c>
      <c r="I2" s="31" t="s">
        <v>26</v>
      </c>
    </row>
    <row r="3">
      <c r="A3" s="32" t="s">
        <v>190</v>
      </c>
      <c r="B3" s="32" t="s">
        <v>561</v>
      </c>
      <c r="C3" s="32" t="s">
        <v>188</v>
      </c>
      <c r="D3" s="32" t="s">
        <v>562</v>
      </c>
      <c r="E3" s="33" t="str">
        <f t="array" ref="E3">INDEX('Keyword Master Database'!$E$2:$E$137,MATCH(C3,'Keyword Master Database'!$A$2:$A$137,0))</f>
        <v>Transactional</v>
      </c>
      <c r="F3" s="33" t="str">
        <f t="array" ref="F3">INDEX('Keyword Master Database'!$F$2:$F$137,MATCH(C3,'Keyword Master Database'!$A$2:$A$137,0))</f>
        <v>BOFU</v>
      </c>
      <c r="G3" s="33" t="s">
        <v>560</v>
      </c>
      <c r="H3" s="33" t="s">
        <v>165</v>
      </c>
      <c r="I3" s="33" t="s">
        <v>27</v>
      </c>
    </row>
    <row r="4">
      <c r="A4" s="30" t="s">
        <v>205</v>
      </c>
      <c r="B4" s="30" t="s">
        <v>563</v>
      </c>
      <c r="C4" s="30" t="s">
        <v>202</v>
      </c>
      <c r="D4" s="30" t="s">
        <v>564</v>
      </c>
      <c r="E4" s="31" t="str">
        <f t="array" ref="E4">INDEX('Keyword Master Database'!$E$2:$E$137,MATCH(C4,'Keyword Master Database'!$A$2:$A$137,0))</f>
        <v>Transactional</v>
      </c>
      <c r="F4" s="31" t="str">
        <f t="array" ref="F4">INDEX('Keyword Master Database'!$F$2:$F$137,MATCH(C4,'Keyword Master Database'!$A$2:$A$137,0))</f>
        <v>BOFU</v>
      </c>
      <c r="G4" s="31" t="s">
        <v>560</v>
      </c>
      <c r="H4" s="31" t="s">
        <v>165</v>
      </c>
      <c r="I4" s="31" t="s">
        <v>27</v>
      </c>
    </row>
    <row r="5">
      <c r="A5" s="32" t="s">
        <v>221</v>
      </c>
      <c r="B5" s="32" t="s">
        <v>565</v>
      </c>
      <c r="C5" s="32" t="s">
        <v>218</v>
      </c>
      <c r="D5" s="32" t="s">
        <v>566</v>
      </c>
      <c r="E5" s="33" t="str">
        <f t="array" ref="E5">INDEX('Keyword Master Database'!$E$2:$E$137,MATCH(C5,'Keyword Master Database'!$A$2:$A$137,0))</f>
        <v>Transactional</v>
      </c>
      <c r="F5" s="33" t="str">
        <f t="array" ref="F5">INDEX('Keyword Master Database'!$F$2:$F$137,MATCH(C5,'Keyword Master Database'!$A$2:$A$137,0))</f>
        <v>BOFU</v>
      </c>
      <c r="G5" s="33" t="s">
        <v>560</v>
      </c>
      <c r="H5" s="33" t="s">
        <v>165</v>
      </c>
      <c r="I5" s="33" t="s">
        <v>27</v>
      </c>
    </row>
    <row r="6">
      <c r="A6" s="30" t="s">
        <v>351</v>
      </c>
      <c r="B6" s="30" t="s">
        <v>567</v>
      </c>
      <c r="C6" s="30" t="s">
        <v>348</v>
      </c>
      <c r="D6" s="30" t="s">
        <v>568</v>
      </c>
      <c r="E6" s="31" t="str">
        <f t="array" ref="E6">INDEX('Keyword Master Database'!$E$2:$E$137,MATCH(C6,'Keyword Master Database'!$A$2:$A$137,0))</f>
        <v>Transactional</v>
      </c>
      <c r="F6" s="31" t="str">
        <f t="array" ref="F6">INDEX('Keyword Master Database'!$F$2:$F$137,MATCH(C6,'Keyword Master Database'!$A$2:$A$137,0))</f>
        <v>BOFU</v>
      </c>
      <c r="G6" s="31" t="s">
        <v>560</v>
      </c>
      <c r="H6" s="31" t="s">
        <v>165</v>
      </c>
      <c r="I6" s="31" t="s">
        <v>27</v>
      </c>
    </row>
    <row r="7">
      <c r="A7" s="32" t="s">
        <v>241</v>
      </c>
      <c r="B7" s="32" t="s">
        <v>569</v>
      </c>
      <c r="C7" s="32" t="s">
        <v>238</v>
      </c>
      <c r="D7" s="32" t="s">
        <v>570</v>
      </c>
      <c r="E7" s="33" t="str">
        <f t="array" ref="E7">INDEX('Keyword Master Database'!$E$2:$E$137,MATCH(C7,'Keyword Master Database'!$A$2:$A$137,0))</f>
        <v>Transactional</v>
      </c>
      <c r="F7" s="33" t="str">
        <f t="array" ref="F7">INDEX('Keyword Master Database'!$F$2:$F$137,MATCH(C7,'Keyword Master Database'!$A$2:$A$137,0))</f>
        <v>BOFU</v>
      </c>
      <c r="G7" s="33" t="s">
        <v>560</v>
      </c>
      <c r="H7" s="33" t="s">
        <v>165</v>
      </c>
      <c r="I7" s="33" t="s">
        <v>27</v>
      </c>
    </row>
    <row r="8">
      <c r="A8" s="30" t="s">
        <v>255</v>
      </c>
      <c r="B8" s="30" t="s">
        <v>254</v>
      </c>
      <c r="C8" s="30" t="s">
        <v>252</v>
      </c>
      <c r="D8" s="30" t="s">
        <v>571</v>
      </c>
      <c r="E8" s="31" t="str">
        <f t="array" ref="E8">INDEX('Keyword Master Database'!$E$2:$E$137,MATCH(C8,'Keyword Master Database'!$A$2:$A$137,0))</f>
        <v>Transactional</v>
      </c>
      <c r="F8" s="31" t="str">
        <f t="array" ref="F8">INDEX('Keyword Master Database'!$F$2:$F$137,MATCH(C8,'Keyword Master Database'!$A$2:$A$137,0))</f>
        <v>BOFU</v>
      </c>
      <c r="G8" s="31" t="s">
        <v>560</v>
      </c>
      <c r="H8" s="31" t="s">
        <v>165</v>
      </c>
      <c r="I8" s="31" t="s">
        <v>27</v>
      </c>
    </row>
    <row r="9">
      <c r="A9" s="32" t="s">
        <v>264</v>
      </c>
      <c r="B9" s="32" t="s">
        <v>572</v>
      </c>
      <c r="C9" s="32" t="s">
        <v>262</v>
      </c>
      <c r="D9" s="32" t="s">
        <v>573</v>
      </c>
      <c r="E9" s="33" t="str">
        <f t="array" ref="E9">INDEX('Keyword Master Database'!$E$2:$E$137,MATCH(C9,'Keyword Master Database'!$A$2:$A$137,0))</f>
        <v>Transactional</v>
      </c>
      <c r="F9" s="33" t="str">
        <f t="array" ref="F9">INDEX('Keyword Master Database'!$F$2:$F$137,MATCH(C9,'Keyword Master Database'!$A$2:$A$137,0))</f>
        <v>BOFU</v>
      </c>
      <c r="G9" s="33" t="s">
        <v>560</v>
      </c>
      <c r="H9" s="33" t="s">
        <v>165</v>
      </c>
      <c r="I9" s="33" t="s">
        <v>27</v>
      </c>
    </row>
    <row r="10">
      <c r="A10" s="30" t="s">
        <v>340</v>
      </c>
      <c r="B10" s="30" t="s">
        <v>574</v>
      </c>
      <c r="C10" s="30" t="s">
        <v>337</v>
      </c>
      <c r="D10" s="30" t="s">
        <v>575</v>
      </c>
      <c r="E10" s="31" t="str">
        <f t="array" ref="E10">INDEX('Keyword Master Database'!$E$2:$E$137,MATCH(C10,'Keyword Master Database'!$A$2:$A$137,0))</f>
        <v>Transactional</v>
      </c>
      <c r="F10" s="31" t="str">
        <f t="array" ref="F10">INDEX('Keyword Master Database'!$F$2:$F$137,MATCH(C10,'Keyword Master Database'!$A$2:$A$137,0))</f>
        <v>BOFU</v>
      </c>
      <c r="G10" s="31" t="s">
        <v>560</v>
      </c>
      <c r="H10" s="31" t="s">
        <v>165</v>
      </c>
      <c r="I10" s="31" t="s">
        <v>26</v>
      </c>
    </row>
    <row r="11">
      <c r="A11" s="32" t="s">
        <v>274</v>
      </c>
      <c r="B11" s="32" t="s">
        <v>576</v>
      </c>
      <c r="C11" s="32" t="s">
        <v>272</v>
      </c>
      <c r="D11" s="32" t="s">
        <v>577</v>
      </c>
      <c r="E11" s="33" t="str">
        <f t="array" ref="E11">INDEX('Keyword Master Database'!$E$2:$E$137,MATCH(C11,'Keyword Master Database'!$A$2:$A$137,0))</f>
        <v>Transactional</v>
      </c>
      <c r="F11" s="33" t="str">
        <f t="array" ref="F11">INDEX('Keyword Master Database'!$F$2:$F$137,MATCH(C11,'Keyword Master Database'!$A$2:$A$137,0))</f>
        <v>BOFU</v>
      </c>
      <c r="G11" s="33" t="s">
        <v>560</v>
      </c>
      <c r="H11" s="33" t="s">
        <v>165</v>
      </c>
      <c r="I11" s="33" t="s">
        <v>26</v>
      </c>
    </row>
    <row r="12">
      <c r="A12" s="30" t="s">
        <v>282</v>
      </c>
      <c r="B12" s="30" t="s">
        <v>281</v>
      </c>
      <c r="C12" s="30" t="s">
        <v>279</v>
      </c>
      <c r="D12" s="30" t="s">
        <v>578</v>
      </c>
      <c r="E12" s="31" t="str">
        <f t="array" ref="E12">INDEX('Keyword Master Database'!$E$2:$E$137,MATCH(C12,'Keyword Master Database'!$A$2:$A$137,0))</f>
        <v>Transactional</v>
      </c>
      <c r="F12" s="31" t="str">
        <f t="array" ref="F12">INDEX('Keyword Master Database'!$F$2:$F$137,MATCH(C12,'Keyword Master Database'!$A$2:$A$137,0))</f>
        <v>BOFU</v>
      </c>
      <c r="G12" s="31" t="s">
        <v>560</v>
      </c>
      <c r="H12" s="31" t="s">
        <v>165</v>
      </c>
      <c r="I12" s="31" t="s">
        <v>27</v>
      </c>
    </row>
    <row r="13">
      <c r="A13" s="32" t="s">
        <v>295</v>
      </c>
      <c r="B13" s="32" t="s">
        <v>579</v>
      </c>
      <c r="C13" s="32" t="s">
        <v>293</v>
      </c>
      <c r="D13" s="32" t="s">
        <v>580</v>
      </c>
      <c r="E13" s="33" t="str">
        <f t="array" ref="E13">INDEX('Keyword Master Database'!$E$2:$E$137,MATCH(C13,'Keyword Master Database'!$A$2:$A$137,0))</f>
        <v>Transactional</v>
      </c>
      <c r="F13" s="33" t="str">
        <f t="array" ref="F13">INDEX('Keyword Master Database'!$F$2:$F$137,MATCH(C13,'Keyword Master Database'!$A$2:$A$137,0))</f>
        <v>BOFU</v>
      </c>
      <c r="G13" s="33" t="s">
        <v>560</v>
      </c>
      <c r="H13" s="33" t="s">
        <v>165</v>
      </c>
      <c r="I13" s="33" t="s">
        <v>27</v>
      </c>
    </row>
    <row r="14">
      <c r="A14" s="30" t="s">
        <v>305</v>
      </c>
      <c r="B14" s="30" t="s">
        <v>581</v>
      </c>
      <c r="C14" s="30" t="s">
        <v>303</v>
      </c>
      <c r="D14" s="30" t="s">
        <v>582</v>
      </c>
      <c r="E14" s="31" t="str">
        <f t="array" ref="E14">INDEX('Keyword Master Database'!$E$2:$E$137,MATCH(C14,'Keyword Master Database'!$A$2:$A$137,0))</f>
        <v>Transactional</v>
      </c>
      <c r="F14" s="31" t="str">
        <f t="array" ref="F14">INDEX('Keyword Master Database'!$F$2:$F$137,MATCH(C14,'Keyword Master Database'!$A$2:$A$137,0))</f>
        <v>BOFU</v>
      </c>
      <c r="G14" s="31" t="s">
        <v>560</v>
      </c>
      <c r="H14" s="31" t="s">
        <v>165</v>
      </c>
      <c r="I14" s="31" t="s">
        <v>26</v>
      </c>
    </row>
    <row r="15">
      <c r="A15" s="32" t="s">
        <v>321</v>
      </c>
      <c r="B15" s="32" t="s">
        <v>320</v>
      </c>
      <c r="C15" s="32" t="s">
        <v>319</v>
      </c>
      <c r="D15" s="32" t="s">
        <v>462</v>
      </c>
      <c r="E15" s="33" t="str">
        <f t="array" ref="E15">INDEX('Keyword Master Database'!$E$2:$E$137,MATCH(C15,'Keyword Master Database'!$A$2:$A$137,0))</f>
        <v>Transactional</v>
      </c>
      <c r="F15" s="33" t="str">
        <f t="array" ref="F15">INDEX('Keyword Master Database'!$F$2:$F$137,MATCH(C15,'Keyword Master Database'!$A$2:$A$137,0))</f>
        <v>BOFU</v>
      </c>
      <c r="G15" s="33" t="s">
        <v>560</v>
      </c>
      <c r="H15" s="33" t="s">
        <v>165</v>
      </c>
      <c r="I15" s="33" t="s">
        <v>26</v>
      </c>
    </row>
    <row r="16">
      <c r="A16" s="30" t="s">
        <v>329</v>
      </c>
      <c r="B16" s="30" t="s">
        <v>328</v>
      </c>
      <c r="C16" s="30" t="s">
        <v>327</v>
      </c>
      <c r="D16" s="30" t="s">
        <v>583</v>
      </c>
      <c r="E16" s="31" t="str">
        <f t="array" ref="E16">INDEX('Keyword Master Database'!$E$2:$E$137,MATCH(C16,'Keyword Master Database'!$A$2:$A$137,0))</f>
        <v>Transactional</v>
      </c>
      <c r="F16" s="31" t="str">
        <f t="array" ref="F16">INDEX('Keyword Master Database'!$F$2:$F$137,MATCH(C16,'Keyword Master Database'!$A$2:$A$137,0))</f>
        <v>BOFU</v>
      </c>
      <c r="G16" s="31" t="s">
        <v>560</v>
      </c>
      <c r="H16" s="31" t="s">
        <v>165</v>
      </c>
      <c r="I16" s="31" t="s">
        <v>26</v>
      </c>
    </row>
    <row r="17">
      <c r="A17" s="32" t="s">
        <v>412</v>
      </c>
      <c r="B17" s="32" t="s">
        <v>584</v>
      </c>
      <c r="C17" s="32" t="s">
        <v>410</v>
      </c>
      <c r="D17" s="32" t="s">
        <v>488</v>
      </c>
      <c r="E17" s="33" t="str">
        <f t="array" ref="E17">INDEX('Keyword Master Database'!$E$2:$E$137,MATCH(C17,'Keyword Master Database'!$A$2:$A$137,0))</f>
        <v>Transactional</v>
      </c>
      <c r="F17" s="33" t="str">
        <f t="array" ref="F17">INDEX('Keyword Master Database'!$F$2:$F$137,MATCH(C17,'Keyword Master Database'!$A$2:$A$137,0))</f>
        <v>BOFU</v>
      </c>
      <c r="G17" s="33" t="s">
        <v>560</v>
      </c>
      <c r="H17" s="33" t="s">
        <v>165</v>
      </c>
      <c r="I17" s="33" t="s">
        <v>26</v>
      </c>
    </row>
    <row r="18">
      <c r="A18" s="30" t="s">
        <v>170</v>
      </c>
      <c r="B18" s="30" t="s">
        <v>585</v>
      </c>
      <c r="C18" s="30" t="s">
        <v>169</v>
      </c>
      <c r="D18" s="30" t="s">
        <v>562</v>
      </c>
      <c r="E18" s="31" t="str">
        <f t="array" ref="E18">INDEX('Keyword Master Database'!$E$2:$E$137,MATCH(C18,'Keyword Master Database'!$A$2:$A$137,0))</f>
        <v>Navigational</v>
      </c>
      <c r="F18" s="31" t="str">
        <f t="array" ref="F18">INDEX('Keyword Master Database'!$F$2:$F$137,MATCH(C18,'Keyword Master Database'!$A$2:$A$137,0))</f>
        <v>MOFU</v>
      </c>
      <c r="G18" s="31" t="s">
        <v>560</v>
      </c>
      <c r="H18" s="31" t="s">
        <v>165</v>
      </c>
      <c r="I18" s="31" t="s">
        <v>27</v>
      </c>
    </row>
    <row r="19">
      <c r="A19" s="32" t="s">
        <v>173</v>
      </c>
      <c r="B19" s="32" t="s">
        <v>586</v>
      </c>
      <c r="C19" s="32" t="s">
        <v>172</v>
      </c>
      <c r="D19" s="32" t="s">
        <v>175</v>
      </c>
      <c r="E19" s="33" t="str">
        <f t="array" ref="E19">INDEX('Keyword Master Database'!$E$2:$E$137,MATCH(C19,'Keyword Master Database'!$A$2:$A$137,0))</f>
        <v>Navigational</v>
      </c>
      <c r="F19" s="33" t="str">
        <f t="array" ref="F19">INDEX('Keyword Master Database'!$F$2:$F$137,MATCH(C19,'Keyword Master Database'!$A$2:$A$137,0))</f>
        <v>BOFU</v>
      </c>
      <c r="G19" s="33" t="s">
        <v>560</v>
      </c>
      <c r="H19" s="33" t="s">
        <v>165</v>
      </c>
      <c r="I19" s="33" t="s">
        <v>27</v>
      </c>
    </row>
    <row r="20">
      <c r="A20" s="30" t="s">
        <v>198</v>
      </c>
      <c r="B20" s="30" t="s">
        <v>587</v>
      </c>
      <c r="C20" s="30" t="s">
        <v>197</v>
      </c>
      <c r="D20" s="30" t="s">
        <v>199</v>
      </c>
      <c r="E20" s="31" t="str">
        <f t="array" ref="E20">INDEX('Keyword Master Database'!$E$2:$E$137,MATCH(C20,'Keyword Master Database'!$A$2:$A$137,0))</f>
        <v>Transactional</v>
      </c>
      <c r="F20" s="31" t="str">
        <f t="array" ref="F20">INDEX('Keyword Master Database'!$F$2:$F$137,MATCH(C20,'Keyword Master Database'!$A$2:$A$137,0))</f>
        <v>BOFU</v>
      </c>
      <c r="G20" s="31" t="s">
        <v>560</v>
      </c>
      <c r="H20" s="31" t="s">
        <v>165</v>
      </c>
      <c r="I20" s="31" t="s">
        <v>27</v>
      </c>
    </row>
    <row r="21" ht="15.75" customHeight="1">
      <c r="A21" s="32" t="s">
        <v>382</v>
      </c>
      <c r="B21" s="32" t="s">
        <v>588</v>
      </c>
      <c r="C21" s="32" t="s">
        <v>381</v>
      </c>
      <c r="D21" s="32" t="s">
        <v>589</v>
      </c>
      <c r="E21" s="33" t="str">
        <f t="array" ref="E21">INDEX('Keyword Master Database'!$E$2:$E$137,MATCH(C21,'Keyword Master Database'!$A$2:$A$137,0))</f>
        <v>Transactional</v>
      </c>
      <c r="F21" s="33" t="str">
        <f t="array" ref="F21">INDEX('Keyword Master Database'!$F$2:$F$137,MATCH(C21,'Keyword Master Database'!$A$2:$A$137,0))</f>
        <v>BOFU</v>
      </c>
      <c r="G21" s="33" t="s">
        <v>590</v>
      </c>
      <c r="H21" s="33" t="s">
        <v>179</v>
      </c>
      <c r="I21" s="33" t="s">
        <v>26</v>
      </c>
    </row>
    <row r="22" ht="15.75" customHeight="1">
      <c r="A22" s="30" t="s">
        <v>372</v>
      </c>
      <c r="B22" s="30" t="s">
        <v>591</v>
      </c>
      <c r="C22" s="30" t="s">
        <v>369</v>
      </c>
      <c r="D22" s="30" t="s">
        <v>592</v>
      </c>
      <c r="E22" s="31" t="str">
        <f t="array" ref="E22">INDEX('Keyword Master Database'!$E$2:$E$137,MATCH(C22,'Keyword Master Database'!$A$2:$A$137,0))</f>
        <v>Transactional</v>
      </c>
      <c r="F22" s="31" t="str">
        <f t="array" ref="F22">INDEX('Keyword Master Database'!$F$2:$F$137,MATCH(C22,'Keyword Master Database'!$A$2:$A$137,0))</f>
        <v>BOFU</v>
      </c>
      <c r="G22" s="31" t="s">
        <v>590</v>
      </c>
      <c r="H22" s="31" t="s">
        <v>179</v>
      </c>
      <c r="I22" s="31" t="s">
        <v>27</v>
      </c>
    </row>
    <row r="23" ht="15.75" customHeight="1">
      <c r="A23" s="32" t="s">
        <v>375</v>
      </c>
      <c r="B23" s="32" t="s">
        <v>593</v>
      </c>
      <c r="C23" s="32" t="s">
        <v>374</v>
      </c>
      <c r="D23" s="32" t="s">
        <v>380</v>
      </c>
      <c r="E23" s="33" t="str">
        <f t="array" ref="E23">INDEX('Keyword Master Database'!$E$2:$E$137,MATCH(C23,'Keyword Master Database'!$A$2:$A$137,0))</f>
        <v>Transactional</v>
      </c>
      <c r="F23" s="33" t="str">
        <f t="array" ref="F23">INDEX('Keyword Master Database'!$F$2:$F$137,MATCH(C23,'Keyword Master Database'!$A$2:$A$137,0))</f>
        <v>BOFU</v>
      </c>
      <c r="G23" s="33" t="s">
        <v>590</v>
      </c>
      <c r="H23" s="33" t="s">
        <v>179</v>
      </c>
      <c r="I23" s="33" t="s">
        <v>27</v>
      </c>
    </row>
    <row r="24" ht="15.75" customHeight="1">
      <c r="A24" s="30" t="s">
        <v>178</v>
      </c>
      <c r="B24" s="30" t="s">
        <v>594</v>
      </c>
      <c r="C24" s="30" t="s">
        <v>357</v>
      </c>
      <c r="D24" s="30" t="s">
        <v>595</v>
      </c>
      <c r="E24" s="31" t="str">
        <f t="array" ref="E24">INDEX('Keyword Master Database'!$E$2:$E$137,MATCH(C24,'Keyword Master Database'!$A$2:$A$137,0))</f>
        <v>Transactional</v>
      </c>
      <c r="F24" s="31" t="str">
        <f t="array" ref="F24">INDEX('Keyword Master Database'!$F$2:$F$137,MATCH(C24,'Keyword Master Database'!$A$2:$A$137,0))</f>
        <v>BOFU</v>
      </c>
      <c r="G24" s="31" t="s">
        <v>590</v>
      </c>
      <c r="H24" s="31" t="s">
        <v>179</v>
      </c>
      <c r="I24" s="31" t="s">
        <v>27</v>
      </c>
    </row>
    <row r="25" ht="15.75" customHeight="1">
      <c r="A25" s="32" t="s">
        <v>214</v>
      </c>
      <c r="B25" s="32" t="s">
        <v>596</v>
      </c>
      <c r="C25" s="32" t="s">
        <v>213</v>
      </c>
      <c r="D25" s="32" t="s">
        <v>216</v>
      </c>
      <c r="E25" s="33" t="str">
        <f t="array" ref="E25">INDEX('Keyword Master Database'!$E$2:$E$137,MATCH(C25,'Keyword Master Database'!$A$2:$A$137,0))</f>
        <v>Transactional</v>
      </c>
      <c r="F25" s="33" t="str">
        <f t="array" ref="F25">INDEX('Keyword Master Database'!$F$2:$F$137,MATCH(C25,'Keyword Master Database'!$A$2:$A$137,0))</f>
        <v>BOFU</v>
      </c>
      <c r="G25" s="33" t="s">
        <v>590</v>
      </c>
      <c r="H25" s="33" t="s">
        <v>179</v>
      </c>
      <c r="I25" s="33" t="s">
        <v>26</v>
      </c>
    </row>
    <row r="26" ht="15.75" customHeight="1">
      <c r="A26" s="30" t="s">
        <v>310</v>
      </c>
      <c r="B26" s="30" t="s">
        <v>597</v>
      </c>
      <c r="C26" s="30" t="s">
        <v>309</v>
      </c>
      <c r="D26" s="30" t="s">
        <v>562</v>
      </c>
      <c r="E26" s="31" t="str">
        <f t="array" ref="E26">INDEX('Keyword Master Database'!$E$2:$E$137,MATCH(C26,'Keyword Master Database'!$A$2:$A$137,0))</f>
        <v>Commercial</v>
      </c>
      <c r="F26" s="31" t="str">
        <f t="array" ref="F26">INDEX('Keyword Master Database'!$F$2:$F$137,MATCH(C26,'Keyword Master Database'!$A$2:$A$137,0))</f>
        <v>MOFU</v>
      </c>
      <c r="G26" s="31" t="s">
        <v>590</v>
      </c>
      <c r="H26" s="31" t="s">
        <v>179</v>
      </c>
      <c r="I26" s="31" t="s">
        <v>27</v>
      </c>
    </row>
    <row r="27" ht="15.75" customHeight="1">
      <c r="A27" s="32" t="s">
        <v>312</v>
      </c>
      <c r="B27" s="32" t="s">
        <v>598</v>
      </c>
      <c r="C27" s="32" t="s">
        <v>311</v>
      </c>
      <c r="D27" s="32" t="s">
        <v>562</v>
      </c>
      <c r="E27" s="33" t="str">
        <f t="array" ref="E27">INDEX('Keyword Master Database'!$E$2:$E$137,MATCH(C27,'Keyword Master Database'!$A$2:$A$137,0))</f>
        <v>Commercial</v>
      </c>
      <c r="F27" s="33" t="str">
        <f t="array" ref="F27">INDEX('Keyword Master Database'!$F$2:$F$137,MATCH(C27,'Keyword Master Database'!$A$2:$A$137,0))</f>
        <v>MOFU</v>
      </c>
      <c r="G27" s="33" t="s">
        <v>590</v>
      </c>
      <c r="H27" s="33" t="s">
        <v>179</v>
      </c>
      <c r="I27" s="33" t="s">
        <v>27</v>
      </c>
    </row>
    <row r="28" ht="15.75" customHeight="1">
      <c r="A28" s="30" t="s">
        <v>234</v>
      </c>
      <c r="B28" s="30" t="s">
        <v>599</v>
      </c>
      <c r="C28" s="30" t="s">
        <v>233</v>
      </c>
      <c r="D28" s="30" t="s">
        <v>235</v>
      </c>
      <c r="E28" s="31" t="str">
        <f t="array" ref="E28">INDEX('Keyword Master Database'!$E$2:$E$137,MATCH(C28,'Keyword Master Database'!$A$2:$A$137,0))</f>
        <v>Informational</v>
      </c>
      <c r="F28" s="31" t="str">
        <f t="array" ref="F28">INDEX('Keyword Master Database'!$F$2:$F$137,MATCH(C28,'Keyword Master Database'!$A$2:$A$137,0))</f>
        <v>TOFU</v>
      </c>
      <c r="G28" s="31" t="s">
        <v>590</v>
      </c>
      <c r="H28" s="31" t="s">
        <v>179</v>
      </c>
      <c r="I28" s="31" t="s">
        <v>27</v>
      </c>
    </row>
    <row r="29" ht="15.75" customHeight="1">
      <c r="A29" s="32" t="s">
        <v>292</v>
      </c>
      <c r="B29" s="32" t="s">
        <v>600</v>
      </c>
      <c r="C29" s="32" t="s">
        <v>291</v>
      </c>
      <c r="D29" s="32" t="s">
        <v>562</v>
      </c>
      <c r="E29" s="33" t="str">
        <f t="array" ref="E29">INDEX('Keyword Master Database'!$E$2:$E$137,MATCH(C29,'Keyword Master Database'!$A$2:$A$137,0))</f>
        <v>Commercial</v>
      </c>
      <c r="F29" s="33" t="str">
        <f t="array" ref="F29">INDEX('Keyword Master Database'!$F$2:$F$137,MATCH(C29,'Keyword Master Database'!$A$2:$A$137,0))</f>
        <v>MOFU</v>
      </c>
      <c r="G29" s="33" t="s">
        <v>590</v>
      </c>
      <c r="H29" s="33" t="s">
        <v>179</v>
      </c>
      <c r="I29" s="33" t="s">
        <v>27</v>
      </c>
    </row>
    <row r="30" ht="15.75" customHeight="1">
      <c r="A30" s="30" t="s">
        <v>287</v>
      </c>
      <c r="B30" s="30" t="s">
        <v>601</v>
      </c>
      <c r="C30" s="30" t="s">
        <v>286</v>
      </c>
      <c r="D30" s="30" t="s">
        <v>562</v>
      </c>
      <c r="E30" s="31" t="str">
        <f t="array" ref="E30">INDEX('Keyword Master Database'!$E$2:$E$137,MATCH(C30,'Keyword Master Database'!$A$2:$A$137,0))</f>
        <v>Informational</v>
      </c>
      <c r="F30" s="31" t="str">
        <f t="array" ref="F30">INDEX('Keyword Master Database'!$F$2:$F$137,MATCH(C30,'Keyword Master Database'!$A$2:$A$137,0))</f>
        <v>TOFU</v>
      </c>
      <c r="G30" s="31" t="s">
        <v>590</v>
      </c>
      <c r="H30" s="31" t="s">
        <v>179</v>
      </c>
      <c r="I30" s="31" t="s">
        <v>27</v>
      </c>
    </row>
    <row r="31" ht="15.75" customHeight="1">
      <c r="A31" s="32" t="s">
        <v>289</v>
      </c>
      <c r="B31" s="32" t="s">
        <v>602</v>
      </c>
      <c r="C31" s="32" t="s">
        <v>288</v>
      </c>
      <c r="D31" s="32" t="s">
        <v>290</v>
      </c>
      <c r="E31" s="33" t="str">
        <f t="array" ref="E31">INDEX('Keyword Master Database'!$E$2:$E$137,MATCH(C31,'Keyword Master Database'!$A$2:$A$137,0))</f>
        <v>Informational</v>
      </c>
      <c r="F31" s="33" t="str">
        <f t="array" ref="F31">INDEX('Keyword Master Database'!$F$2:$F$137,MATCH(C31,'Keyword Master Database'!$A$2:$A$137,0))</f>
        <v>TOFU</v>
      </c>
      <c r="G31" s="33" t="s">
        <v>590</v>
      </c>
      <c r="H31" s="33" t="s">
        <v>179</v>
      </c>
      <c r="I31" s="33" t="s">
        <v>27</v>
      </c>
    </row>
    <row r="32" ht="15.75" customHeight="1">
      <c r="A32" s="30" t="s">
        <v>278</v>
      </c>
      <c r="B32" s="30" t="s">
        <v>603</v>
      </c>
      <c r="C32" s="30" t="s">
        <v>277</v>
      </c>
      <c r="D32" s="30" t="s">
        <v>562</v>
      </c>
      <c r="E32" s="31" t="str">
        <f t="array" ref="E32">INDEX('Keyword Master Database'!$E$2:$E$137,MATCH(C32,'Keyword Master Database'!$A$2:$A$137,0))</f>
        <v>Commercial</v>
      </c>
      <c r="F32" s="31" t="str">
        <f t="array" ref="F32">INDEX('Keyword Master Database'!$F$2:$F$137,MATCH(C32,'Keyword Master Database'!$A$2:$A$137,0))</f>
        <v>MOFU</v>
      </c>
      <c r="G32" s="31" t="s">
        <v>590</v>
      </c>
      <c r="H32" s="31" t="s">
        <v>179</v>
      </c>
      <c r="I32" s="31" t="s">
        <v>27</v>
      </c>
    </row>
    <row r="33" ht="15.75" customHeight="1">
      <c r="A33" s="32" t="s">
        <v>336</v>
      </c>
      <c r="B33" s="32" t="s">
        <v>604</v>
      </c>
      <c r="C33" s="32" t="s">
        <v>335</v>
      </c>
      <c r="D33" s="32" t="s">
        <v>562</v>
      </c>
      <c r="E33" s="33" t="str">
        <f t="array" ref="E33">INDEX('Keyword Master Database'!$E$2:$E$137,MATCH(C33,'Keyword Master Database'!$A$2:$A$137,0))</f>
        <v>Commercial</v>
      </c>
      <c r="F33" s="33" t="str">
        <f t="array" ref="F33">INDEX('Keyword Master Database'!$F$2:$F$137,MATCH(C33,'Keyword Master Database'!$A$2:$A$137,0))</f>
        <v>MOFU</v>
      </c>
      <c r="G33" s="33" t="s">
        <v>590</v>
      </c>
      <c r="H33" s="33" t="s">
        <v>179</v>
      </c>
      <c r="I33" s="33" t="s">
        <v>27</v>
      </c>
    </row>
    <row r="34" ht="15.75" customHeight="1">
      <c r="A34" s="30" t="s">
        <v>347</v>
      </c>
      <c r="B34" s="30" t="s">
        <v>605</v>
      </c>
      <c r="C34" s="30" t="s">
        <v>346</v>
      </c>
      <c r="D34" s="30" t="s">
        <v>562</v>
      </c>
      <c r="E34" s="31" t="str">
        <f t="array" ref="E34">INDEX('Keyword Master Database'!$E$2:$E$137,MATCH(C34,'Keyword Master Database'!$A$2:$A$137,0))</f>
        <v>Commercial</v>
      </c>
      <c r="F34" s="31" t="str">
        <f t="array" ref="F34">INDEX('Keyword Master Database'!$F$2:$F$137,MATCH(C34,'Keyword Master Database'!$A$2:$A$137,0))</f>
        <v>MOFU</v>
      </c>
      <c r="G34" s="31" t="s">
        <v>590</v>
      </c>
      <c r="H34" s="31" t="s">
        <v>179</v>
      </c>
      <c r="I34" s="31" t="s">
        <v>27</v>
      </c>
    </row>
    <row r="35" ht="15.75" customHeight="1">
      <c r="A35" s="32" t="s">
        <v>404</v>
      </c>
      <c r="B35" s="32" t="s">
        <v>606</v>
      </c>
      <c r="C35" s="32" t="s">
        <v>402</v>
      </c>
      <c r="D35" s="32" t="s">
        <v>562</v>
      </c>
      <c r="E35" s="33" t="str">
        <f t="array" ref="E35">INDEX('Keyword Master Database'!$E$2:$E$137,MATCH(C35,'Keyword Master Database'!$A$2:$A$137,0))</f>
        <v>Commercial</v>
      </c>
      <c r="F35" s="33" t="str">
        <f t="array" ref="F35">INDEX('Keyword Master Database'!$F$2:$F$137,MATCH(C35,'Keyword Master Database'!$A$2:$A$137,0))</f>
        <v>MOFU</v>
      </c>
      <c r="G35" s="33" t="s">
        <v>590</v>
      </c>
      <c r="H35" s="33" t="s">
        <v>179</v>
      </c>
      <c r="I35" s="33" t="s">
        <v>27</v>
      </c>
    </row>
    <row r="36" ht="15.75" customHeight="1">
      <c r="A36" s="30" t="s">
        <v>301</v>
      </c>
      <c r="B36" s="30" t="s">
        <v>607</v>
      </c>
      <c r="C36" s="30" t="s">
        <v>300</v>
      </c>
      <c r="D36" s="30" t="s">
        <v>302</v>
      </c>
      <c r="E36" s="31" t="str">
        <f t="array" ref="E36">INDEX('Keyword Master Database'!$E$2:$E$137,MATCH(C36,'Keyword Master Database'!$A$2:$A$137,0))</f>
        <v>Informational</v>
      </c>
      <c r="F36" s="31" t="str">
        <f t="array" ref="F36">INDEX('Keyword Master Database'!$F$2:$F$137,MATCH(C36,'Keyword Master Database'!$A$2:$A$137,0))</f>
        <v>TOFU</v>
      </c>
      <c r="G36" s="31" t="s">
        <v>590</v>
      </c>
      <c r="H36" s="31" t="s">
        <v>179</v>
      </c>
      <c r="I36" s="31" t="s">
        <v>27</v>
      </c>
    </row>
    <row r="37" ht="15.75" customHeight="1">
      <c r="A37" s="32" t="s">
        <v>237</v>
      </c>
      <c r="B37" s="32" t="s">
        <v>608</v>
      </c>
      <c r="C37" s="32" t="s">
        <v>236</v>
      </c>
      <c r="D37" s="32" t="s">
        <v>562</v>
      </c>
      <c r="E37" s="33" t="str">
        <f t="array" ref="E37">INDEX('Keyword Master Database'!$E$2:$E$137,MATCH(C37,'Keyword Master Database'!$A$2:$A$137,0))</f>
        <v>Informational</v>
      </c>
      <c r="F37" s="33" t="str">
        <f t="array" ref="F37">INDEX('Keyword Master Database'!$F$2:$F$137,MATCH(C37,'Keyword Master Database'!$A$2:$A$137,0))</f>
        <v>TOFU</v>
      </c>
      <c r="G37" s="33" t="s">
        <v>590</v>
      </c>
      <c r="H37" s="33" t="s">
        <v>179</v>
      </c>
      <c r="I37" s="33" t="s">
        <v>27</v>
      </c>
    </row>
    <row r="38" ht="15.75" customHeight="1">
      <c r="A38" s="30" t="s">
        <v>269</v>
      </c>
      <c r="B38" s="30" t="s">
        <v>609</v>
      </c>
      <c r="C38" s="30" t="s">
        <v>268</v>
      </c>
      <c r="D38" s="30" t="s">
        <v>562</v>
      </c>
      <c r="E38" s="31" t="str">
        <f t="array" ref="E38">INDEX('Keyword Master Database'!$E$2:$E$137,MATCH(C38,'Keyword Master Database'!$A$2:$A$137,0))</f>
        <v>Informational</v>
      </c>
      <c r="F38" s="31" t="str">
        <f t="array" ref="F38">INDEX('Keyword Master Database'!$F$2:$F$137,MATCH(C38,'Keyword Master Database'!$A$2:$A$137,0))</f>
        <v>TOFU</v>
      </c>
      <c r="G38" s="31" t="s">
        <v>590</v>
      </c>
      <c r="H38" s="31" t="s">
        <v>179</v>
      </c>
      <c r="I38" s="31" t="s">
        <v>27</v>
      </c>
    </row>
    <row r="39" ht="15.75" customHeight="1">
      <c r="A39" s="32" t="s">
        <v>355</v>
      </c>
      <c r="B39" s="32" t="s">
        <v>610</v>
      </c>
      <c r="C39" s="32" t="s">
        <v>354</v>
      </c>
      <c r="D39" s="32" t="s">
        <v>356</v>
      </c>
      <c r="E39" s="33" t="str">
        <f t="array" ref="E39">INDEX('Keyword Master Database'!$E$2:$E$137,MATCH(C39,'Keyword Master Database'!$A$2:$A$137,0))</f>
        <v>Informational</v>
      </c>
      <c r="F39" s="33" t="str">
        <f t="array" ref="F39">INDEX('Keyword Master Database'!$F$2:$F$137,MATCH(C39,'Keyword Master Database'!$A$2:$A$137,0))</f>
        <v>TOFU</v>
      </c>
      <c r="G39" s="33" t="s">
        <v>590</v>
      </c>
      <c r="H39" s="33" t="s">
        <v>179</v>
      </c>
      <c r="I39" s="33" t="s">
        <v>27</v>
      </c>
    </row>
    <row r="40" ht="15.75" customHeight="1">
      <c r="A40" s="30" t="s">
        <v>247</v>
      </c>
      <c r="B40" s="30" t="s">
        <v>611</v>
      </c>
      <c r="C40" s="30" t="s">
        <v>245</v>
      </c>
      <c r="D40" s="30" t="s">
        <v>562</v>
      </c>
      <c r="E40" s="31" t="str">
        <f t="array" ref="E40">INDEX('Keyword Master Database'!$E$2:$E$137,MATCH(C40,'Keyword Master Database'!$A$2:$A$137,0))</f>
        <v>Commercial</v>
      </c>
      <c r="F40" s="31" t="str">
        <f t="array" ref="F40">INDEX('Keyword Master Database'!$F$2:$F$137,MATCH(C40,'Keyword Master Database'!$A$2:$A$137,0))</f>
        <v>MOFU</v>
      </c>
      <c r="G40" s="31" t="s">
        <v>590</v>
      </c>
      <c r="H40" s="31" t="s">
        <v>179</v>
      </c>
      <c r="I40" s="31" t="s">
        <v>27</v>
      </c>
    </row>
    <row r="41" ht="15.75" customHeight="1">
      <c r="A41" s="32" t="s">
        <v>261</v>
      </c>
      <c r="B41" s="32" t="s">
        <v>612</v>
      </c>
      <c r="C41" s="32" t="s">
        <v>260</v>
      </c>
      <c r="D41" s="32" t="s">
        <v>562</v>
      </c>
      <c r="E41" s="33" t="str">
        <f t="array" ref="E41">INDEX('Keyword Master Database'!$E$2:$E$137,MATCH(C41,'Keyword Master Database'!$A$2:$A$137,0))</f>
        <v>Informational</v>
      </c>
      <c r="F41" s="33" t="str">
        <f t="array" ref="F41">INDEX('Keyword Master Database'!$F$2:$F$137,MATCH(C41,'Keyword Master Database'!$A$2:$A$137,0))</f>
        <v>TOFU</v>
      </c>
      <c r="G41" s="33" t="s">
        <v>590</v>
      </c>
      <c r="H41" s="33" t="s">
        <v>179</v>
      </c>
      <c r="I41" s="33" t="s">
        <v>27</v>
      </c>
    </row>
    <row r="42" ht="15.75" customHeight="1">
      <c r="A42" s="30" t="s">
        <v>232</v>
      </c>
      <c r="B42" s="30" t="s">
        <v>613</v>
      </c>
      <c r="C42" s="30" t="s">
        <v>231</v>
      </c>
      <c r="D42" s="30" t="s">
        <v>562</v>
      </c>
      <c r="E42" s="31" t="str">
        <f t="array" ref="E42">INDEX('Keyword Master Database'!$E$2:$E$137,MATCH(C42,'Keyword Master Database'!$A$2:$A$137,0))</f>
        <v>Informational</v>
      </c>
      <c r="F42" s="31" t="str">
        <f t="array" ref="F42">INDEX('Keyword Master Database'!$F$2:$F$137,MATCH(C42,'Keyword Master Database'!$A$2:$A$137,0))</f>
        <v>TOFU</v>
      </c>
      <c r="G42" s="31" t="s">
        <v>590</v>
      </c>
      <c r="H42" s="31" t="s">
        <v>179</v>
      </c>
      <c r="I42" s="31" t="s">
        <v>27</v>
      </c>
    </row>
    <row r="43" ht="15.75" customHeight="1">
      <c r="A43" s="32" t="s">
        <v>249</v>
      </c>
      <c r="B43" s="32" t="s">
        <v>614</v>
      </c>
      <c r="C43" s="32" t="s">
        <v>248</v>
      </c>
      <c r="D43" s="32" t="s">
        <v>562</v>
      </c>
      <c r="E43" s="33" t="str">
        <f t="array" ref="E43">INDEX('Keyword Master Database'!$E$2:$E$137,MATCH(C43,'Keyword Master Database'!$A$2:$A$137,0))</f>
        <v>Informational</v>
      </c>
      <c r="F43" s="33" t="str">
        <f t="array" ref="F43">INDEX('Keyword Master Database'!$F$2:$F$137,MATCH(C43,'Keyword Master Database'!$A$2:$A$137,0))</f>
        <v>TOFU</v>
      </c>
      <c r="G43" s="33" t="s">
        <v>590</v>
      </c>
      <c r="H43" s="33" t="s">
        <v>179</v>
      </c>
      <c r="I43" s="33" t="s">
        <v>27</v>
      </c>
    </row>
    <row r="44" ht="15.75" customHeight="1">
      <c r="A44" s="30" t="s">
        <v>212</v>
      </c>
      <c r="B44" s="30" t="s">
        <v>615</v>
      </c>
      <c r="C44" s="30" t="s">
        <v>211</v>
      </c>
      <c r="D44" s="30" t="s">
        <v>562</v>
      </c>
      <c r="E44" s="31" t="str">
        <f t="array" ref="E44">INDEX('Keyword Master Database'!$E$2:$E$137,MATCH(C44,'Keyword Master Database'!$A$2:$A$137,0))</f>
        <v>Informational</v>
      </c>
      <c r="F44" s="31" t="str">
        <f t="array" ref="F44">INDEX('Keyword Master Database'!$F$2:$F$137,MATCH(C44,'Keyword Master Database'!$A$2:$A$137,0))</f>
        <v>TOFU</v>
      </c>
      <c r="G44" s="31" t="s">
        <v>590</v>
      </c>
      <c r="H44" s="31" t="s">
        <v>179</v>
      </c>
      <c r="I44" s="31" t="s">
        <v>27</v>
      </c>
    </row>
    <row r="45" ht="15.75" customHeight="1">
      <c r="A45" s="32" t="s">
        <v>397</v>
      </c>
      <c r="B45" s="32" t="s">
        <v>616</v>
      </c>
      <c r="C45" s="32" t="s">
        <v>394</v>
      </c>
      <c r="D45" s="32" t="s">
        <v>562</v>
      </c>
      <c r="E45" s="33" t="str">
        <f t="array" ref="E45">INDEX('Keyword Master Database'!$E$2:$E$137,MATCH(C45,'Keyword Master Database'!$A$2:$A$137,0))</f>
        <v>Informational</v>
      </c>
      <c r="F45" s="33" t="str">
        <f t="array" ref="F45">INDEX('Keyword Master Database'!$F$2:$F$137,MATCH(C45,'Keyword Master Database'!$A$2:$A$137,0))</f>
        <v>TOFU</v>
      </c>
      <c r="G45" s="33" t="s">
        <v>590</v>
      </c>
      <c r="H45" s="33" t="s">
        <v>179</v>
      </c>
      <c r="I45" s="33" t="s">
        <v>27</v>
      </c>
    </row>
    <row r="46" ht="15.75" customHeight="1">
      <c r="A46" s="30" t="s">
        <v>399</v>
      </c>
      <c r="B46" s="30" t="s">
        <v>617</v>
      </c>
      <c r="C46" s="30" t="s">
        <v>398</v>
      </c>
      <c r="D46" s="30" t="s">
        <v>562</v>
      </c>
      <c r="E46" s="31" t="str">
        <f t="array" ref="E46">INDEX('Keyword Master Database'!$E$2:$E$137,MATCH(C46,'Keyword Master Database'!$A$2:$A$137,0))</f>
        <v>Informational</v>
      </c>
      <c r="F46" s="31" t="str">
        <f t="array" ref="F46">INDEX('Keyword Master Database'!$F$2:$F$137,MATCH(C46,'Keyword Master Database'!$A$2:$A$137,0))</f>
        <v>TOFU</v>
      </c>
      <c r="G46" s="31" t="s">
        <v>590</v>
      </c>
      <c r="H46" s="31" t="s">
        <v>179</v>
      </c>
      <c r="I46" s="31" t="s">
        <v>27</v>
      </c>
    </row>
    <row r="47" ht="15.75" customHeight="1">
      <c r="A47" s="32" t="s">
        <v>401</v>
      </c>
      <c r="B47" s="32" t="s">
        <v>618</v>
      </c>
      <c r="C47" s="32" t="s">
        <v>400</v>
      </c>
      <c r="D47" s="32" t="s">
        <v>562</v>
      </c>
      <c r="E47" s="33" t="str">
        <f t="array" ref="E47">INDEX('Keyword Master Database'!$E$2:$E$137,MATCH(C47,'Keyword Master Database'!$A$2:$A$137,0))</f>
        <v>Informational</v>
      </c>
      <c r="F47" s="33" t="str">
        <f t="array" ref="F47">INDEX('Keyword Master Database'!$F$2:$F$137,MATCH(C47,'Keyword Master Database'!$A$2:$A$137,0))</f>
        <v>TOFU</v>
      </c>
      <c r="G47" s="33" t="s">
        <v>590</v>
      </c>
      <c r="H47" s="33" t="s">
        <v>179</v>
      </c>
      <c r="I47" s="33" t="s">
        <v>27</v>
      </c>
    </row>
    <row r="48" ht="15.75" customHeight="1">
      <c r="A48" s="30" t="s">
        <v>407</v>
      </c>
      <c r="B48" s="30" t="s">
        <v>619</v>
      </c>
      <c r="C48" s="30" t="s">
        <v>406</v>
      </c>
      <c r="D48" s="30" t="s">
        <v>562</v>
      </c>
      <c r="E48" s="31" t="str">
        <f t="array" ref="E48">INDEX('Keyword Master Database'!$E$2:$E$137,MATCH(C48,'Keyword Master Database'!$A$2:$A$137,0))</f>
        <v>Commercial</v>
      </c>
      <c r="F48" s="31" t="str">
        <f t="array" ref="F48">INDEX('Keyword Master Database'!$F$2:$F$137,MATCH(C48,'Keyword Master Database'!$A$2:$A$137,0))</f>
        <v>MOFU</v>
      </c>
      <c r="G48" s="31" t="s">
        <v>590</v>
      </c>
      <c r="H48" s="31" t="s">
        <v>179</v>
      </c>
      <c r="I48" s="31" t="s">
        <v>27</v>
      </c>
    </row>
    <row r="49" ht="15.75" customHeight="1">
      <c r="A49" s="32" t="s">
        <v>409</v>
      </c>
      <c r="B49" s="32" t="s">
        <v>620</v>
      </c>
      <c r="C49" s="32" t="s">
        <v>408</v>
      </c>
      <c r="D49" s="32" t="s">
        <v>562</v>
      </c>
      <c r="E49" s="33" t="str">
        <f t="array" ref="E49">INDEX('Keyword Master Database'!$E$2:$E$137,MATCH(C49,'Keyword Master Database'!$A$2:$A$137,0))</f>
        <v>Informational</v>
      </c>
      <c r="F49" s="33" t="str">
        <f t="array" ref="F49">INDEX('Keyword Master Database'!$F$2:$F$137,MATCH(C49,'Keyword Master Database'!$A$2:$A$137,0))</f>
        <v>TOFU</v>
      </c>
      <c r="G49" s="33" t="s">
        <v>590</v>
      </c>
      <c r="H49" s="33" t="s">
        <v>179</v>
      </c>
      <c r="I49" s="33" t="s">
        <v>27</v>
      </c>
    </row>
    <row r="50" ht="15.75" customHeight="1">
      <c r="A50" s="30" t="s">
        <v>368</v>
      </c>
      <c r="B50" s="30" t="s">
        <v>621</v>
      </c>
      <c r="C50" s="30" t="s">
        <v>367</v>
      </c>
      <c r="D50" s="30" t="s">
        <v>562</v>
      </c>
      <c r="E50" s="31" t="str">
        <f t="array" ref="E50">INDEX('Keyword Master Database'!$E$2:$E$137,MATCH(C50,'Keyword Master Database'!$A$2:$A$137,0))</f>
        <v>Commercial</v>
      </c>
      <c r="F50" s="31" t="str">
        <f t="array" ref="F50">INDEX('Keyword Master Database'!$F$2:$F$137,MATCH(C50,'Keyword Master Database'!$A$2:$A$137,0))</f>
        <v>MOFU</v>
      </c>
      <c r="G50" s="31" t="s">
        <v>590</v>
      </c>
      <c r="H50" s="31" t="s">
        <v>179</v>
      </c>
      <c r="I50" s="31" t="s">
        <v>27</v>
      </c>
    </row>
    <row r="51" ht="15.75" customHeight="1">
      <c r="A51" s="32" t="s">
        <v>251</v>
      </c>
      <c r="B51" s="32" t="s">
        <v>622</v>
      </c>
      <c r="C51" s="32" t="s">
        <v>250</v>
      </c>
      <c r="D51" s="32" t="s">
        <v>562</v>
      </c>
      <c r="E51" s="33" t="str">
        <f t="array" ref="E51">INDEX('Keyword Master Database'!$E$2:$E$137,MATCH(C51,'Keyword Master Database'!$A$2:$A$137,0))</f>
        <v>Informational</v>
      </c>
      <c r="F51" s="33" t="str">
        <f t="array" ref="F51">INDEX('Keyword Master Database'!$F$2:$F$137,MATCH(C51,'Keyword Master Database'!$A$2:$A$137,0))</f>
        <v>TOFU</v>
      </c>
      <c r="G51" s="33" t="s">
        <v>590</v>
      </c>
      <c r="H51" s="33" t="s">
        <v>179</v>
      </c>
      <c r="I51" s="33" t="s">
        <v>27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51">
    <cfRule type="cellIs" dxfId="2" priority="1" operator="equal">
      <formula>"Medium"</formula>
    </cfRule>
  </conditionalFormatting>
  <conditionalFormatting sqref="I2:I51">
    <cfRule type="cellIs" dxfId="5" priority="2" operator="equal">
      <formula>"High"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6.0"/>
    <col customWidth="1" min="2" max="2" width="51.86"/>
    <col customWidth="1" min="3" max="3" width="59.86"/>
    <col customWidth="1" min="4" max="4" width="45.86"/>
    <col customWidth="1" min="5" max="5" width="50.0"/>
    <col customWidth="1" min="6" max="26" width="8.71"/>
  </cols>
  <sheetData>
    <row r="1">
      <c r="A1" s="20" t="s">
        <v>623</v>
      </c>
      <c r="B1" s="20" t="s">
        <v>624</v>
      </c>
      <c r="C1" s="20" t="s">
        <v>625</v>
      </c>
      <c r="D1" s="20" t="s">
        <v>421</v>
      </c>
      <c r="E1" s="20" t="s">
        <v>626</v>
      </c>
    </row>
    <row r="2">
      <c r="A2" s="30" t="s">
        <v>627</v>
      </c>
      <c r="B2" s="30" t="s">
        <v>628</v>
      </c>
      <c r="C2" s="30" t="s">
        <v>629</v>
      </c>
      <c r="D2" s="30" t="s">
        <v>630</v>
      </c>
      <c r="E2" s="30" t="s">
        <v>631</v>
      </c>
    </row>
    <row r="3">
      <c r="A3" s="32" t="s">
        <v>632</v>
      </c>
      <c r="B3" s="32" t="s">
        <v>633</v>
      </c>
      <c r="C3" s="32" t="s">
        <v>634</v>
      </c>
      <c r="D3" s="32" t="s">
        <v>635</v>
      </c>
      <c r="E3" s="32" t="s">
        <v>636</v>
      </c>
    </row>
    <row r="4">
      <c r="A4" s="30" t="s">
        <v>637</v>
      </c>
      <c r="B4" s="30" t="s">
        <v>638</v>
      </c>
      <c r="C4" s="30" t="s">
        <v>639</v>
      </c>
      <c r="D4" s="30" t="s">
        <v>640</v>
      </c>
      <c r="E4" s="30" t="s">
        <v>641</v>
      </c>
    </row>
    <row r="5">
      <c r="A5" s="32" t="s">
        <v>642</v>
      </c>
      <c r="B5" s="32" t="s">
        <v>643</v>
      </c>
      <c r="C5" s="32" t="s">
        <v>644</v>
      </c>
      <c r="D5" s="32" t="s">
        <v>645</v>
      </c>
      <c r="E5" s="32" t="s">
        <v>646</v>
      </c>
    </row>
    <row r="6">
      <c r="A6" s="30" t="s">
        <v>647</v>
      </c>
      <c r="B6" s="30" t="s">
        <v>648</v>
      </c>
      <c r="C6" s="30" t="s">
        <v>649</v>
      </c>
      <c r="D6" s="30" t="s">
        <v>650</v>
      </c>
      <c r="E6" s="30" t="s">
        <v>651</v>
      </c>
    </row>
    <row r="7">
      <c r="A7" s="32" t="s">
        <v>652</v>
      </c>
      <c r="B7" s="32" t="s">
        <v>653</v>
      </c>
      <c r="C7" s="32" t="s">
        <v>654</v>
      </c>
      <c r="D7" s="32" t="s">
        <v>655</v>
      </c>
      <c r="E7" s="32" t="s">
        <v>656</v>
      </c>
    </row>
    <row r="8">
      <c r="A8" s="30" t="s">
        <v>657</v>
      </c>
      <c r="B8" s="30" t="s">
        <v>658</v>
      </c>
      <c r="C8" s="30" t="s">
        <v>659</v>
      </c>
      <c r="D8" s="30" t="s">
        <v>476</v>
      </c>
      <c r="E8" s="30" t="s">
        <v>660</v>
      </c>
    </row>
    <row r="9">
      <c r="A9" s="32" t="s">
        <v>661</v>
      </c>
      <c r="B9" s="32" t="s">
        <v>662</v>
      </c>
      <c r="C9" s="32" t="s">
        <v>663</v>
      </c>
      <c r="D9" s="32" t="s">
        <v>664</v>
      </c>
      <c r="E9" s="32" t="s">
        <v>665</v>
      </c>
    </row>
    <row r="10">
      <c r="A10" s="30" t="s">
        <v>666</v>
      </c>
      <c r="B10" s="30" t="s">
        <v>667</v>
      </c>
      <c r="C10" s="30" t="s">
        <v>668</v>
      </c>
      <c r="D10" s="30" t="s">
        <v>669</v>
      </c>
      <c r="E10" s="30" t="s">
        <v>670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57"/>
    <col customWidth="1" min="2" max="2" width="24.86"/>
    <col customWidth="1" min="3" max="3" width="51.0"/>
    <col customWidth="1" min="4" max="4" width="49.29"/>
    <col customWidth="1" min="5" max="5" width="69.57"/>
    <col customWidth="1" min="6" max="26" width="8.71"/>
  </cols>
  <sheetData>
    <row r="1">
      <c r="A1" s="20" t="s">
        <v>671</v>
      </c>
      <c r="B1" s="20" t="s">
        <v>672</v>
      </c>
      <c r="C1" s="20" t="s">
        <v>673</v>
      </c>
      <c r="D1" s="20" t="s">
        <v>674</v>
      </c>
      <c r="E1" s="20" t="s">
        <v>675</v>
      </c>
    </row>
    <row r="2">
      <c r="A2" s="30" t="s">
        <v>676</v>
      </c>
      <c r="B2" s="30" t="s">
        <v>305</v>
      </c>
      <c r="C2" s="30" t="s">
        <v>677</v>
      </c>
      <c r="D2" s="30" t="s">
        <v>678</v>
      </c>
      <c r="E2" s="30" t="s">
        <v>679</v>
      </c>
    </row>
    <row r="3">
      <c r="A3" s="32" t="s">
        <v>680</v>
      </c>
      <c r="B3" s="32" t="s">
        <v>221</v>
      </c>
      <c r="C3" s="32" t="s">
        <v>681</v>
      </c>
      <c r="D3" s="32" t="s">
        <v>682</v>
      </c>
      <c r="E3" s="32" t="s">
        <v>683</v>
      </c>
    </row>
    <row r="4">
      <c r="A4" s="30" t="s">
        <v>684</v>
      </c>
      <c r="B4" s="30" t="s">
        <v>190</v>
      </c>
      <c r="C4" s="30" t="s">
        <v>685</v>
      </c>
      <c r="D4" s="30" t="s">
        <v>686</v>
      </c>
      <c r="E4" s="30" t="s">
        <v>687</v>
      </c>
    </row>
    <row r="5">
      <c r="A5" s="32" t="s">
        <v>688</v>
      </c>
      <c r="B5" s="32" t="s">
        <v>205</v>
      </c>
      <c r="C5" s="32" t="s">
        <v>689</v>
      </c>
      <c r="D5" s="32" t="s">
        <v>690</v>
      </c>
      <c r="E5" s="32" t="s">
        <v>691</v>
      </c>
    </row>
    <row r="6">
      <c r="A6" s="30" t="s">
        <v>692</v>
      </c>
      <c r="B6" s="30" t="s">
        <v>340</v>
      </c>
      <c r="C6" s="30" t="s">
        <v>693</v>
      </c>
      <c r="D6" s="30" t="s">
        <v>694</v>
      </c>
      <c r="E6" s="30" t="s">
        <v>695</v>
      </c>
    </row>
    <row r="7">
      <c r="A7" s="32" t="s">
        <v>696</v>
      </c>
      <c r="B7" s="32" t="s">
        <v>697</v>
      </c>
      <c r="C7" s="32" t="s">
        <v>698</v>
      </c>
      <c r="D7" s="32" t="s">
        <v>699</v>
      </c>
      <c r="E7" s="32" t="s">
        <v>700</v>
      </c>
    </row>
    <row r="8">
      <c r="A8" s="30" t="s">
        <v>701</v>
      </c>
      <c r="B8" s="30" t="s">
        <v>178</v>
      </c>
      <c r="C8" s="30" t="s">
        <v>702</v>
      </c>
      <c r="D8" s="30" t="s">
        <v>703</v>
      </c>
      <c r="E8" s="30" t="s">
        <v>704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0"/>
    <col customWidth="1" min="2" max="2" width="24.86"/>
    <col customWidth="1" min="3" max="3" width="36.71"/>
    <col customWidth="1" min="4" max="4" width="61.29"/>
    <col customWidth="1" min="5" max="26" width="8.71"/>
  </cols>
  <sheetData>
    <row r="1">
      <c r="A1" s="20" t="s">
        <v>705</v>
      </c>
      <c r="B1" s="20" t="s">
        <v>706</v>
      </c>
      <c r="C1" s="20" t="s">
        <v>707</v>
      </c>
      <c r="D1" s="20" t="s">
        <v>674</v>
      </c>
    </row>
    <row r="2">
      <c r="A2" s="30" t="s">
        <v>190</v>
      </c>
      <c r="B2" s="30" t="s">
        <v>205</v>
      </c>
      <c r="C2" s="30" t="s">
        <v>708</v>
      </c>
      <c r="D2" s="30" t="s">
        <v>709</v>
      </c>
    </row>
    <row r="3">
      <c r="A3" s="32" t="s">
        <v>190</v>
      </c>
      <c r="B3" s="32" t="s">
        <v>221</v>
      </c>
      <c r="C3" s="32" t="s">
        <v>710</v>
      </c>
      <c r="D3" s="32" t="s">
        <v>709</v>
      </c>
    </row>
    <row r="4">
      <c r="A4" s="30" t="s">
        <v>190</v>
      </c>
      <c r="B4" s="30" t="s">
        <v>351</v>
      </c>
      <c r="C4" s="30" t="s">
        <v>711</v>
      </c>
      <c r="D4" s="30" t="s">
        <v>709</v>
      </c>
    </row>
    <row r="5">
      <c r="A5" s="32" t="s">
        <v>190</v>
      </c>
      <c r="B5" s="32" t="s">
        <v>241</v>
      </c>
      <c r="C5" s="32" t="s">
        <v>712</v>
      </c>
      <c r="D5" s="32" t="s">
        <v>709</v>
      </c>
    </row>
    <row r="6">
      <c r="A6" s="30" t="s">
        <v>190</v>
      </c>
      <c r="B6" s="30" t="s">
        <v>255</v>
      </c>
      <c r="C6" s="30" t="s">
        <v>713</v>
      </c>
      <c r="D6" s="30" t="s">
        <v>709</v>
      </c>
    </row>
    <row r="7">
      <c r="A7" s="32" t="s">
        <v>190</v>
      </c>
      <c r="B7" s="32" t="s">
        <v>264</v>
      </c>
      <c r="C7" s="32" t="s">
        <v>714</v>
      </c>
      <c r="D7" s="32" t="s">
        <v>709</v>
      </c>
    </row>
    <row r="8">
      <c r="A8" s="30" t="s">
        <v>190</v>
      </c>
      <c r="B8" s="30" t="s">
        <v>340</v>
      </c>
      <c r="C8" s="30" t="s">
        <v>715</v>
      </c>
      <c r="D8" s="30" t="s">
        <v>709</v>
      </c>
    </row>
    <row r="9">
      <c r="A9" s="32" t="s">
        <v>190</v>
      </c>
      <c r="B9" s="32" t="s">
        <v>274</v>
      </c>
      <c r="C9" s="32" t="s">
        <v>716</v>
      </c>
      <c r="D9" s="32" t="s">
        <v>709</v>
      </c>
    </row>
    <row r="10">
      <c r="A10" s="30" t="s">
        <v>190</v>
      </c>
      <c r="B10" s="30" t="s">
        <v>282</v>
      </c>
      <c r="C10" s="30" t="s">
        <v>717</v>
      </c>
      <c r="D10" s="30" t="s">
        <v>709</v>
      </c>
    </row>
    <row r="11">
      <c r="A11" s="32" t="s">
        <v>190</v>
      </c>
      <c r="B11" s="32" t="s">
        <v>295</v>
      </c>
      <c r="C11" s="32" t="s">
        <v>718</v>
      </c>
      <c r="D11" s="32" t="s">
        <v>709</v>
      </c>
    </row>
    <row r="12">
      <c r="A12" s="30" t="s">
        <v>190</v>
      </c>
      <c r="B12" s="30" t="s">
        <v>305</v>
      </c>
      <c r="C12" s="30" t="s">
        <v>719</v>
      </c>
      <c r="D12" s="30" t="s">
        <v>709</v>
      </c>
    </row>
    <row r="13">
      <c r="A13" s="32" t="s">
        <v>190</v>
      </c>
      <c r="B13" s="32" t="s">
        <v>321</v>
      </c>
      <c r="C13" s="32" t="s">
        <v>720</v>
      </c>
      <c r="D13" s="32" t="s">
        <v>709</v>
      </c>
    </row>
    <row r="14">
      <c r="A14" s="30" t="s">
        <v>190</v>
      </c>
      <c r="B14" s="30" t="s">
        <v>329</v>
      </c>
      <c r="C14" s="30" t="s">
        <v>721</v>
      </c>
      <c r="D14" s="30" t="s">
        <v>709</v>
      </c>
    </row>
    <row r="15">
      <c r="A15" s="32" t="s">
        <v>159</v>
      </c>
      <c r="B15" s="32" t="s">
        <v>305</v>
      </c>
      <c r="C15" s="32" t="s">
        <v>722</v>
      </c>
      <c r="D15" s="32" t="s">
        <v>723</v>
      </c>
    </row>
    <row r="16">
      <c r="A16" s="30" t="s">
        <v>159</v>
      </c>
      <c r="B16" s="30" t="s">
        <v>221</v>
      </c>
      <c r="C16" s="30" t="s">
        <v>724</v>
      </c>
      <c r="D16" s="30" t="s">
        <v>723</v>
      </c>
    </row>
    <row r="17">
      <c r="A17" s="32" t="s">
        <v>159</v>
      </c>
      <c r="B17" s="32" t="s">
        <v>321</v>
      </c>
      <c r="C17" s="32" t="s">
        <v>720</v>
      </c>
      <c r="D17" s="32" t="s">
        <v>723</v>
      </c>
    </row>
    <row r="18">
      <c r="A18" s="30" t="s">
        <v>159</v>
      </c>
      <c r="B18" s="30" t="s">
        <v>282</v>
      </c>
      <c r="C18" s="30" t="s">
        <v>725</v>
      </c>
      <c r="D18" s="30" t="s">
        <v>723</v>
      </c>
    </row>
    <row r="19">
      <c r="A19" s="32" t="s">
        <v>159</v>
      </c>
      <c r="B19" s="32" t="s">
        <v>264</v>
      </c>
      <c r="C19" s="32" t="s">
        <v>726</v>
      </c>
      <c r="D19" s="32" t="s">
        <v>723</v>
      </c>
    </row>
    <row r="20">
      <c r="A20" s="30" t="s">
        <v>159</v>
      </c>
      <c r="B20" s="30" t="s">
        <v>340</v>
      </c>
      <c r="C20" s="30" t="s">
        <v>727</v>
      </c>
      <c r="D20" s="30" t="s">
        <v>723</v>
      </c>
    </row>
    <row r="21" ht="15.75" customHeight="1">
      <c r="A21" s="32" t="s">
        <v>159</v>
      </c>
      <c r="B21" s="32" t="s">
        <v>412</v>
      </c>
      <c r="C21" s="32" t="s">
        <v>728</v>
      </c>
      <c r="D21" s="32" t="s">
        <v>729</v>
      </c>
    </row>
    <row r="22" ht="15.75" customHeight="1">
      <c r="A22" s="30" t="s">
        <v>159</v>
      </c>
      <c r="B22" s="30" t="s">
        <v>170</v>
      </c>
      <c r="C22" s="30" t="s">
        <v>730</v>
      </c>
      <c r="D22" s="30" t="s">
        <v>731</v>
      </c>
    </row>
    <row r="23" ht="15.75" customHeight="1">
      <c r="A23" s="32" t="s">
        <v>159</v>
      </c>
      <c r="B23" s="32" t="s">
        <v>178</v>
      </c>
      <c r="C23" s="32" t="s">
        <v>732</v>
      </c>
      <c r="D23" s="32" t="s">
        <v>733</v>
      </c>
    </row>
    <row r="24" ht="15.75" customHeight="1">
      <c r="A24" s="30" t="s">
        <v>159</v>
      </c>
      <c r="B24" s="30" t="s">
        <v>382</v>
      </c>
      <c r="C24" s="30" t="s">
        <v>734</v>
      </c>
      <c r="D24" s="30" t="s">
        <v>735</v>
      </c>
    </row>
    <row r="25" ht="15.75" customHeight="1">
      <c r="A25" s="32" t="s">
        <v>159</v>
      </c>
      <c r="B25" s="32" t="s">
        <v>198</v>
      </c>
      <c r="C25" s="32" t="s">
        <v>736</v>
      </c>
      <c r="D25" s="32" t="s">
        <v>737</v>
      </c>
    </row>
    <row r="26" ht="15.75" customHeight="1">
      <c r="A26" s="30" t="s">
        <v>305</v>
      </c>
      <c r="B26" s="30" t="s">
        <v>321</v>
      </c>
      <c r="C26" s="30" t="s">
        <v>738</v>
      </c>
      <c r="D26" s="30" t="s">
        <v>739</v>
      </c>
    </row>
    <row r="27" ht="15.75" customHeight="1">
      <c r="A27" s="32" t="s">
        <v>321</v>
      </c>
      <c r="B27" s="32" t="s">
        <v>305</v>
      </c>
      <c r="C27" s="32" t="s">
        <v>740</v>
      </c>
      <c r="D27" s="32" t="s">
        <v>741</v>
      </c>
    </row>
    <row r="28" ht="15.75" customHeight="1">
      <c r="A28" s="30" t="s">
        <v>321</v>
      </c>
      <c r="B28" s="30" t="s">
        <v>329</v>
      </c>
      <c r="C28" s="30" t="s">
        <v>742</v>
      </c>
      <c r="D28" s="30" t="s">
        <v>743</v>
      </c>
    </row>
    <row r="29" ht="15.75" customHeight="1">
      <c r="A29" s="32" t="s">
        <v>329</v>
      </c>
      <c r="B29" s="32" t="s">
        <v>321</v>
      </c>
      <c r="C29" s="32" t="s">
        <v>744</v>
      </c>
      <c r="D29" s="32" t="s">
        <v>743</v>
      </c>
    </row>
    <row r="30" ht="15.75" customHeight="1">
      <c r="A30" s="30" t="s">
        <v>329</v>
      </c>
      <c r="B30" s="30" t="s">
        <v>274</v>
      </c>
      <c r="C30" s="30" t="s">
        <v>745</v>
      </c>
      <c r="D30" s="30" t="s">
        <v>746</v>
      </c>
    </row>
    <row r="31" ht="15.75" customHeight="1">
      <c r="A31" s="32" t="s">
        <v>274</v>
      </c>
      <c r="B31" s="32" t="s">
        <v>305</v>
      </c>
      <c r="C31" s="32" t="s">
        <v>740</v>
      </c>
      <c r="D31" s="32" t="s">
        <v>746</v>
      </c>
    </row>
    <row r="32" ht="15.75" customHeight="1">
      <c r="A32" s="30" t="s">
        <v>274</v>
      </c>
      <c r="B32" s="30" t="s">
        <v>329</v>
      </c>
      <c r="C32" s="30" t="s">
        <v>742</v>
      </c>
      <c r="D32" s="30" t="s">
        <v>746</v>
      </c>
    </row>
    <row r="33" ht="15.75" customHeight="1">
      <c r="A33" s="32" t="s">
        <v>295</v>
      </c>
      <c r="B33" s="32" t="s">
        <v>305</v>
      </c>
      <c r="C33" s="32" t="s">
        <v>747</v>
      </c>
      <c r="D33" s="32" t="s">
        <v>748</v>
      </c>
    </row>
    <row r="34" ht="15.75" customHeight="1">
      <c r="A34" s="30" t="s">
        <v>295</v>
      </c>
      <c r="B34" s="30" t="s">
        <v>321</v>
      </c>
      <c r="C34" s="30" t="s">
        <v>749</v>
      </c>
      <c r="D34" s="30" t="s">
        <v>748</v>
      </c>
    </row>
    <row r="35" ht="15.75" customHeight="1">
      <c r="A35" s="32" t="s">
        <v>282</v>
      </c>
      <c r="B35" s="32" t="s">
        <v>264</v>
      </c>
      <c r="C35" s="32" t="s">
        <v>750</v>
      </c>
      <c r="D35" s="32" t="s">
        <v>751</v>
      </c>
    </row>
    <row r="36" ht="15.75" customHeight="1">
      <c r="A36" s="30" t="s">
        <v>282</v>
      </c>
      <c r="B36" s="30" t="s">
        <v>295</v>
      </c>
      <c r="C36" s="30" t="s">
        <v>752</v>
      </c>
      <c r="D36" s="30" t="s">
        <v>753</v>
      </c>
    </row>
    <row r="37" ht="15.75" customHeight="1">
      <c r="A37" s="32" t="s">
        <v>264</v>
      </c>
      <c r="B37" s="32" t="s">
        <v>282</v>
      </c>
      <c r="C37" s="32" t="s">
        <v>725</v>
      </c>
      <c r="D37" s="32" t="s">
        <v>754</v>
      </c>
    </row>
    <row r="38" ht="15.75" customHeight="1">
      <c r="A38" s="30" t="s">
        <v>241</v>
      </c>
      <c r="B38" s="30" t="s">
        <v>264</v>
      </c>
      <c r="C38" s="30" t="s">
        <v>755</v>
      </c>
      <c r="D38" s="30" t="s">
        <v>756</v>
      </c>
    </row>
    <row r="39" ht="15.75" customHeight="1">
      <c r="A39" s="32" t="s">
        <v>241</v>
      </c>
      <c r="B39" s="32" t="s">
        <v>255</v>
      </c>
      <c r="C39" s="32" t="s">
        <v>257</v>
      </c>
      <c r="D39" s="32" t="s">
        <v>757</v>
      </c>
    </row>
    <row r="40" ht="15.75" customHeight="1">
      <c r="A40" s="30" t="s">
        <v>255</v>
      </c>
      <c r="B40" s="30" t="s">
        <v>241</v>
      </c>
      <c r="C40" s="30" t="s">
        <v>758</v>
      </c>
      <c r="D40" s="30" t="s">
        <v>754</v>
      </c>
    </row>
    <row r="41" ht="15.75" customHeight="1">
      <c r="A41" s="32" t="s">
        <v>205</v>
      </c>
      <c r="B41" s="32" t="s">
        <v>351</v>
      </c>
      <c r="C41" s="32" t="s">
        <v>759</v>
      </c>
      <c r="D41" s="32" t="s">
        <v>760</v>
      </c>
    </row>
    <row r="42" ht="15.75" customHeight="1">
      <c r="A42" s="30" t="s">
        <v>351</v>
      </c>
      <c r="B42" s="30" t="s">
        <v>205</v>
      </c>
      <c r="C42" s="30" t="s">
        <v>761</v>
      </c>
      <c r="D42" s="30" t="s">
        <v>760</v>
      </c>
    </row>
    <row r="43" ht="15.75" customHeight="1">
      <c r="A43" s="32" t="s">
        <v>205</v>
      </c>
      <c r="B43" s="32" t="s">
        <v>214</v>
      </c>
      <c r="C43" s="32" t="s">
        <v>762</v>
      </c>
      <c r="D43" s="32" t="s">
        <v>763</v>
      </c>
    </row>
    <row r="44" ht="15.75" customHeight="1">
      <c r="A44" s="30" t="s">
        <v>221</v>
      </c>
      <c r="B44" s="30" t="s">
        <v>282</v>
      </c>
      <c r="C44" s="30" t="s">
        <v>725</v>
      </c>
      <c r="D44" s="30" t="s">
        <v>764</v>
      </c>
    </row>
    <row r="45" ht="15.75" customHeight="1">
      <c r="A45" s="32" t="s">
        <v>221</v>
      </c>
      <c r="B45" s="32" t="s">
        <v>295</v>
      </c>
      <c r="C45" s="32" t="s">
        <v>765</v>
      </c>
      <c r="D45" s="32" t="s">
        <v>764</v>
      </c>
    </row>
    <row r="46" ht="15.75" customHeight="1">
      <c r="A46" s="30" t="s">
        <v>340</v>
      </c>
      <c r="B46" s="30" t="s">
        <v>264</v>
      </c>
      <c r="C46" s="30" t="s">
        <v>726</v>
      </c>
      <c r="D46" s="30" t="s">
        <v>766</v>
      </c>
    </row>
    <row r="47" ht="15.75" customHeight="1">
      <c r="A47" s="32" t="s">
        <v>264</v>
      </c>
      <c r="B47" s="32" t="s">
        <v>340</v>
      </c>
      <c r="C47" s="32" t="s">
        <v>727</v>
      </c>
      <c r="D47" s="32" t="s">
        <v>767</v>
      </c>
    </row>
    <row r="48" ht="15.75" customHeight="1">
      <c r="A48" s="30" t="s">
        <v>305</v>
      </c>
      <c r="B48" s="30" t="s">
        <v>178</v>
      </c>
      <c r="C48" s="30" t="s">
        <v>768</v>
      </c>
      <c r="D48" s="30" t="s">
        <v>769</v>
      </c>
    </row>
    <row r="49" ht="15.75" customHeight="1">
      <c r="A49" s="32" t="s">
        <v>321</v>
      </c>
      <c r="B49" s="32" t="s">
        <v>178</v>
      </c>
      <c r="C49" s="32" t="s">
        <v>732</v>
      </c>
      <c r="D49" s="32" t="s">
        <v>770</v>
      </c>
    </row>
    <row r="50" ht="15.75" customHeight="1">
      <c r="A50" s="30" t="s">
        <v>264</v>
      </c>
      <c r="B50" s="30" t="s">
        <v>178</v>
      </c>
      <c r="C50" s="30" t="s">
        <v>732</v>
      </c>
      <c r="D50" s="30" t="s">
        <v>770</v>
      </c>
    </row>
    <row r="51" ht="15.75" customHeight="1">
      <c r="A51" s="32" t="s">
        <v>412</v>
      </c>
      <c r="B51" s="32" t="s">
        <v>190</v>
      </c>
      <c r="C51" s="32" t="s">
        <v>771</v>
      </c>
      <c r="D51" s="32" t="s">
        <v>772</v>
      </c>
    </row>
    <row r="52" ht="15.75" customHeight="1">
      <c r="A52" s="30" t="s">
        <v>170</v>
      </c>
      <c r="B52" s="30" t="s">
        <v>198</v>
      </c>
      <c r="C52" s="30" t="s">
        <v>736</v>
      </c>
      <c r="D52" s="30" t="s">
        <v>773</v>
      </c>
    </row>
    <row r="53" ht="15.75" customHeight="1">
      <c r="A53" s="32" t="s">
        <v>178</v>
      </c>
      <c r="B53" s="32" t="s">
        <v>198</v>
      </c>
      <c r="C53" s="32" t="s">
        <v>736</v>
      </c>
      <c r="D53" s="32" t="s">
        <v>774</v>
      </c>
    </row>
    <row r="54" ht="15.75" customHeight="1">
      <c r="A54" s="30" t="s">
        <v>178</v>
      </c>
      <c r="B54" s="30" t="s">
        <v>173</v>
      </c>
      <c r="C54" s="30" t="s">
        <v>775</v>
      </c>
      <c r="D54" s="30" t="s">
        <v>774</v>
      </c>
    </row>
    <row r="55" ht="15.75" customHeight="1">
      <c r="A55" s="32" t="s">
        <v>372</v>
      </c>
      <c r="B55" s="32" t="s">
        <v>221</v>
      </c>
      <c r="C55" s="32" t="s">
        <v>776</v>
      </c>
      <c r="D55" s="32" t="s">
        <v>777</v>
      </c>
    </row>
    <row r="56" ht="15.75" customHeight="1">
      <c r="A56" s="30" t="s">
        <v>372</v>
      </c>
      <c r="B56" s="30" t="s">
        <v>305</v>
      </c>
      <c r="C56" s="30" t="s">
        <v>740</v>
      </c>
      <c r="D56" s="30" t="s">
        <v>777</v>
      </c>
    </row>
    <row r="57" ht="15.75" customHeight="1">
      <c r="A57" s="32" t="s">
        <v>372</v>
      </c>
      <c r="B57" s="32" t="s">
        <v>321</v>
      </c>
      <c r="C57" s="32" t="s">
        <v>778</v>
      </c>
      <c r="D57" s="32" t="s">
        <v>777</v>
      </c>
    </row>
    <row r="58" ht="15.75" customHeight="1">
      <c r="A58" s="30" t="s">
        <v>372</v>
      </c>
      <c r="B58" s="30" t="s">
        <v>282</v>
      </c>
      <c r="C58" s="30" t="s">
        <v>779</v>
      </c>
      <c r="D58" s="30" t="s">
        <v>777</v>
      </c>
    </row>
    <row r="59" ht="15.75" customHeight="1">
      <c r="A59" s="32" t="s">
        <v>372</v>
      </c>
      <c r="B59" s="32" t="s">
        <v>198</v>
      </c>
      <c r="C59" s="32" t="s">
        <v>736</v>
      </c>
      <c r="D59" s="32" t="s">
        <v>777</v>
      </c>
    </row>
    <row r="60" ht="15.75" customHeight="1">
      <c r="A60" s="30" t="s">
        <v>372</v>
      </c>
      <c r="B60" s="30" t="s">
        <v>173</v>
      </c>
      <c r="C60" s="30" t="s">
        <v>780</v>
      </c>
      <c r="D60" s="30" t="s">
        <v>777</v>
      </c>
    </row>
    <row r="61" ht="15.75" customHeight="1">
      <c r="A61" s="32" t="s">
        <v>375</v>
      </c>
      <c r="B61" s="32" t="s">
        <v>221</v>
      </c>
      <c r="C61" s="32" t="s">
        <v>776</v>
      </c>
      <c r="D61" s="32" t="s">
        <v>777</v>
      </c>
    </row>
    <row r="62" ht="15.75" customHeight="1">
      <c r="A62" s="30" t="s">
        <v>375</v>
      </c>
      <c r="B62" s="30" t="s">
        <v>305</v>
      </c>
      <c r="C62" s="30" t="s">
        <v>740</v>
      </c>
      <c r="D62" s="30" t="s">
        <v>777</v>
      </c>
    </row>
    <row r="63" ht="15.75" customHeight="1">
      <c r="A63" s="32" t="s">
        <v>375</v>
      </c>
      <c r="B63" s="32" t="s">
        <v>321</v>
      </c>
      <c r="C63" s="32" t="s">
        <v>778</v>
      </c>
      <c r="D63" s="32" t="s">
        <v>777</v>
      </c>
    </row>
    <row r="64" ht="15.75" customHeight="1">
      <c r="A64" s="30" t="s">
        <v>375</v>
      </c>
      <c r="B64" s="30" t="s">
        <v>282</v>
      </c>
      <c r="C64" s="30" t="s">
        <v>779</v>
      </c>
      <c r="D64" s="30" t="s">
        <v>777</v>
      </c>
    </row>
    <row r="65" ht="15.75" customHeight="1">
      <c r="A65" s="32" t="s">
        <v>375</v>
      </c>
      <c r="B65" s="32" t="s">
        <v>198</v>
      </c>
      <c r="C65" s="32" t="s">
        <v>736</v>
      </c>
      <c r="D65" s="32" t="s">
        <v>777</v>
      </c>
    </row>
    <row r="66" ht="15.75" customHeight="1">
      <c r="A66" s="30" t="s">
        <v>375</v>
      </c>
      <c r="B66" s="30" t="s">
        <v>173</v>
      </c>
      <c r="C66" s="30" t="s">
        <v>780</v>
      </c>
      <c r="D66" s="30" t="s">
        <v>777</v>
      </c>
    </row>
    <row r="67" ht="15.75" customHeight="1">
      <c r="A67" s="32" t="s">
        <v>382</v>
      </c>
      <c r="B67" s="32" t="s">
        <v>372</v>
      </c>
      <c r="C67" s="32" t="s">
        <v>781</v>
      </c>
      <c r="D67" s="32" t="s">
        <v>782</v>
      </c>
    </row>
    <row r="68" ht="15.75" customHeight="1">
      <c r="A68" s="30" t="s">
        <v>372</v>
      </c>
      <c r="B68" s="30" t="s">
        <v>382</v>
      </c>
      <c r="C68" s="30" t="s">
        <v>783</v>
      </c>
      <c r="D68" s="30" t="s">
        <v>784</v>
      </c>
    </row>
    <row r="69" ht="15.75" customHeight="1">
      <c r="A69" s="32" t="s">
        <v>382</v>
      </c>
      <c r="B69" s="32" t="s">
        <v>375</v>
      </c>
      <c r="C69" s="32" t="s">
        <v>785</v>
      </c>
      <c r="D69" s="32" t="s">
        <v>782</v>
      </c>
    </row>
    <row r="70" ht="15.75" customHeight="1">
      <c r="A70" s="30" t="s">
        <v>375</v>
      </c>
      <c r="B70" s="30" t="s">
        <v>382</v>
      </c>
      <c r="C70" s="30" t="s">
        <v>783</v>
      </c>
      <c r="D70" s="30" t="s">
        <v>784</v>
      </c>
    </row>
    <row r="71" ht="15.75" customHeight="1">
      <c r="A71" s="32" t="s">
        <v>310</v>
      </c>
      <c r="B71" s="32" t="s">
        <v>305</v>
      </c>
      <c r="C71" s="32" t="s">
        <v>722</v>
      </c>
      <c r="D71" s="32" t="s">
        <v>786</v>
      </c>
    </row>
    <row r="72" ht="15.75" customHeight="1">
      <c r="A72" s="30" t="s">
        <v>310</v>
      </c>
      <c r="B72" s="30" t="s">
        <v>198</v>
      </c>
      <c r="C72" s="30" t="s">
        <v>736</v>
      </c>
      <c r="D72" s="30" t="s">
        <v>787</v>
      </c>
    </row>
    <row r="73" ht="15.75" customHeight="1">
      <c r="A73" s="32" t="s">
        <v>312</v>
      </c>
      <c r="B73" s="32" t="s">
        <v>305</v>
      </c>
      <c r="C73" s="32" t="s">
        <v>722</v>
      </c>
      <c r="D73" s="32" t="s">
        <v>786</v>
      </c>
    </row>
    <row r="74" ht="15.75" customHeight="1">
      <c r="A74" s="30" t="s">
        <v>312</v>
      </c>
      <c r="B74" s="30" t="s">
        <v>198</v>
      </c>
      <c r="C74" s="30" t="s">
        <v>736</v>
      </c>
      <c r="D74" s="30" t="s">
        <v>787</v>
      </c>
    </row>
    <row r="75" ht="15.75" customHeight="1">
      <c r="A75" s="32" t="s">
        <v>234</v>
      </c>
      <c r="B75" s="32" t="s">
        <v>221</v>
      </c>
      <c r="C75" s="32" t="s">
        <v>724</v>
      </c>
      <c r="D75" s="32" t="s">
        <v>786</v>
      </c>
    </row>
    <row r="76" ht="15.75" customHeight="1">
      <c r="A76" s="30" t="s">
        <v>234</v>
      </c>
      <c r="B76" s="30" t="s">
        <v>198</v>
      </c>
      <c r="C76" s="30" t="s">
        <v>736</v>
      </c>
      <c r="D76" s="30" t="s">
        <v>787</v>
      </c>
    </row>
    <row r="77" ht="15.75" customHeight="1">
      <c r="A77" s="32" t="s">
        <v>292</v>
      </c>
      <c r="B77" s="32" t="s">
        <v>282</v>
      </c>
      <c r="C77" s="32" t="s">
        <v>788</v>
      </c>
      <c r="D77" s="32" t="s">
        <v>786</v>
      </c>
    </row>
    <row r="78" ht="15.75" customHeight="1">
      <c r="A78" s="30" t="s">
        <v>292</v>
      </c>
      <c r="B78" s="30" t="s">
        <v>198</v>
      </c>
      <c r="C78" s="30" t="s">
        <v>736</v>
      </c>
      <c r="D78" s="30" t="s">
        <v>787</v>
      </c>
    </row>
    <row r="79" ht="15.75" customHeight="1">
      <c r="A79" s="32" t="s">
        <v>287</v>
      </c>
      <c r="B79" s="32" t="s">
        <v>282</v>
      </c>
      <c r="C79" s="32" t="s">
        <v>725</v>
      </c>
      <c r="D79" s="32" t="s">
        <v>786</v>
      </c>
    </row>
    <row r="80" ht="15.75" customHeight="1">
      <c r="A80" s="30" t="s">
        <v>287</v>
      </c>
      <c r="B80" s="30" t="s">
        <v>198</v>
      </c>
      <c r="C80" s="30" t="s">
        <v>736</v>
      </c>
      <c r="D80" s="30" t="s">
        <v>787</v>
      </c>
    </row>
    <row r="81" ht="15.75" customHeight="1">
      <c r="A81" s="32" t="s">
        <v>289</v>
      </c>
      <c r="B81" s="32" t="s">
        <v>282</v>
      </c>
      <c r="C81" s="32" t="s">
        <v>725</v>
      </c>
      <c r="D81" s="32" t="s">
        <v>786</v>
      </c>
    </row>
    <row r="82" ht="15.75" customHeight="1">
      <c r="A82" s="30" t="s">
        <v>289</v>
      </c>
      <c r="B82" s="30" t="s">
        <v>198</v>
      </c>
      <c r="C82" s="30" t="s">
        <v>736</v>
      </c>
      <c r="D82" s="30" t="s">
        <v>787</v>
      </c>
    </row>
    <row r="83" ht="15.75" customHeight="1">
      <c r="A83" s="32" t="s">
        <v>278</v>
      </c>
      <c r="B83" s="32" t="s">
        <v>274</v>
      </c>
      <c r="C83" s="32" t="s">
        <v>745</v>
      </c>
      <c r="D83" s="32" t="s">
        <v>786</v>
      </c>
    </row>
    <row r="84" ht="15.75" customHeight="1">
      <c r="A84" s="30" t="s">
        <v>278</v>
      </c>
      <c r="B84" s="30" t="s">
        <v>198</v>
      </c>
      <c r="C84" s="30" t="s">
        <v>736</v>
      </c>
      <c r="D84" s="30" t="s">
        <v>787</v>
      </c>
    </row>
    <row r="85" ht="15.75" customHeight="1">
      <c r="A85" s="32" t="s">
        <v>336</v>
      </c>
      <c r="B85" s="32" t="s">
        <v>329</v>
      </c>
      <c r="C85" s="32" t="s">
        <v>742</v>
      </c>
      <c r="D85" s="32" t="s">
        <v>786</v>
      </c>
    </row>
    <row r="86" ht="15.75" customHeight="1">
      <c r="A86" s="30" t="s">
        <v>336</v>
      </c>
      <c r="B86" s="30" t="s">
        <v>198</v>
      </c>
      <c r="C86" s="30" t="s">
        <v>736</v>
      </c>
      <c r="D86" s="30" t="s">
        <v>787</v>
      </c>
    </row>
    <row r="87" ht="15.75" customHeight="1">
      <c r="A87" s="32" t="s">
        <v>347</v>
      </c>
      <c r="B87" s="32" t="s">
        <v>340</v>
      </c>
      <c r="C87" s="32" t="s">
        <v>715</v>
      </c>
      <c r="D87" s="32" t="s">
        <v>786</v>
      </c>
    </row>
    <row r="88" ht="15.75" customHeight="1">
      <c r="A88" s="30" t="s">
        <v>347</v>
      </c>
      <c r="B88" s="30" t="s">
        <v>198</v>
      </c>
      <c r="C88" s="30" t="s">
        <v>736</v>
      </c>
      <c r="D88" s="30" t="s">
        <v>787</v>
      </c>
    </row>
    <row r="89" ht="15.75" customHeight="1">
      <c r="A89" s="32" t="s">
        <v>404</v>
      </c>
      <c r="B89" s="32" t="s">
        <v>305</v>
      </c>
      <c r="C89" s="32" t="s">
        <v>789</v>
      </c>
      <c r="D89" s="32" t="s">
        <v>786</v>
      </c>
    </row>
    <row r="90" ht="15.75" customHeight="1">
      <c r="A90" s="30" t="s">
        <v>404</v>
      </c>
      <c r="B90" s="30" t="s">
        <v>198</v>
      </c>
      <c r="C90" s="30" t="s">
        <v>736</v>
      </c>
      <c r="D90" s="30" t="s">
        <v>787</v>
      </c>
    </row>
    <row r="91" ht="15.75" customHeight="1">
      <c r="A91" s="32" t="s">
        <v>301</v>
      </c>
      <c r="B91" s="32" t="s">
        <v>295</v>
      </c>
      <c r="C91" s="32" t="s">
        <v>765</v>
      </c>
      <c r="D91" s="32" t="s">
        <v>786</v>
      </c>
    </row>
    <row r="92" ht="15.75" customHeight="1">
      <c r="A92" s="30" t="s">
        <v>301</v>
      </c>
      <c r="B92" s="30" t="s">
        <v>198</v>
      </c>
      <c r="C92" s="30" t="s">
        <v>736</v>
      </c>
      <c r="D92" s="30" t="s">
        <v>787</v>
      </c>
    </row>
    <row r="93" ht="15.75" customHeight="1">
      <c r="A93" s="32" t="s">
        <v>237</v>
      </c>
      <c r="B93" s="32" t="s">
        <v>221</v>
      </c>
      <c r="C93" s="32" t="s">
        <v>790</v>
      </c>
      <c r="D93" s="32" t="s">
        <v>786</v>
      </c>
    </row>
    <row r="94" ht="15.75" customHeight="1">
      <c r="A94" s="30" t="s">
        <v>237</v>
      </c>
      <c r="B94" s="30" t="s">
        <v>198</v>
      </c>
      <c r="C94" s="30" t="s">
        <v>736</v>
      </c>
      <c r="D94" s="30" t="s">
        <v>787</v>
      </c>
    </row>
    <row r="95" ht="15.75" customHeight="1">
      <c r="A95" s="32" t="s">
        <v>269</v>
      </c>
      <c r="B95" s="32" t="s">
        <v>264</v>
      </c>
      <c r="C95" s="32" t="s">
        <v>726</v>
      </c>
      <c r="D95" s="32" t="s">
        <v>786</v>
      </c>
    </row>
    <row r="96" ht="15.75" customHeight="1">
      <c r="A96" s="30" t="s">
        <v>269</v>
      </c>
      <c r="B96" s="30" t="s">
        <v>198</v>
      </c>
      <c r="C96" s="30" t="s">
        <v>736</v>
      </c>
      <c r="D96" s="30" t="s">
        <v>787</v>
      </c>
    </row>
    <row r="97" ht="15.75" customHeight="1">
      <c r="A97" s="32" t="s">
        <v>355</v>
      </c>
      <c r="B97" s="32" t="s">
        <v>351</v>
      </c>
      <c r="C97" s="32" t="s">
        <v>791</v>
      </c>
      <c r="D97" s="32" t="s">
        <v>786</v>
      </c>
    </row>
    <row r="98" ht="15.75" customHeight="1">
      <c r="A98" s="30" t="s">
        <v>355</v>
      </c>
      <c r="B98" s="30" t="s">
        <v>198</v>
      </c>
      <c r="C98" s="30" t="s">
        <v>736</v>
      </c>
      <c r="D98" s="30" t="s">
        <v>787</v>
      </c>
    </row>
    <row r="99" ht="15.75" customHeight="1">
      <c r="A99" s="32" t="s">
        <v>247</v>
      </c>
      <c r="B99" s="32" t="s">
        <v>241</v>
      </c>
      <c r="C99" s="32" t="s">
        <v>758</v>
      </c>
      <c r="D99" s="32" t="s">
        <v>786</v>
      </c>
    </row>
    <row r="100" ht="15.75" customHeight="1">
      <c r="A100" s="30" t="s">
        <v>247</v>
      </c>
      <c r="B100" s="30" t="s">
        <v>198</v>
      </c>
      <c r="C100" s="30" t="s">
        <v>736</v>
      </c>
      <c r="D100" s="30" t="s">
        <v>787</v>
      </c>
    </row>
    <row r="101" ht="15.75" customHeight="1">
      <c r="A101" s="32" t="s">
        <v>261</v>
      </c>
      <c r="B101" s="32" t="s">
        <v>255</v>
      </c>
      <c r="C101" s="32" t="s">
        <v>792</v>
      </c>
      <c r="D101" s="32" t="s">
        <v>786</v>
      </c>
    </row>
    <row r="102" ht="15.75" customHeight="1">
      <c r="A102" s="30" t="s">
        <v>261</v>
      </c>
      <c r="B102" s="30" t="s">
        <v>198</v>
      </c>
      <c r="C102" s="30" t="s">
        <v>736</v>
      </c>
      <c r="D102" s="30" t="s">
        <v>787</v>
      </c>
    </row>
    <row r="103" ht="15.75" customHeight="1">
      <c r="A103" s="32" t="s">
        <v>232</v>
      </c>
      <c r="B103" s="32" t="s">
        <v>221</v>
      </c>
      <c r="C103" s="32" t="s">
        <v>793</v>
      </c>
      <c r="D103" s="32" t="s">
        <v>786</v>
      </c>
    </row>
    <row r="104" ht="15.75" customHeight="1">
      <c r="A104" s="30" t="s">
        <v>232</v>
      </c>
      <c r="B104" s="30" t="s">
        <v>198</v>
      </c>
      <c r="C104" s="30" t="s">
        <v>736</v>
      </c>
      <c r="D104" s="30" t="s">
        <v>787</v>
      </c>
    </row>
    <row r="105" ht="15.75" customHeight="1">
      <c r="A105" s="32" t="s">
        <v>249</v>
      </c>
      <c r="B105" s="32" t="s">
        <v>241</v>
      </c>
      <c r="C105" s="32" t="s">
        <v>758</v>
      </c>
      <c r="D105" s="32" t="s">
        <v>786</v>
      </c>
    </row>
    <row r="106" ht="15.75" customHeight="1">
      <c r="A106" s="30" t="s">
        <v>249</v>
      </c>
      <c r="B106" s="30" t="s">
        <v>198</v>
      </c>
      <c r="C106" s="30" t="s">
        <v>736</v>
      </c>
      <c r="D106" s="30" t="s">
        <v>787</v>
      </c>
    </row>
    <row r="107" ht="15.75" customHeight="1">
      <c r="A107" s="32" t="s">
        <v>212</v>
      </c>
      <c r="B107" s="32" t="s">
        <v>205</v>
      </c>
      <c r="C107" s="32" t="s">
        <v>761</v>
      </c>
      <c r="D107" s="32" t="s">
        <v>786</v>
      </c>
    </row>
    <row r="108" ht="15.75" customHeight="1">
      <c r="A108" s="30" t="s">
        <v>212</v>
      </c>
      <c r="B108" s="30" t="s">
        <v>198</v>
      </c>
      <c r="C108" s="30" t="s">
        <v>736</v>
      </c>
      <c r="D108" s="30" t="s">
        <v>787</v>
      </c>
    </row>
    <row r="109" ht="15.75" customHeight="1">
      <c r="A109" s="32" t="s">
        <v>397</v>
      </c>
      <c r="B109" s="32" t="s">
        <v>205</v>
      </c>
      <c r="C109" s="32" t="s">
        <v>794</v>
      </c>
      <c r="D109" s="32" t="s">
        <v>786</v>
      </c>
    </row>
    <row r="110" ht="15.75" customHeight="1">
      <c r="A110" s="30" t="s">
        <v>397</v>
      </c>
      <c r="B110" s="30" t="s">
        <v>198</v>
      </c>
      <c r="C110" s="30" t="s">
        <v>736</v>
      </c>
      <c r="D110" s="30" t="s">
        <v>787</v>
      </c>
    </row>
    <row r="111" ht="15.75" customHeight="1">
      <c r="A111" s="32" t="s">
        <v>399</v>
      </c>
      <c r="B111" s="32" t="s">
        <v>205</v>
      </c>
      <c r="C111" s="32" t="s">
        <v>795</v>
      </c>
      <c r="D111" s="32" t="s">
        <v>786</v>
      </c>
    </row>
    <row r="112" ht="15.75" customHeight="1">
      <c r="A112" s="30" t="s">
        <v>399</v>
      </c>
      <c r="B112" s="30" t="s">
        <v>198</v>
      </c>
      <c r="C112" s="30" t="s">
        <v>736</v>
      </c>
      <c r="D112" s="30" t="s">
        <v>787</v>
      </c>
    </row>
    <row r="113" ht="15.75" customHeight="1">
      <c r="A113" s="32" t="s">
        <v>401</v>
      </c>
      <c r="B113" s="32" t="s">
        <v>221</v>
      </c>
      <c r="C113" s="32" t="s">
        <v>793</v>
      </c>
      <c r="D113" s="32" t="s">
        <v>786</v>
      </c>
    </row>
    <row r="114" ht="15.75" customHeight="1">
      <c r="A114" s="30" t="s">
        <v>401</v>
      </c>
      <c r="B114" s="30" t="s">
        <v>198</v>
      </c>
      <c r="C114" s="30" t="s">
        <v>736</v>
      </c>
      <c r="D114" s="30" t="s">
        <v>787</v>
      </c>
    </row>
    <row r="115" ht="15.75" customHeight="1">
      <c r="A115" s="32" t="s">
        <v>407</v>
      </c>
      <c r="B115" s="32" t="s">
        <v>214</v>
      </c>
      <c r="C115" s="32" t="s">
        <v>762</v>
      </c>
      <c r="D115" s="32" t="s">
        <v>786</v>
      </c>
    </row>
    <row r="116" ht="15.75" customHeight="1">
      <c r="A116" s="30" t="s">
        <v>407</v>
      </c>
      <c r="B116" s="30" t="s">
        <v>198</v>
      </c>
      <c r="C116" s="30" t="s">
        <v>736</v>
      </c>
      <c r="D116" s="30" t="s">
        <v>787</v>
      </c>
    </row>
    <row r="117" ht="15.75" customHeight="1">
      <c r="A117" s="32" t="s">
        <v>409</v>
      </c>
      <c r="B117" s="32" t="s">
        <v>198</v>
      </c>
      <c r="C117" s="32" t="s">
        <v>796</v>
      </c>
      <c r="D117" s="32" t="s">
        <v>786</v>
      </c>
    </row>
    <row r="118" ht="15.75" customHeight="1">
      <c r="A118" s="30" t="s">
        <v>409</v>
      </c>
      <c r="B118" s="30" t="s">
        <v>198</v>
      </c>
      <c r="C118" s="30" t="s">
        <v>736</v>
      </c>
      <c r="D118" s="30" t="s">
        <v>787</v>
      </c>
    </row>
    <row r="119" ht="15.75" customHeight="1">
      <c r="A119" s="32" t="s">
        <v>368</v>
      </c>
      <c r="B119" s="32" t="s">
        <v>178</v>
      </c>
      <c r="C119" s="32" t="s">
        <v>732</v>
      </c>
      <c r="D119" s="32" t="s">
        <v>786</v>
      </c>
    </row>
    <row r="120" ht="15.75" customHeight="1">
      <c r="A120" s="30" t="s">
        <v>368</v>
      </c>
      <c r="B120" s="30" t="s">
        <v>198</v>
      </c>
      <c r="C120" s="30" t="s">
        <v>736</v>
      </c>
      <c r="D120" s="30" t="s">
        <v>787</v>
      </c>
    </row>
    <row r="121" ht="15.75" customHeight="1">
      <c r="A121" s="32" t="s">
        <v>251</v>
      </c>
      <c r="B121" s="32" t="s">
        <v>241</v>
      </c>
      <c r="C121" s="32" t="s">
        <v>758</v>
      </c>
      <c r="D121" s="32" t="s">
        <v>786</v>
      </c>
    </row>
    <row r="122" ht="15.75" customHeight="1">
      <c r="A122" s="30" t="s">
        <v>251</v>
      </c>
      <c r="B122" s="30" t="s">
        <v>198</v>
      </c>
      <c r="C122" s="30" t="s">
        <v>736</v>
      </c>
      <c r="D122" s="30" t="s">
        <v>787</v>
      </c>
    </row>
    <row r="123" ht="15.75" customHeight="1">
      <c r="A123" s="32" t="s">
        <v>404</v>
      </c>
      <c r="B123" s="32" t="s">
        <v>321</v>
      </c>
      <c r="C123" s="32" t="s">
        <v>778</v>
      </c>
      <c r="D123" s="32" t="s">
        <v>797</v>
      </c>
    </row>
    <row r="124" ht="15.75" customHeight="1">
      <c r="A124" s="30" t="s">
        <v>404</v>
      </c>
      <c r="B124" s="30" t="s">
        <v>274</v>
      </c>
      <c r="C124" s="30" t="s">
        <v>745</v>
      </c>
      <c r="D124" s="30" t="s">
        <v>797</v>
      </c>
    </row>
    <row r="125" ht="15.75" customHeight="1">
      <c r="A125" s="32" t="s">
        <v>404</v>
      </c>
      <c r="B125" s="32" t="s">
        <v>329</v>
      </c>
      <c r="C125" s="32" t="s">
        <v>742</v>
      </c>
      <c r="D125" s="32" t="s">
        <v>797</v>
      </c>
    </row>
    <row r="126" ht="15.75" customHeight="1">
      <c r="A126" s="30" t="s">
        <v>312</v>
      </c>
      <c r="B126" s="30" t="s">
        <v>321</v>
      </c>
      <c r="C126" s="30" t="s">
        <v>778</v>
      </c>
      <c r="D126" s="30" t="s">
        <v>798</v>
      </c>
    </row>
    <row r="127" ht="15.75" customHeight="1">
      <c r="A127" s="32" t="s">
        <v>278</v>
      </c>
      <c r="B127" s="32" t="s">
        <v>305</v>
      </c>
      <c r="C127" s="32" t="s">
        <v>740</v>
      </c>
      <c r="D127" s="32" t="s">
        <v>798</v>
      </c>
    </row>
    <row r="128" ht="15.75" customHeight="1">
      <c r="A128" s="30" t="s">
        <v>292</v>
      </c>
      <c r="B128" s="30" t="s">
        <v>295</v>
      </c>
      <c r="C128" s="30" t="s">
        <v>799</v>
      </c>
      <c r="D128" s="30" t="s">
        <v>798</v>
      </c>
    </row>
    <row r="129" ht="15.75" customHeight="1">
      <c r="A129" s="32" t="s">
        <v>336</v>
      </c>
      <c r="B129" s="32" t="s">
        <v>274</v>
      </c>
      <c r="C129" s="32" t="s">
        <v>800</v>
      </c>
      <c r="D129" s="32" t="s">
        <v>798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22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8.14"/>
    <col customWidth="1" min="3" max="3" width="20.43"/>
    <col customWidth="1" min="4" max="4" width="71.14"/>
    <col customWidth="1" min="5" max="5" width="44.71"/>
    <col customWidth="1" min="6" max="6" width="13.29"/>
    <col customWidth="1" min="7" max="7" width="7.29"/>
    <col customWidth="1" min="8" max="8" width="51.0"/>
    <col customWidth="1" min="9" max="9" width="41.29"/>
    <col customWidth="1" min="10" max="26" width="8.71"/>
  </cols>
  <sheetData>
    <row r="1">
      <c r="A1" s="20" t="s">
        <v>801</v>
      </c>
      <c r="B1" s="20" t="s">
        <v>802</v>
      </c>
      <c r="C1" s="20" t="s">
        <v>803</v>
      </c>
      <c r="D1" s="20" t="s">
        <v>804</v>
      </c>
      <c r="E1" s="20" t="s">
        <v>805</v>
      </c>
      <c r="F1" s="20" t="s">
        <v>129</v>
      </c>
      <c r="G1" s="20" t="s">
        <v>130</v>
      </c>
      <c r="H1" s="20" t="s">
        <v>493</v>
      </c>
      <c r="I1" s="20" t="s">
        <v>806</v>
      </c>
    </row>
    <row r="2">
      <c r="A2" s="31" t="s">
        <v>807</v>
      </c>
      <c r="B2" s="31" t="str">
        <f t="array" ref="B2">INDEX('Keyword Master Database'!$V$2:$V$137,MATCH(E2,'Keyword Master Database'!$A$2:$A$137,0))</f>
        <v>High</v>
      </c>
      <c r="C2" s="30" t="s">
        <v>808</v>
      </c>
      <c r="D2" s="30" t="s">
        <v>809</v>
      </c>
      <c r="E2" s="30" t="s">
        <v>200</v>
      </c>
      <c r="F2" s="31" t="str">
        <f t="array" ref="F2">INDEX('Keyword Master Database'!$E$2:$E$137,MATCH(E2,'Keyword Master Database'!$A$2:$A$137,0))</f>
        <v>Transactional</v>
      </c>
      <c r="G2" s="31" t="str">
        <f t="array" ref="G2">INDEX('Keyword Master Database'!$F$2:$F$137,MATCH(E2,'Keyword Master Database'!$A$2:$A$137,0))</f>
        <v>BOFU</v>
      </c>
      <c r="H2" s="30" t="s">
        <v>159</v>
      </c>
      <c r="I2" s="30" t="s">
        <v>810</v>
      </c>
    </row>
    <row r="3">
      <c r="A3" s="33" t="s">
        <v>807</v>
      </c>
      <c r="B3" s="33" t="str">
        <f t="array" ref="B3">INDEX('Keyword Master Database'!$V$2:$V$137,MATCH(E3,'Keyword Master Database'!$A$2:$A$137,0))</f>
        <v>Critical</v>
      </c>
      <c r="C3" s="32" t="s">
        <v>811</v>
      </c>
      <c r="D3" s="32" t="s">
        <v>812</v>
      </c>
      <c r="E3" s="32" t="s">
        <v>180</v>
      </c>
      <c r="F3" s="33" t="str">
        <f t="array" ref="F3">INDEX('Keyword Master Database'!$E$2:$E$137,MATCH(E3,'Keyword Master Database'!$A$2:$A$137,0))</f>
        <v>Transactional</v>
      </c>
      <c r="G3" s="33" t="str">
        <f t="array" ref="G3">INDEX('Keyword Master Database'!$F$2:$F$137,MATCH(E3,'Keyword Master Database'!$A$2:$A$137,0))</f>
        <v>BOFU</v>
      </c>
      <c r="H3" s="32" t="s">
        <v>159</v>
      </c>
      <c r="I3" s="32" t="s">
        <v>813</v>
      </c>
    </row>
    <row r="4">
      <c r="A4" s="31" t="s">
        <v>807</v>
      </c>
      <c r="B4" s="31" t="str">
        <f t="array" ref="B4">INDEX('Keyword Master Database'!$V$2:$V$137,MATCH(E4,'Keyword Master Database'!$A$2:$A$137,0))</f>
        <v>High</v>
      </c>
      <c r="C4" s="30" t="s">
        <v>811</v>
      </c>
      <c r="D4" s="30" t="s">
        <v>814</v>
      </c>
      <c r="E4" s="30" t="s">
        <v>303</v>
      </c>
      <c r="F4" s="31" t="str">
        <f t="array" ref="F4">INDEX('Keyword Master Database'!$E$2:$E$137,MATCH(E4,'Keyword Master Database'!$A$2:$A$137,0))</f>
        <v>Transactional</v>
      </c>
      <c r="G4" s="31" t="str">
        <f t="array" ref="G4">INDEX('Keyword Master Database'!$F$2:$F$137,MATCH(E4,'Keyword Master Database'!$A$2:$A$137,0))</f>
        <v>BOFU</v>
      </c>
      <c r="H4" s="30" t="s">
        <v>305</v>
      </c>
      <c r="I4" s="30" t="s">
        <v>815</v>
      </c>
    </row>
    <row r="5">
      <c r="A5" s="33" t="s">
        <v>807</v>
      </c>
      <c r="B5" s="33" t="str">
        <f t="array" ref="B5">INDEX('Keyword Master Database'!$V$2:$V$137,MATCH(E5,'Keyword Master Database'!$A$2:$A$137,0))</f>
        <v>High</v>
      </c>
      <c r="C5" s="32" t="s">
        <v>811</v>
      </c>
      <c r="D5" s="32" t="s">
        <v>816</v>
      </c>
      <c r="E5" s="32" t="s">
        <v>218</v>
      </c>
      <c r="F5" s="33" t="str">
        <f t="array" ref="F5">INDEX('Keyword Master Database'!$E$2:$E$137,MATCH(E5,'Keyword Master Database'!$A$2:$A$137,0))</f>
        <v>Transactional</v>
      </c>
      <c r="G5" s="33" t="str">
        <f t="array" ref="G5">INDEX('Keyword Master Database'!$F$2:$F$137,MATCH(E5,'Keyword Master Database'!$A$2:$A$137,0))</f>
        <v>BOFU</v>
      </c>
      <c r="H5" s="32" t="s">
        <v>221</v>
      </c>
      <c r="I5" s="32" t="s">
        <v>813</v>
      </c>
    </row>
    <row r="6">
      <c r="A6" s="31" t="s">
        <v>807</v>
      </c>
      <c r="B6" s="31" t="str">
        <f t="array" ref="B6">INDEX('Keyword Master Database'!$V$2:$V$137,MATCH(E6,'Keyword Master Database'!$A$2:$A$137,0))</f>
        <v>High</v>
      </c>
      <c r="C6" s="30" t="s">
        <v>811</v>
      </c>
      <c r="D6" s="30" t="s">
        <v>817</v>
      </c>
      <c r="E6" s="30" t="s">
        <v>279</v>
      </c>
      <c r="F6" s="31" t="str">
        <f t="array" ref="F6">INDEX('Keyword Master Database'!$E$2:$E$137,MATCH(E6,'Keyword Master Database'!$A$2:$A$137,0))</f>
        <v>Transactional</v>
      </c>
      <c r="G6" s="31" t="str">
        <f t="array" ref="G6">INDEX('Keyword Master Database'!$F$2:$F$137,MATCH(E6,'Keyword Master Database'!$A$2:$A$137,0))</f>
        <v>BOFU</v>
      </c>
      <c r="H6" s="30" t="s">
        <v>282</v>
      </c>
      <c r="I6" s="30" t="s">
        <v>815</v>
      </c>
    </row>
    <row r="7">
      <c r="A7" s="33" t="s">
        <v>807</v>
      </c>
      <c r="B7" s="33" t="str">
        <f t="array" ref="B7">INDEX('Keyword Master Database'!$V$2:$V$137,MATCH(E7,'Keyword Master Database'!$A$2:$A$137,0))</f>
        <v>High</v>
      </c>
      <c r="C7" s="32" t="s">
        <v>811</v>
      </c>
      <c r="D7" s="32" t="s">
        <v>818</v>
      </c>
      <c r="E7" s="32" t="s">
        <v>319</v>
      </c>
      <c r="F7" s="33" t="str">
        <f t="array" ref="F7">INDEX('Keyword Master Database'!$E$2:$E$137,MATCH(E7,'Keyword Master Database'!$A$2:$A$137,0))</f>
        <v>Transactional</v>
      </c>
      <c r="G7" s="33" t="str">
        <f t="array" ref="G7">INDEX('Keyword Master Database'!$F$2:$F$137,MATCH(E7,'Keyword Master Database'!$A$2:$A$137,0))</f>
        <v>BOFU</v>
      </c>
      <c r="H7" s="32" t="s">
        <v>321</v>
      </c>
      <c r="I7" s="32" t="s">
        <v>815</v>
      </c>
    </row>
    <row r="8">
      <c r="A8" s="31" t="s">
        <v>807</v>
      </c>
      <c r="B8" s="31" t="str">
        <f t="array" ref="B8">INDEX('Keyword Master Database'!$V$2:$V$137,MATCH(E8,'Keyword Master Database'!$A$2:$A$137,0))</f>
        <v>Medium</v>
      </c>
      <c r="C8" s="30" t="s">
        <v>811</v>
      </c>
      <c r="D8" s="30" t="s">
        <v>819</v>
      </c>
      <c r="E8" s="30" t="s">
        <v>410</v>
      </c>
      <c r="F8" s="31" t="str">
        <f t="array" ref="F8">INDEX('Keyword Master Database'!$E$2:$E$137,MATCH(E8,'Keyword Master Database'!$A$2:$A$137,0))</f>
        <v>Transactional</v>
      </c>
      <c r="G8" s="31" t="str">
        <f t="array" ref="G8">INDEX('Keyword Master Database'!$F$2:$F$137,MATCH(E8,'Keyword Master Database'!$A$2:$A$137,0))</f>
        <v>BOFU</v>
      </c>
      <c r="H8" s="30" t="s">
        <v>412</v>
      </c>
      <c r="I8" s="30" t="s">
        <v>820</v>
      </c>
    </row>
    <row r="9">
      <c r="A9" s="33" t="s">
        <v>821</v>
      </c>
      <c r="B9" s="33" t="str">
        <f t="array" ref="B9">INDEX('Keyword Master Database'!$V$2:$V$137,MATCH(E9,'Keyword Master Database'!$A$2:$A$137,0))</f>
        <v>High</v>
      </c>
      <c r="C9" s="32" t="s">
        <v>811</v>
      </c>
      <c r="D9" s="32" t="s">
        <v>822</v>
      </c>
      <c r="E9" s="32" t="s">
        <v>327</v>
      </c>
      <c r="F9" s="33" t="str">
        <f t="array" ref="F9">INDEX('Keyword Master Database'!$E$2:$E$137,MATCH(E9,'Keyword Master Database'!$A$2:$A$137,0))</f>
        <v>Transactional</v>
      </c>
      <c r="G9" s="33" t="str">
        <f t="array" ref="G9">INDEX('Keyword Master Database'!$F$2:$F$137,MATCH(E9,'Keyword Master Database'!$A$2:$A$137,0))</f>
        <v>BOFU</v>
      </c>
      <c r="H9" s="32" t="s">
        <v>329</v>
      </c>
      <c r="I9" s="32" t="s">
        <v>815</v>
      </c>
    </row>
    <row r="10">
      <c r="A10" s="31" t="s">
        <v>821</v>
      </c>
      <c r="B10" s="31" t="str">
        <f t="array" ref="B10">INDEX('Keyword Master Database'!$V$2:$V$137,MATCH(E10,'Keyword Master Database'!$A$2:$A$137,0))</f>
        <v>High</v>
      </c>
      <c r="C10" s="30" t="s">
        <v>811</v>
      </c>
      <c r="D10" s="30" t="s">
        <v>823</v>
      </c>
      <c r="E10" s="30" t="s">
        <v>262</v>
      </c>
      <c r="F10" s="31" t="str">
        <f t="array" ref="F10">INDEX('Keyword Master Database'!$E$2:$E$137,MATCH(E10,'Keyword Master Database'!$A$2:$A$137,0))</f>
        <v>Transactional</v>
      </c>
      <c r="G10" s="31" t="str">
        <f t="array" ref="G10">INDEX('Keyword Master Database'!$F$2:$F$137,MATCH(E10,'Keyword Master Database'!$A$2:$A$137,0))</f>
        <v>BOFU</v>
      </c>
      <c r="H10" s="30" t="s">
        <v>264</v>
      </c>
      <c r="I10" s="30" t="s">
        <v>815</v>
      </c>
    </row>
    <row r="11">
      <c r="A11" s="33" t="s">
        <v>821</v>
      </c>
      <c r="B11" s="33" t="str">
        <f t="array" ref="B11">INDEX('Keyword Master Database'!$V$2:$V$137,MATCH(E11,'Keyword Master Database'!$A$2:$A$137,0))</f>
        <v>High</v>
      </c>
      <c r="C11" s="32" t="s">
        <v>811</v>
      </c>
      <c r="D11" s="32" t="s">
        <v>824</v>
      </c>
      <c r="E11" s="32" t="s">
        <v>272</v>
      </c>
      <c r="F11" s="33" t="str">
        <f t="array" ref="F11">INDEX('Keyword Master Database'!$E$2:$E$137,MATCH(E11,'Keyword Master Database'!$A$2:$A$137,0))</f>
        <v>Transactional</v>
      </c>
      <c r="G11" s="33" t="str">
        <f t="array" ref="G11">INDEX('Keyword Master Database'!$F$2:$F$137,MATCH(E11,'Keyword Master Database'!$A$2:$A$137,0))</f>
        <v>BOFU</v>
      </c>
      <c r="H11" s="32" t="s">
        <v>274</v>
      </c>
      <c r="I11" s="32" t="s">
        <v>815</v>
      </c>
    </row>
    <row r="12">
      <c r="A12" s="31" t="s">
        <v>821</v>
      </c>
      <c r="B12" s="31" t="str">
        <f t="array" ref="B12">INDEX('Keyword Master Database'!$V$2:$V$137,MATCH(E12,'Keyword Master Database'!$A$2:$A$137,0))</f>
        <v>High</v>
      </c>
      <c r="C12" s="30" t="s">
        <v>811</v>
      </c>
      <c r="D12" s="30" t="s">
        <v>825</v>
      </c>
      <c r="E12" s="30" t="s">
        <v>337</v>
      </c>
      <c r="F12" s="31" t="str">
        <f t="array" ref="F12">INDEX('Keyword Master Database'!$E$2:$E$137,MATCH(E12,'Keyword Master Database'!$A$2:$A$137,0))</f>
        <v>Transactional</v>
      </c>
      <c r="G12" s="31" t="str">
        <f t="array" ref="G12">INDEX('Keyword Master Database'!$F$2:$F$137,MATCH(E12,'Keyword Master Database'!$A$2:$A$137,0))</f>
        <v>BOFU</v>
      </c>
      <c r="H12" s="30" t="s">
        <v>340</v>
      </c>
      <c r="I12" s="30" t="s">
        <v>815</v>
      </c>
    </row>
    <row r="13">
      <c r="A13" s="33" t="s">
        <v>821</v>
      </c>
      <c r="B13" s="33" t="str">
        <f t="array" ref="B13">INDEX('Keyword Master Database'!$V$2:$V$137,MATCH(E13,'Keyword Master Database'!$A$2:$A$137,0))</f>
        <v>High</v>
      </c>
      <c r="C13" s="32" t="s">
        <v>811</v>
      </c>
      <c r="D13" s="32" t="s">
        <v>826</v>
      </c>
      <c r="E13" s="32" t="s">
        <v>238</v>
      </c>
      <c r="F13" s="33" t="str">
        <f t="array" ref="F13">INDEX('Keyword Master Database'!$E$2:$E$137,MATCH(E13,'Keyword Master Database'!$A$2:$A$137,0))</f>
        <v>Transactional</v>
      </c>
      <c r="G13" s="33" t="str">
        <f t="array" ref="G13">INDEX('Keyword Master Database'!$F$2:$F$137,MATCH(E13,'Keyword Master Database'!$A$2:$A$137,0))</f>
        <v>BOFU</v>
      </c>
      <c r="H13" s="32" t="s">
        <v>241</v>
      </c>
      <c r="I13" s="32" t="s">
        <v>815</v>
      </c>
    </row>
    <row r="14">
      <c r="A14" s="31" t="s">
        <v>821</v>
      </c>
      <c r="B14" s="31" t="str">
        <f t="array" ref="B14">INDEX('Keyword Master Database'!$V$2:$V$137,MATCH(E14,'Keyword Master Database'!$A$2:$A$137,0))</f>
        <v>Medium</v>
      </c>
      <c r="C14" s="30" t="s">
        <v>811</v>
      </c>
      <c r="D14" s="30" t="s">
        <v>827</v>
      </c>
      <c r="E14" s="30" t="s">
        <v>252</v>
      </c>
      <c r="F14" s="31" t="str">
        <f t="array" ref="F14">INDEX('Keyword Master Database'!$E$2:$E$137,MATCH(E14,'Keyword Master Database'!$A$2:$A$137,0))</f>
        <v>Transactional</v>
      </c>
      <c r="G14" s="31" t="str">
        <f t="array" ref="G14">INDEX('Keyword Master Database'!$F$2:$F$137,MATCH(E14,'Keyword Master Database'!$A$2:$A$137,0))</f>
        <v>BOFU</v>
      </c>
      <c r="H14" s="30" t="s">
        <v>255</v>
      </c>
      <c r="I14" s="30" t="s">
        <v>828</v>
      </c>
    </row>
    <row r="15">
      <c r="A15" s="33" t="s">
        <v>821</v>
      </c>
      <c r="B15" s="33" t="str">
        <f t="array" ref="B15">INDEX('Keyword Master Database'!$V$2:$V$137,MATCH(E15,'Keyword Master Database'!$A$2:$A$137,0))</f>
        <v>High</v>
      </c>
      <c r="C15" s="32" t="s">
        <v>811</v>
      </c>
      <c r="D15" s="32" t="s">
        <v>829</v>
      </c>
      <c r="E15" s="32" t="s">
        <v>293</v>
      </c>
      <c r="F15" s="33" t="str">
        <f t="array" ref="F15">INDEX('Keyword Master Database'!$E$2:$E$137,MATCH(E15,'Keyword Master Database'!$A$2:$A$137,0))</f>
        <v>Transactional</v>
      </c>
      <c r="G15" s="33" t="str">
        <f t="array" ref="G15">INDEX('Keyword Master Database'!$F$2:$F$137,MATCH(E15,'Keyword Master Database'!$A$2:$A$137,0))</f>
        <v>BOFU</v>
      </c>
      <c r="H15" s="32" t="s">
        <v>295</v>
      </c>
      <c r="I15" s="32" t="s">
        <v>815</v>
      </c>
    </row>
    <row r="16">
      <c r="A16" s="31" t="s">
        <v>821</v>
      </c>
      <c r="B16" s="31" t="str">
        <f t="array" ref="B16">INDEX('Keyword Master Database'!$V$2:$V$137,MATCH(E16,'Keyword Master Database'!$A$2:$A$137,0))</f>
        <v>High</v>
      </c>
      <c r="C16" s="30" t="s">
        <v>811</v>
      </c>
      <c r="D16" s="30" t="s">
        <v>830</v>
      </c>
      <c r="E16" s="30" t="s">
        <v>202</v>
      </c>
      <c r="F16" s="31" t="str">
        <f t="array" ref="F16">INDEX('Keyword Master Database'!$E$2:$E$137,MATCH(E16,'Keyword Master Database'!$A$2:$A$137,0))</f>
        <v>Transactional</v>
      </c>
      <c r="G16" s="31" t="str">
        <f t="array" ref="G16">INDEX('Keyword Master Database'!$F$2:$F$137,MATCH(E16,'Keyword Master Database'!$A$2:$A$137,0))</f>
        <v>BOFU</v>
      </c>
      <c r="H16" s="30" t="s">
        <v>205</v>
      </c>
      <c r="I16" s="30" t="s">
        <v>831</v>
      </c>
    </row>
    <row r="17">
      <c r="A17" s="33" t="s">
        <v>821</v>
      </c>
      <c r="B17" s="33" t="str">
        <f t="array" ref="B17">INDEX('Keyword Master Database'!$V$2:$V$137,MATCH(E17,'Keyword Master Database'!$A$2:$A$137,0))</f>
        <v>Medium</v>
      </c>
      <c r="C17" s="32" t="s">
        <v>811</v>
      </c>
      <c r="D17" s="32" t="s">
        <v>832</v>
      </c>
      <c r="E17" s="32" t="s">
        <v>348</v>
      </c>
      <c r="F17" s="33" t="str">
        <f t="array" ref="F17">INDEX('Keyword Master Database'!$E$2:$E$137,MATCH(E17,'Keyword Master Database'!$A$2:$A$137,0))</f>
        <v>Transactional</v>
      </c>
      <c r="G17" s="33" t="str">
        <f t="array" ref="G17">INDEX('Keyword Master Database'!$F$2:$F$137,MATCH(E17,'Keyword Master Database'!$A$2:$A$137,0))</f>
        <v>BOFU</v>
      </c>
      <c r="H17" s="32" t="s">
        <v>351</v>
      </c>
      <c r="I17" s="32" t="s">
        <v>815</v>
      </c>
    </row>
    <row r="18">
      <c r="A18" s="31" t="s">
        <v>821</v>
      </c>
      <c r="B18" s="31" t="str">
        <f t="array" ref="B18">INDEX('Keyword Master Database'!$V$2:$V$137,MATCH(E18,'Keyword Master Database'!$A$2:$A$137,0))</f>
        <v>Medium</v>
      </c>
      <c r="C18" s="30" t="s">
        <v>833</v>
      </c>
      <c r="D18" s="30" t="s">
        <v>834</v>
      </c>
      <c r="E18" s="30" t="s">
        <v>172</v>
      </c>
      <c r="F18" s="31" t="str">
        <f t="array" ref="F18">INDEX('Keyword Master Database'!$E$2:$E$137,MATCH(E18,'Keyword Master Database'!$A$2:$A$137,0))</f>
        <v>Navigational</v>
      </c>
      <c r="G18" s="31" t="str">
        <f t="array" ref="G18">INDEX('Keyword Master Database'!$F$2:$F$137,MATCH(E18,'Keyword Master Database'!$A$2:$A$137,0))</f>
        <v>BOFU</v>
      </c>
      <c r="H18" s="30" t="s">
        <v>173</v>
      </c>
      <c r="I18" s="30" t="s">
        <v>835</v>
      </c>
    </row>
    <row r="19">
      <c r="A19" s="33" t="s">
        <v>836</v>
      </c>
      <c r="B19" s="33" t="str">
        <f t="array" ref="B19">INDEX('Keyword Master Database'!$V$2:$V$137,MATCH(E19,'Keyword Master Database'!$A$2:$A$137,0))</f>
        <v>High</v>
      </c>
      <c r="C19" s="32" t="s">
        <v>837</v>
      </c>
      <c r="D19" s="32" t="s">
        <v>838</v>
      </c>
      <c r="E19" s="32" t="s">
        <v>369</v>
      </c>
      <c r="F19" s="33" t="str">
        <f t="array" ref="F19">INDEX('Keyword Master Database'!$E$2:$E$137,MATCH(E19,'Keyword Master Database'!$A$2:$A$137,0))</f>
        <v>Transactional</v>
      </c>
      <c r="G19" s="33" t="str">
        <f t="array" ref="G19">INDEX('Keyword Master Database'!$F$2:$F$137,MATCH(E19,'Keyword Master Database'!$A$2:$A$137,0))</f>
        <v>BOFU</v>
      </c>
      <c r="H19" s="32" t="s">
        <v>372</v>
      </c>
      <c r="I19" s="32" t="s">
        <v>839</v>
      </c>
    </row>
    <row r="20">
      <c r="A20" s="31" t="s">
        <v>836</v>
      </c>
      <c r="B20" s="31" t="str">
        <f t="array" ref="B20">INDEX('Keyword Master Database'!$V$2:$V$137,MATCH(E20,'Keyword Master Database'!$A$2:$A$137,0))</f>
        <v>High</v>
      </c>
      <c r="C20" s="30" t="s">
        <v>837</v>
      </c>
      <c r="D20" s="30" t="s">
        <v>840</v>
      </c>
      <c r="E20" s="30" t="s">
        <v>374</v>
      </c>
      <c r="F20" s="31" t="str">
        <f t="array" ref="F20">INDEX('Keyword Master Database'!$E$2:$E$137,MATCH(E20,'Keyword Master Database'!$A$2:$A$137,0))</f>
        <v>Transactional</v>
      </c>
      <c r="G20" s="31" t="str">
        <f t="array" ref="G20">INDEX('Keyword Master Database'!$F$2:$F$137,MATCH(E20,'Keyword Master Database'!$A$2:$A$137,0))</f>
        <v>BOFU</v>
      </c>
      <c r="H20" s="30" t="s">
        <v>375</v>
      </c>
      <c r="I20" s="30" t="s">
        <v>839</v>
      </c>
    </row>
    <row r="21" ht="15.75" customHeight="1">
      <c r="A21" s="33" t="s">
        <v>836</v>
      </c>
      <c r="B21" s="33" t="str">
        <f t="array" ref="B21">INDEX('Keyword Master Database'!$V$2:$V$137,MATCH(E21,'Keyword Master Database'!$A$2:$A$137,0))</f>
        <v>High</v>
      </c>
      <c r="C21" s="32" t="s">
        <v>841</v>
      </c>
      <c r="D21" s="32" t="s">
        <v>842</v>
      </c>
      <c r="E21" s="32" t="s">
        <v>381</v>
      </c>
      <c r="F21" s="33" t="str">
        <f t="array" ref="F21">INDEX('Keyword Master Database'!$E$2:$E$137,MATCH(E21,'Keyword Master Database'!$A$2:$A$137,0))</f>
        <v>Transactional</v>
      </c>
      <c r="G21" s="33" t="str">
        <f t="array" ref="G21">INDEX('Keyword Master Database'!$F$2:$F$137,MATCH(E21,'Keyword Master Database'!$A$2:$A$137,0))</f>
        <v>BOFU</v>
      </c>
      <c r="H21" s="32" t="s">
        <v>382</v>
      </c>
      <c r="I21" s="32" t="s">
        <v>843</v>
      </c>
    </row>
    <row r="22" ht="15.75" customHeight="1">
      <c r="A22" s="31" t="s">
        <v>836</v>
      </c>
      <c r="B22" s="31" t="str">
        <f t="array" ref="B22">INDEX('Keyword Master Database'!$V$2:$V$137,MATCH(E22,'Keyword Master Database'!$A$2:$A$137,0))</f>
        <v>High</v>
      </c>
      <c r="C22" s="30" t="s">
        <v>844</v>
      </c>
      <c r="D22" s="30" t="s">
        <v>845</v>
      </c>
      <c r="E22" s="30" t="s">
        <v>357</v>
      </c>
      <c r="F22" s="31" t="str">
        <f t="array" ref="F22">INDEX('Keyword Master Database'!$E$2:$E$137,MATCH(E22,'Keyword Master Database'!$A$2:$A$137,0))</f>
        <v>Transactional</v>
      </c>
      <c r="G22" s="31" t="str">
        <f t="array" ref="G22">INDEX('Keyword Master Database'!$F$2:$F$137,MATCH(E22,'Keyword Master Database'!$A$2:$A$137,0))</f>
        <v>BOFU</v>
      </c>
      <c r="H22" s="30" t="s">
        <v>178</v>
      </c>
      <c r="I22" s="30" t="s">
        <v>846</v>
      </c>
    </row>
    <row r="23" ht="15.75" customHeight="1">
      <c r="A23" s="33" t="s">
        <v>836</v>
      </c>
      <c r="B23" s="33" t="str">
        <f t="array" ref="B23">INDEX('Keyword Master Database'!$V$2:$V$137,MATCH(E23,'Keyword Master Database'!$A$2:$A$137,0))</f>
        <v>High</v>
      </c>
      <c r="C23" s="32" t="s">
        <v>844</v>
      </c>
      <c r="D23" s="32" t="s">
        <v>847</v>
      </c>
      <c r="E23" s="32" t="s">
        <v>213</v>
      </c>
      <c r="F23" s="33" t="str">
        <f t="array" ref="F23">INDEX('Keyword Master Database'!$E$2:$E$137,MATCH(E23,'Keyword Master Database'!$A$2:$A$137,0))</f>
        <v>Transactional</v>
      </c>
      <c r="G23" s="33" t="str">
        <f t="array" ref="G23">INDEX('Keyword Master Database'!$F$2:$F$137,MATCH(E23,'Keyword Master Database'!$A$2:$A$137,0))</f>
        <v>BOFU</v>
      </c>
      <c r="H23" s="32" t="s">
        <v>214</v>
      </c>
      <c r="I23" s="32" t="s">
        <v>848</v>
      </c>
    </row>
    <row r="24" ht="15.75" customHeight="1">
      <c r="A24" s="31" t="s">
        <v>849</v>
      </c>
      <c r="B24" s="31" t="str">
        <f t="array" ref="B24">INDEX('Keyword Master Database'!$V$2:$V$137,MATCH(E24,'Keyword Master Database'!$A$2:$A$137,0))</f>
        <v>High</v>
      </c>
      <c r="C24" s="30" t="s">
        <v>850</v>
      </c>
      <c r="D24" s="30" t="s">
        <v>597</v>
      </c>
      <c r="E24" s="30" t="s">
        <v>309</v>
      </c>
      <c r="F24" s="31" t="str">
        <f t="array" ref="F24">INDEX('Keyword Master Database'!$E$2:$E$137,MATCH(E24,'Keyword Master Database'!$A$2:$A$137,0))</f>
        <v>Commercial</v>
      </c>
      <c r="G24" s="31" t="str">
        <f t="array" ref="G24">INDEX('Keyword Master Database'!$F$2:$F$137,MATCH(E24,'Keyword Master Database'!$A$2:$A$137,0))</f>
        <v>MOFU</v>
      </c>
      <c r="H24" s="30" t="s">
        <v>310</v>
      </c>
      <c r="I24" s="30" t="s">
        <v>851</v>
      </c>
    </row>
    <row r="25" ht="15.75" customHeight="1">
      <c r="A25" s="33" t="s">
        <v>849</v>
      </c>
      <c r="B25" s="33" t="str">
        <f t="array" ref="B25">INDEX('Keyword Master Database'!$V$2:$V$137,MATCH(E25,'Keyword Master Database'!$A$2:$A$137,0))</f>
        <v>High</v>
      </c>
      <c r="C25" s="32" t="s">
        <v>850</v>
      </c>
      <c r="D25" s="32" t="s">
        <v>598</v>
      </c>
      <c r="E25" s="32" t="s">
        <v>311</v>
      </c>
      <c r="F25" s="33" t="str">
        <f t="array" ref="F25">INDEX('Keyword Master Database'!$E$2:$E$137,MATCH(E25,'Keyword Master Database'!$A$2:$A$137,0))</f>
        <v>Commercial</v>
      </c>
      <c r="G25" s="33" t="str">
        <f t="array" ref="G25">INDEX('Keyword Master Database'!$F$2:$F$137,MATCH(E25,'Keyword Master Database'!$A$2:$A$137,0))</f>
        <v>MOFU</v>
      </c>
      <c r="H25" s="32" t="s">
        <v>312</v>
      </c>
      <c r="I25" s="32" t="s">
        <v>851</v>
      </c>
    </row>
    <row r="26" ht="15.75" customHeight="1">
      <c r="A26" s="31" t="s">
        <v>849</v>
      </c>
      <c r="B26" s="31" t="str">
        <f t="array" ref="B26">INDEX('Keyword Master Database'!$V$2:$V$137,MATCH(E26,'Keyword Master Database'!$A$2:$A$137,0))</f>
        <v>Medium</v>
      </c>
      <c r="C26" s="30" t="s">
        <v>850</v>
      </c>
      <c r="D26" s="30" t="s">
        <v>599</v>
      </c>
      <c r="E26" s="30" t="s">
        <v>233</v>
      </c>
      <c r="F26" s="31" t="str">
        <f t="array" ref="F26">INDEX('Keyword Master Database'!$E$2:$E$137,MATCH(E26,'Keyword Master Database'!$A$2:$A$137,0))</f>
        <v>Informational</v>
      </c>
      <c r="G26" s="31" t="str">
        <f t="array" ref="G26">INDEX('Keyword Master Database'!$F$2:$F$137,MATCH(E26,'Keyword Master Database'!$A$2:$A$137,0))</f>
        <v>TOFU</v>
      </c>
      <c r="H26" s="30" t="s">
        <v>234</v>
      </c>
      <c r="I26" s="30" t="s">
        <v>851</v>
      </c>
    </row>
    <row r="27" ht="15.75" customHeight="1">
      <c r="A27" s="33" t="s">
        <v>849</v>
      </c>
      <c r="B27" s="33" t="str">
        <f t="array" ref="B27">INDEX('Keyword Master Database'!$V$2:$V$137,MATCH(E27,'Keyword Master Database'!$A$2:$A$137,0))</f>
        <v>High</v>
      </c>
      <c r="C27" s="32" t="s">
        <v>850</v>
      </c>
      <c r="D27" s="32" t="s">
        <v>600</v>
      </c>
      <c r="E27" s="32" t="s">
        <v>291</v>
      </c>
      <c r="F27" s="33" t="str">
        <f t="array" ref="F27">INDEX('Keyword Master Database'!$E$2:$E$137,MATCH(E27,'Keyword Master Database'!$A$2:$A$137,0))</f>
        <v>Commercial</v>
      </c>
      <c r="G27" s="33" t="str">
        <f t="array" ref="G27">INDEX('Keyword Master Database'!$F$2:$F$137,MATCH(E27,'Keyword Master Database'!$A$2:$A$137,0))</f>
        <v>MOFU</v>
      </c>
      <c r="H27" s="32" t="s">
        <v>292</v>
      </c>
      <c r="I27" s="32" t="s">
        <v>851</v>
      </c>
    </row>
    <row r="28" ht="15.75" customHeight="1">
      <c r="A28" s="31" t="s">
        <v>849</v>
      </c>
      <c r="B28" s="31" t="str">
        <f t="array" ref="B28">INDEX('Keyword Master Database'!$V$2:$V$137,MATCH(E28,'Keyword Master Database'!$A$2:$A$137,0))</f>
        <v>Low</v>
      </c>
      <c r="C28" s="30" t="s">
        <v>850</v>
      </c>
      <c r="D28" s="30" t="s">
        <v>601</v>
      </c>
      <c r="E28" s="30" t="s">
        <v>286</v>
      </c>
      <c r="F28" s="31" t="str">
        <f t="array" ref="F28">INDEX('Keyword Master Database'!$E$2:$E$137,MATCH(E28,'Keyword Master Database'!$A$2:$A$137,0))</f>
        <v>Informational</v>
      </c>
      <c r="G28" s="31" t="str">
        <f t="array" ref="G28">INDEX('Keyword Master Database'!$F$2:$F$137,MATCH(E28,'Keyword Master Database'!$A$2:$A$137,0))</f>
        <v>TOFU</v>
      </c>
      <c r="H28" s="30" t="s">
        <v>287</v>
      </c>
      <c r="I28" s="30" t="s">
        <v>851</v>
      </c>
    </row>
    <row r="29" ht="15.75" customHeight="1">
      <c r="A29" s="33" t="s">
        <v>849</v>
      </c>
      <c r="B29" s="33" t="str">
        <f t="array" ref="B29">INDEX('Keyword Master Database'!$V$2:$V$137,MATCH(E29,'Keyword Master Database'!$A$2:$A$137,0))</f>
        <v>Low</v>
      </c>
      <c r="C29" s="32" t="s">
        <v>850</v>
      </c>
      <c r="D29" s="32" t="s">
        <v>602</v>
      </c>
      <c r="E29" s="32" t="s">
        <v>288</v>
      </c>
      <c r="F29" s="33" t="str">
        <f t="array" ref="F29">INDEX('Keyword Master Database'!$E$2:$E$137,MATCH(E29,'Keyword Master Database'!$A$2:$A$137,0))</f>
        <v>Informational</v>
      </c>
      <c r="G29" s="33" t="str">
        <f t="array" ref="G29">INDEX('Keyword Master Database'!$F$2:$F$137,MATCH(E29,'Keyword Master Database'!$A$2:$A$137,0))</f>
        <v>TOFU</v>
      </c>
      <c r="H29" s="32" t="s">
        <v>289</v>
      </c>
      <c r="I29" s="32" t="s">
        <v>851</v>
      </c>
    </row>
    <row r="30" ht="15.75" customHeight="1">
      <c r="A30" s="31" t="s">
        <v>852</v>
      </c>
      <c r="B30" s="31" t="str">
        <f t="array" ref="B30">INDEX('Keyword Master Database'!$V$2:$V$137,MATCH(E30,'Keyword Master Database'!$A$2:$A$137,0))</f>
        <v>Medium</v>
      </c>
      <c r="C30" s="30" t="s">
        <v>850</v>
      </c>
      <c r="D30" s="30" t="s">
        <v>603</v>
      </c>
      <c r="E30" s="30" t="s">
        <v>277</v>
      </c>
      <c r="F30" s="31" t="str">
        <f t="array" ref="F30">INDEX('Keyword Master Database'!$E$2:$E$137,MATCH(E30,'Keyword Master Database'!$A$2:$A$137,0))</f>
        <v>Commercial</v>
      </c>
      <c r="G30" s="31" t="str">
        <f t="array" ref="G30">INDEX('Keyword Master Database'!$F$2:$F$137,MATCH(E30,'Keyword Master Database'!$A$2:$A$137,0))</f>
        <v>MOFU</v>
      </c>
      <c r="H30" s="30" t="s">
        <v>278</v>
      </c>
      <c r="I30" s="30" t="s">
        <v>851</v>
      </c>
    </row>
    <row r="31" ht="15.75" customHeight="1">
      <c r="A31" s="33" t="s">
        <v>852</v>
      </c>
      <c r="B31" s="33" t="str">
        <f t="array" ref="B31">INDEX('Keyword Master Database'!$V$2:$V$137,MATCH(E31,'Keyword Master Database'!$A$2:$A$137,0))</f>
        <v>Medium</v>
      </c>
      <c r="C31" s="32" t="s">
        <v>850</v>
      </c>
      <c r="D31" s="32" t="s">
        <v>604</v>
      </c>
      <c r="E31" s="32" t="s">
        <v>335</v>
      </c>
      <c r="F31" s="33" t="str">
        <f t="array" ref="F31">INDEX('Keyword Master Database'!$E$2:$E$137,MATCH(E31,'Keyword Master Database'!$A$2:$A$137,0))</f>
        <v>Commercial</v>
      </c>
      <c r="G31" s="33" t="str">
        <f t="array" ref="G31">INDEX('Keyword Master Database'!$F$2:$F$137,MATCH(E31,'Keyword Master Database'!$A$2:$A$137,0))</f>
        <v>MOFU</v>
      </c>
      <c r="H31" s="32" t="s">
        <v>336</v>
      </c>
      <c r="I31" s="32" t="s">
        <v>851</v>
      </c>
    </row>
    <row r="32" ht="15.75" customHeight="1">
      <c r="A32" s="31" t="s">
        <v>852</v>
      </c>
      <c r="B32" s="31" t="str">
        <f t="array" ref="B32">INDEX('Keyword Master Database'!$V$2:$V$137,MATCH(E32,'Keyword Master Database'!$A$2:$A$137,0))</f>
        <v>High</v>
      </c>
      <c r="C32" s="30" t="s">
        <v>850</v>
      </c>
      <c r="D32" s="30" t="s">
        <v>605</v>
      </c>
      <c r="E32" s="30" t="s">
        <v>346</v>
      </c>
      <c r="F32" s="31" t="str">
        <f t="array" ref="F32">INDEX('Keyword Master Database'!$E$2:$E$137,MATCH(E32,'Keyword Master Database'!$A$2:$A$137,0))</f>
        <v>Commercial</v>
      </c>
      <c r="G32" s="31" t="str">
        <f t="array" ref="G32">INDEX('Keyword Master Database'!$F$2:$F$137,MATCH(E32,'Keyword Master Database'!$A$2:$A$137,0))</f>
        <v>MOFU</v>
      </c>
      <c r="H32" s="30" t="s">
        <v>347</v>
      </c>
      <c r="I32" s="30" t="s">
        <v>851</v>
      </c>
    </row>
    <row r="33" ht="15.75" customHeight="1">
      <c r="A33" s="33" t="s">
        <v>852</v>
      </c>
      <c r="B33" s="33" t="str">
        <f t="array" ref="B33">INDEX('Keyword Master Database'!$V$2:$V$137,MATCH(E33,'Keyword Master Database'!$A$2:$A$137,0))</f>
        <v>Medium</v>
      </c>
      <c r="C33" s="32" t="s">
        <v>850</v>
      </c>
      <c r="D33" s="32" t="s">
        <v>606</v>
      </c>
      <c r="E33" s="32" t="s">
        <v>402</v>
      </c>
      <c r="F33" s="33" t="str">
        <f t="array" ref="F33">INDEX('Keyword Master Database'!$E$2:$E$137,MATCH(E33,'Keyword Master Database'!$A$2:$A$137,0))</f>
        <v>Commercial</v>
      </c>
      <c r="G33" s="33" t="str">
        <f t="array" ref="G33">INDEX('Keyword Master Database'!$F$2:$F$137,MATCH(E33,'Keyword Master Database'!$A$2:$A$137,0))</f>
        <v>MOFU</v>
      </c>
      <c r="H33" s="32" t="s">
        <v>404</v>
      </c>
      <c r="I33" s="32" t="s">
        <v>851</v>
      </c>
    </row>
    <row r="34" ht="15.75" customHeight="1">
      <c r="A34" s="31" t="s">
        <v>852</v>
      </c>
      <c r="B34" s="31" t="str">
        <f t="array" ref="B34">INDEX('Keyword Master Database'!$V$2:$V$137,MATCH(E34,'Keyword Master Database'!$A$2:$A$137,0))</f>
        <v>Low</v>
      </c>
      <c r="C34" s="30" t="s">
        <v>850</v>
      </c>
      <c r="D34" s="30" t="s">
        <v>607</v>
      </c>
      <c r="E34" s="30" t="s">
        <v>300</v>
      </c>
      <c r="F34" s="31" t="str">
        <f t="array" ref="F34">INDEX('Keyword Master Database'!$E$2:$E$137,MATCH(E34,'Keyword Master Database'!$A$2:$A$137,0))</f>
        <v>Informational</v>
      </c>
      <c r="G34" s="31" t="str">
        <f t="array" ref="G34">INDEX('Keyword Master Database'!$F$2:$F$137,MATCH(E34,'Keyword Master Database'!$A$2:$A$137,0))</f>
        <v>TOFU</v>
      </c>
      <c r="H34" s="30" t="s">
        <v>301</v>
      </c>
      <c r="I34" s="30" t="s">
        <v>851</v>
      </c>
    </row>
    <row r="35" ht="15.75" customHeight="1">
      <c r="A35" s="33" t="s">
        <v>852</v>
      </c>
      <c r="B35" s="33" t="str">
        <f t="array" ref="B35">INDEX('Keyword Master Database'!$V$2:$V$137,MATCH(E35,'Keyword Master Database'!$A$2:$A$137,0))</f>
        <v>Low</v>
      </c>
      <c r="C35" s="32" t="s">
        <v>850</v>
      </c>
      <c r="D35" s="32" t="s">
        <v>608</v>
      </c>
      <c r="E35" s="32" t="s">
        <v>236</v>
      </c>
      <c r="F35" s="33" t="str">
        <f t="array" ref="F35">INDEX('Keyword Master Database'!$E$2:$E$137,MATCH(E35,'Keyword Master Database'!$A$2:$A$137,0))</f>
        <v>Informational</v>
      </c>
      <c r="G35" s="33" t="str">
        <f t="array" ref="G35">INDEX('Keyword Master Database'!$F$2:$F$137,MATCH(E35,'Keyword Master Database'!$A$2:$A$137,0))</f>
        <v>TOFU</v>
      </c>
      <c r="H35" s="32" t="s">
        <v>237</v>
      </c>
      <c r="I35" s="32" t="s">
        <v>851</v>
      </c>
    </row>
    <row r="36" ht="15.75" customHeight="1">
      <c r="A36" s="31" t="s">
        <v>853</v>
      </c>
      <c r="B36" s="31" t="str">
        <f t="array" ref="B36">INDEX('Keyword Master Database'!$V$2:$V$137,MATCH(E36,'Keyword Master Database'!$A$2:$A$137,0))</f>
        <v>Low</v>
      </c>
      <c r="C36" s="30" t="s">
        <v>850</v>
      </c>
      <c r="D36" s="30" t="s">
        <v>609</v>
      </c>
      <c r="E36" s="30" t="s">
        <v>268</v>
      </c>
      <c r="F36" s="31" t="str">
        <f t="array" ref="F36">INDEX('Keyword Master Database'!$E$2:$E$137,MATCH(E36,'Keyword Master Database'!$A$2:$A$137,0))</f>
        <v>Informational</v>
      </c>
      <c r="G36" s="31" t="str">
        <f t="array" ref="G36">INDEX('Keyword Master Database'!$F$2:$F$137,MATCH(E36,'Keyword Master Database'!$A$2:$A$137,0))</f>
        <v>TOFU</v>
      </c>
      <c r="H36" s="30" t="s">
        <v>269</v>
      </c>
      <c r="I36" s="30" t="s">
        <v>851</v>
      </c>
    </row>
    <row r="37" ht="15.75" customHeight="1">
      <c r="A37" s="33" t="s">
        <v>853</v>
      </c>
      <c r="B37" s="33" t="str">
        <f t="array" ref="B37">INDEX('Keyword Master Database'!$V$2:$V$137,MATCH(E37,'Keyword Master Database'!$A$2:$A$137,0))</f>
        <v>Low</v>
      </c>
      <c r="C37" s="32" t="s">
        <v>850</v>
      </c>
      <c r="D37" s="32" t="s">
        <v>610</v>
      </c>
      <c r="E37" s="32" t="s">
        <v>354</v>
      </c>
      <c r="F37" s="33" t="str">
        <f t="array" ref="F37">INDEX('Keyword Master Database'!$E$2:$E$137,MATCH(E37,'Keyword Master Database'!$A$2:$A$137,0))</f>
        <v>Informational</v>
      </c>
      <c r="G37" s="33" t="str">
        <f t="array" ref="G37">INDEX('Keyword Master Database'!$F$2:$F$137,MATCH(E37,'Keyword Master Database'!$A$2:$A$137,0))</f>
        <v>TOFU</v>
      </c>
      <c r="H37" s="32" t="s">
        <v>355</v>
      </c>
      <c r="I37" s="32" t="s">
        <v>851</v>
      </c>
    </row>
    <row r="38" ht="15.75" customHeight="1">
      <c r="A38" s="31" t="s">
        <v>853</v>
      </c>
      <c r="B38" s="31" t="str">
        <f t="array" ref="B38">INDEX('Keyword Master Database'!$V$2:$V$137,MATCH(E38,'Keyword Master Database'!$A$2:$A$137,0))</f>
        <v>Medium</v>
      </c>
      <c r="C38" s="30" t="s">
        <v>850</v>
      </c>
      <c r="D38" s="30" t="s">
        <v>611</v>
      </c>
      <c r="E38" s="30" t="s">
        <v>245</v>
      </c>
      <c r="F38" s="31" t="str">
        <f t="array" ref="F38">INDEX('Keyword Master Database'!$E$2:$E$137,MATCH(E38,'Keyword Master Database'!$A$2:$A$137,0))</f>
        <v>Commercial</v>
      </c>
      <c r="G38" s="31" t="str">
        <f t="array" ref="G38">INDEX('Keyword Master Database'!$F$2:$F$137,MATCH(E38,'Keyword Master Database'!$A$2:$A$137,0))</f>
        <v>MOFU</v>
      </c>
      <c r="H38" s="30" t="s">
        <v>247</v>
      </c>
      <c r="I38" s="30" t="s">
        <v>851</v>
      </c>
    </row>
    <row r="39" ht="15.75" customHeight="1">
      <c r="A39" s="33" t="s">
        <v>853</v>
      </c>
      <c r="B39" s="33" t="str">
        <f t="array" ref="B39">INDEX('Keyword Master Database'!$V$2:$V$137,MATCH(E39,'Keyword Master Database'!$A$2:$A$137,0))</f>
        <v>Low</v>
      </c>
      <c r="C39" s="32" t="s">
        <v>850</v>
      </c>
      <c r="D39" s="32" t="s">
        <v>612</v>
      </c>
      <c r="E39" s="32" t="s">
        <v>260</v>
      </c>
      <c r="F39" s="33" t="str">
        <f t="array" ref="F39">INDEX('Keyword Master Database'!$E$2:$E$137,MATCH(E39,'Keyword Master Database'!$A$2:$A$137,0))</f>
        <v>Informational</v>
      </c>
      <c r="G39" s="33" t="str">
        <f t="array" ref="G39">INDEX('Keyword Master Database'!$F$2:$F$137,MATCH(E39,'Keyword Master Database'!$A$2:$A$137,0))</f>
        <v>TOFU</v>
      </c>
      <c r="H39" s="32" t="s">
        <v>261</v>
      </c>
      <c r="I39" s="32" t="s">
        <v>851</v>
      </c>
    </row>
    <row r="40" ht="15.75" customHeight="1">
      <c r="A40" s="31" t="s">
        <v>853</v>
      </c>
      <c r="B40" s="31" t="str">
        <f t="array" ref="B40">INDEX('Keyword Master Database'!$V$2:$V$137,MATCH(E40,'Keyword Master Database'!$A$2:$A$137,0))</f>
        <v>Medium</v>
      </c>
      <c r="C40" s="30" t="s">
        <v>850</v>
      </c>
      <c r="D40" s="30" t="s">
        <v>613</v>
      </c>
      <c r="E40" s="30" t="s">
        <v>231</v>
      </c>
      <c r="F40" s="31" t="str">
        <f t="array" ref="F40">INDEX('Keyword Master Database'!$E$2:$E$137,MATCH(E40,'Keyword Master Database'!$A$2:$A$137,0))</f>
        <v>Informational</v>
      </c>
      <c r="G40" s="31" t="str">
        <f t="array" ref="G40">INDEX('Keyword Master Database'!$F$2:$F$137,MATCH(E40,'Keyword Master Database'!$A$2:$A$137,0))</f>
        <v>TOFU</v>
      </c>
      <c r="H40" s="30" t="s">
        <v>232</v>
      </c>
      <c r="I40" s="30" t="s">
        <v>851</v>
      </c>
    </row>
    <row r="41" ht="15.75" customHeight="1">
      <c r="A41" s="33" t="s">
        <v>853</v>
      </c>
      <c r="B41" s="33" t="str">
        <f t="array" ref="B41">INDEX('Keyword Master Database'!$V$2:$V$137,MATCH(E41,'Keyword Master Database'!$A$2:$A$137,0))</f>
        <v>Low</v>
      </c>
      <c r="C41" s="32" t="s">
        <v>850</v>
      </c>
      <c r="D41" s="32" t="s">
        <v>614</v>
      </c>
      <c r="E41" s="32" t="s">
        <v>248</v>
      </c>
      <c r="F41" s="33" t="str">
        <f t="array" ref="F41">INDEX('Keyword Master Database'!$E$2:$E$137,MATCH(E41,'Keyword Master Database'!$A$2:$A$137,0))</f>
        <v>Informational</v>
      </c>
      <c r="G41" s="33" t="str">
        <f t="array" ref="G41">INDEX('Keyword Master Database'!$F$2:$F$137,MATCH(E41,'Keyword Master Database'!$A$2:$A$137,0))</f>
        <v>TOFU</v>
      </c>
      <c r="H41" s="32" t="s">
        <v>249</v>
      </c>
      <c r="I41" s="32" t="s">
        <v>851</v>
      </c>
    </row>
    <row r="42" ht="15.75" customHeight="1">
      <c r="A42" s="31" t="s">
        <v>854</v>
      </c>
      <c r="B42" s="31" t="str">
        <f t="array" ref="B42">INDEX('Keyword Master Database'!$V$2:$V$137,MATCH(E42,'Keyword Master Database'!$A$2:$A$137,0))</f>
        <v>Low</v>
      </c>
      <c r="C42" s="30" t="s">
        <v>850</v>
      </c>
      <c r="D42" s="30" t="s">
        <v>615</v>
      </c>
      <c r="E42" s="30" t="s">
        <v>211</v>
      </c>
      <c r="F42" s="31" t="str">
        <f t="array" ref="F42">INDEX('Keyword Master Database'!$E$2:$E$137,MATCH(E42,'Keyword Master Database'!$A$2:$A$137,0))</f>
        <v>Informational</v>
      </c>
      <c r="G42" s="31" t="str">
        <f t="array" ref="G42">INDEX('Keyword Master Database'!$F$2:$F$137,MATCH(E42,'Keyword Master Database'!$A$2:$A$137,0))</f>
        <v>TOFU</v>
      </c>
      <c r="H42" s="30" t="s">
        <v>212</v>
      </c>
      <c r="I42" s="30" t="s">
        <v>851</v>
      </c>
    </row>
    <row r="43" ht="15.75" customHeight="1">
      <c r="A43" s="33" t="s">
        <v>854</v>
      </c>
      <c r="B43" s="33" t="str">
        <f t="array" ref="B43">INDEX('Keyword Master Database'!$V$2:$V$137,MATCH(E43,'Keyword Master Database'!$A$2:$A$137,0))</f>
        <v>Low</v>
      </c>
      <c r="C43" s="32" t="s">
        <v>850</v>
      </c>
      <c r="D43" s="32" t="s">
        <v>616</v>
      </c>
      <c r="E43" s="32" t="s">
        <v>394</v>
      </c>
      <c r="F43" s="33" t="str">
        <f t="array" ref="F43">INDEX('Keyword Master Database'!$E$2:$E$137,MATCH(E43,'Keyword Master Database'!$A$2:$A$137,0))</f>
        <v>Informational</v>
      </c>
      <c r="G43" s="33" t="str">
        <f t="array" ref="G43">INDEX('Keyword Master Database'!$F$2:$F$137,MATCH(E43,'Keyword Master Database'!$A$2:$A$137,0))</f>
        <v>TOFU</v>
      </c>
      <c r="H43" s="32" t="s">
        <v>397</v>
      </c>
      <c r="I43" s="32" t="s">
        <v>851</v>
      </c>
    </row>
    <row r="44" ht="15.75" customHeight="1">
      <c r="A44" s="31" t="s">
        <v>854</v>
      </c>
      <c r="B44" s="31" t="str">
        <f t="array" ref="B44">INDEX('Keyword Master Database'!$V$2:$V$137,MATCH(E44,'Keyword Master Database'!$A$2:$A$137,0))</f>
        <v>Low</v>
      </c>
      <c r="C44" s="30" t="s">
        <v>850</v>
      </c>
      <c r="D44" s="30" t="s">
        <v>617</v>
      </c>
      <c r="E44" s="30" t="s">
        <v>398</v>
      </c>
      <c r="F44" s="31" t="str">
        <f t="array" ref="F44">INDEX('Keyword Master Database'!$E$2:$E$137,MATCH(E44,'Keyword Master Database'!$A$2:$A$137,0))</f>
        <v>Informational</v>
      </c>
      <c r="G44" s="31" t="str">
        <f t="array" ref="G44">INDEX('Keyword Master Database'!$F$2:$F$137,MATCH(E44,'Keyword Master Database'!$A$2:$A$137,0))</f>
        <v>TOFU</v>
      </c>
      <c r="H44" s="30" t="s">
        <v>399</v>
      </c>
      <c r="I44" s="30" t="s">
        <v>851</v>
      </c>
    </row>
    <row r="45" ht="15.75" customHeight="1">
      <c r="A45" s="33" t="s">
        <v>854</v>
      </c>
      <c r="B45" s="33" t="str">
        <f t="array" ref="B45">INDEX('Keyword Master Database'!$V$2:$V$137,MATCH(E45,'Keyword Master Database'!$A$2:$A$137,0))</f>
        <v>Low</v>
      </c>
      <c r="C45" s="32" t="s">
        <v>850</v>
      </c>
      <c r="D45" s="32" t="s">
        <v>618</v>
      </c>
      <c r="E45" s="32" t="s">
        <v>400</v>
      </c>
      <c r="F45" s="33" t="str">
        <f t="array" ref="F45">INDEX('Keyword Master Database'!$E$2:$E$137,MATCH(E45,'Keyword Master Database'!$A$2:$A$137,0))</f>
        <v>Informational</v>
      </c>
      <c r="G45" s="33" t="str">
        <f t="array" ref="G45">INDEX('Keyword Master Database'!$F$2:$F$137,MATCH(E45,'Keyword Master Database'!$A$2:$A$137,0))</f>
        <v>TOFU</v>
      </c>
      <c r="H45" s="32" t="s">
        <v>401</v>
      </c>
      <c r="I45" s="32" t="s">
        <v>851</v>
      </c>
    </row>
    <row r="46" ht="15.75" customHeight="1">
      <c r="A46" s="31" t="s">
        <v>854</v>
      </c>
      <c r="B46" s="31" t="str">
        <f t="array" ref="B46">INDEX('Keyword Master Database'!$V$2:$V$137,MATCH(E46,'Keyword Master Database'!$A$2:$A$137,0))</f>
        <v>Medium</v>
      </c>
      <c r="C46" s="30" t="s">
        <v>850</v>
      </c>
      <c r="D46" s="30" t="s">
        <v>619</v>
      </c>
      <c r="E46" s="30" t="s">
        <v>406</v>
      </c>
      <c r="F46" s="31" t="str">
        <f t="array" ref="F46">INDEX('Keyword Master Database'!$E$2:$E$137,MATCH(E46,'Keyword Master Database'!$A$2:$A$137,0))</f>
        <v>Commercial</v>
      </c>
      <c r="G46" s="31" t="str">
        <f t="array" ref="G46">INDEX('Keyword Master Database'!$F$2:$F$137,MATCH(E46,'Keyword Master Database'!$A$2:$A$137,0))</f>
        <v>MOFU</v>
      </c>
      <c r="H46" s="30" t="s">
        <v>407</v>
      </c>
      <c r="I46" s="30" t="s">
        <v>851</v>
      </c>
    </row>
    <row r="47" ht="15.75" customHeight="1">
      <c r="A47" s="33" t="s">
        <v>854</v>
      </c>
      <c r="B47" s="33" t="str">
        <f t="array" ref="B47">INDEX('Keyword Master Database'!$V$2:$V$137,MATCH(E47,'Keyword Master Database'!$A$2:$A$137,0))</f>
        <v>Low</v>
      </c>
      <c r="C47" s="32" t="s">
        <v>850</v>
      </c>
      <c r="D47" s="32" t="s">
        <v>620</v>
      </c>
      <c r="E47" s="32" t="s">
        <v>408</v>
      </c>
      <c r="F47" s="33" t="str">
        <f t="array" ref="F47">INDEX('Keyword Master Database'!$E$2:$E$137,MATCH(E47,'Keyword Master Database'!$A$2:$A$137,0))</f>
        <v>Informational</v>
      </c>
      <c r="G47" s="33" t="str">
        <f t="array" ref="G47">INDEX('Keyword Master Database'!$F$2:$F$137,MATCH(E47,'Keyword Master Database'!$A$2:$A$137,0))</f>
        <v>TOFU</v>
      </c>
      <c r="H47" s="32" t="s">
        <v>409</v>
      </c>
      <c r="I47" s="32" t="s">
        <v>851</v>
      </c>
    </row>
    <row r="48" ht="15.75" customHeight="1">
      <c r="A48" s="31" t="s">
        <v>854</v>
      </c>
      <c r="B48" s="31" t="str">
        <f t="array" ref="B48">INDEX('Keyword Master Database'!$V$2:$V$137,MATCH(E48,'Keyword Master Database'!$A$2:$A$137,0))</f>
        <v>Medium</v>
      </c>
      <c r="C48" s="30" t="s">
        <v>850</v>
      </c>
      <c r="D48" s="30" t="s">
        <v>621</v>
      </c>
      <c r="E48" s="30" t="s">
        <v>367</v>
      </c>
      <c r="F48" s="31" t="str">
        <f t="array" ref="F48">INDEX('Keyword Master Database'!$E$2:$E$137,MATCH(E48,'Keyword Master Database'!$A$2:$A$137,0))</f>
        <v>Commercial</v>
      </c>
      <c r="G48" s="31" t="str">
        <f t="array" ref="G48">INDEX('Keyword Master Database'!$F$2:$F$137,MATCH(E48,'Keyword Master Database'!$A$2:$A$137,0))</f>
        <v>MOFU</v>
      </c>
      <c r="H48" s="30" t="s">
        <v>368</v>
      </c>
      <c r="I48" s="30" t="s">
        <v>851</v>
      </c>
    </row>
    <row r="49" ht="15.75" customHeight="1">
      <c r="A49" s="33" t="s">
        <v>854</v>
      </c>
      <c r="B49" s="33" t="str">
        <f t="array" ref="B49">INDEX('Keyword Master Database'!$V$2:$V$137,MATCH(E49,'Keyword Master Database'!$A$2:$A$137,0))</f>
        <v>Low</v>
      </c>
      <c r="C49" s="32" t="s">
        <v>850</v>
      </c>
      <c r="D49" s="32" t="s">
        <v>622</v>
      </c>
      <c r="E49" s="32" t="s">
        <v>250</v>
      </c>
      <c r="F49" s="33" t="str">
        <f t="array" ref="F49">INDEX('Keyword Master Database'!$E$2:$E$137,MATCH(E49,'Keyword Master Database'!$A$2:$A$137,0))</f>
        <v>Informational</v>
      </c>
      <c r="G49" s="33" t="str">
        <f t="array" ref="G49">INDEX('Keyword Master Database'!$F$2:$F$137,MATCH(E49,'Keyword Master Database'!$A$2:$A$137,0))</f>
        <v>TOFU</v>
      </c>
      <c r="H49" s="32" t="s">
        <v>251</v>
      </c>
      <c r="I49" s="32" t="s">
        <v>851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49">
    <cfRule type="cellIs" dxfId="3" priority="1" operator="equal">
      <formula>"Critical"</formula>
    </cfRule>
  </conditionalFormatting>
  <conditionalFormatting sqref="B2:B49">
    <cfRule type="cellIs" dxfId="6" priority="2" operator="equal">
      <formula>"High"</formula>
    </cfRule>
  </conditionalFormatting>
  <conditionalFormatting sqref="B2:B49">
    <cfRule type="cellIs" dxfId="7" priority="3" operator="equal">
      <formula>"Medium"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227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9.29"/>
    <col customWidth="1" min="2" max="2" width="13.0"/>
    <col customWidth="1" min="3" max="3" width="7.29"/>
    <col customWidth="1" min="4" max="4" width="11.57"/>
    <col customWidth="1" min="5" max="5" width="55.71"/>
    <col customWidth="1" min="6" max="6" width="61.86"/>
    <col customWidth="1" min="7" max="7" width="11.86"/>
    <col customWidth="1" min="8" max="8" width="7.43"/>
    <col customWidth="1" min="9" max="9" width="8.14"/>
    <col customWidth="1" min="10" max="26" width="8.71"/>
  </cols>
  <sheetData>
    <row r="1">
      <c r="A1" s="20" t="s">
        <v>125</v>
      </c>
      <c r="B1" s="20" t="s">
        <v>422</v>
      </c>
      <c r="C1" s="20" t="s">
        <v>130</v>
      </c>
      <c r="D1" s="20" t="s">
        <v>102</v>
      </c>
      <c r="E1" s="20" t="s">
        <v>855</v>
      </c>
      <c r="F1" s="20" t="s">
        <v>148</v>
      </c>
      <c r="G1" s="20" t="s">
        <v>856</v>
      </c>
      <c r="H1" s="20" t="s">
        <v>857</v>
      </c>
      <c r="I1" s="20" t="s">
        <v>146</v>
      </c>
    </row>
    <row r="2">
      <c r="A2" s="30" t="s">
        <v>218</v>
      </c>
      <c r="B2" s="31" t="str">
        <f t="array" ref="B2">INDEX('Keyword Master Database'!$E$2:$E$137,MATCH(A2,'Keyword Master Database'!$A$2:$A$137,0))</f>
        <v>Transactional</v>
      </c>
      <c r="C2" s="31" t="str">
        <f t="array" ref="C2">INDEX('Keyword Master Database'!$F$2:$F$137,MATCH(A2,'Keyword Master Database'!$A$2:$A$137,0))</f>
        <v>BOFU</v>
      </c>
      <c r="D2" s="31" t="str">
        <f t="array" ref="D2">IF(AND(INDEX('Keyword Master Database'!$I$2:$I$137,MATCH(A2,'Keyword Master Database'!$A$2:$A$137,0))&lt;=20,INDEX('Keyword Master Database'!$U$2:$U$137,MATCH(A2,'Keyword Master Database'!$A$2:$A$137,0))&gt;=75),"High",IF(INDEX('Keyword Master Database'!$I$2:$I$137,MATCH(A2,'Keyword Master Database'!$A$2:$A$137,0))&lt;=30,"Medium","Moderate"))</f>
        <v>High</v>
      </c>
      <c r="E2" s="30" t="s">
        <v>858</v>
      </c>
      <c r="F2" s="30" t="s">
        <v>859</v>
      </c>
      <c r="G2" s="45">
        <f t="array" ref="G2">INDEX('Keyword Master Database'!$H$2:$H$137,MATCH(A2,'Keyword Master Database'!$A$2:$A$137,0))</f>
        <v>40</v>
      </c>
      <c r="H2" s="46">
        <f t="array" ref="H2">INDEX('Keyword Master Database'!$I$2:$I$137,MATCH(A2,'Keyword Master Database'!$A$2:$A$137,0))</f>
        <v>14</v>
      </c>
      <c r="I2" s="31" t="str">
        <f t="array" ref="I2">INDEX('Keyword Master Database'!$V$2:$V$137,MATCH(A2,'Keyword Master Database'!$A$2:$A$137,0))</f>
        <v>High</v>
      </c>
    </row>
    <row r="3">
      <c r="A3" s="32" t="s">
        <v>303</v>
      </c>
      <c r="B3" s="33" t="str">
        <f t="array" ref="B3">INDEX('Keyword Master Database'!$E$2:$E$137,MATCH(A3,'Keyword Master Database'!$A$2:$A$137,0))</f>
        <v>Transactional</v>
      </c>
      <c r="C3" s="33" t="str">
        <f t="array" ref="C3">INDEX('Keyword Master Database'!$F$2:$F$137,MATCH(A3,'Keyword Master Database'!$A$2:$A$137,0))</f>
        <v>BOFU</v>
      </c>
      <c r="D3" s="33" t="str">
        <f t="array" ref="D3">IF(AND(INDEX('Keyword Master Database'!$I$2:$I$137,MATCH(A3,'Keyword Master Database'!$A$2:$A$137,0))&lt;=20,INDEX('Keyword Master Database'!$U$2:$U$137,MATCH(A3,'Keyword Master Database'!$A$2:$A$137,0))&gt;=75),"High",IF(INDEX('Keyword Master Database'!$I$2:$I$137,MATCH(A3,'Keyword Master Database'!$A$2:$A$137,0))&lt;=30,"Medium","Moderate"))</f>
        <v>High</v>
      </c>
      <c r="E3" s="32" t="s">
        <v>860</v>
      </c>
      <c r="F3" s="32" t="s">
        <v>861</v>
      </c>
      <c r="G3" s="47">
        <f t="array" ref="G3">INDEX('Keyword Master Database'!$H$2:$H$137,MATCH(A3,'Keyword Master Database'!$A$2:$A$137,0))</f>
        <v>40</v>
      </c>
      <c r="H3" s="48">
        <f t="array" ref="H3">INDEX('Keyword Master Database'!$I$2:$I$137,MATCH(A3,'Keyword Master Database'!$A$2:$A$137,0))</f>
        <v>16</v>
      </c>
      <c r="I3" s="33" t="str">
        <f t="array" ref="I3">INDEX('Keyword Master Database'!$V$2:$V$137,MATCH(A3,'Keyword Master Database'!$A$2:$A$137,0))</f>
        <v>High</v>
      </c>
    </row>
    <row r="4">
      <c r="A4" s="30" t="s">
        <v>279</v>
      </c>
      <c r="B4" s="31" t="str">
        <f t="array" ref="B4">INDEX('Keyword Master Database'!$E$2:$E$137,MATCH(A4,'Keyword Master Database'!$A$2:$A$137,0))</f>
        <v>Transactional</v>
      </c>
      <c r="C4" s="31" t="str">
        <f t="array" ref="C4">INDEX('Keyword Master Database'!$F$2:$F$137,MATCH(A4,'Keyword Master Database'!$A$2:$A$137,0))</f>
        <v>BOFU</v>
      </c>
      <c r="D4" s="31" t="str">
        <f t="array" ref="D4">IF(AND(INDEX('Keyword Master Database'!$I$2:$I$137,MATCH(A4,'Keyword Master Database'!$A$2:$A$137,0))&lt;=20,INDEX('Keyword Master Database'!$U$2:$U$137,MATCH(A4,'Keyword Master Database'!$A$2:$A$137,0))&gt;=75),"High",IF(INDEX('Keyword Master Database'!$I$2:$I$137,MATCH(A4,'Keyword Master Database'!$A$2:$A$137,0))&lt;=30,"Medium","Moderate"))</f>
        <v>High</v>
      </c>
      <c r="E4" s="30" t="s">
        <v>862</v>
      </c>
      <c r="F4" s="30" t="s">
        <v>863</v>
      </c>
      <c r="G4" s="45">
        <f t="array" ref="G4">INDEX('Keyword Master Database'!$H$2:$H$137,MATCH(A4,'Keyword Master Database'!$A$2:$A$137,0))</f>
        <v>30</v>
      </c>
      <c r="H4" s="46">
        <f t="array" ref="H4">INDEX('Keyword Master Database'!$I$2:$I$137,MATCH(A4,'Keyword Master Database'!$A$2:$A$137,0))</f>
        <v>12</v>
      </c>
      <c r="I4" s="31" t="str">
        <f t="array" ref="I4">INDEX('Keyword Master Database'!$V$2:$V$137,MATCH(A4,'Keyword Master Database'!$A$2:$A$137,0))</f>
        <v>High</v>
      </c>
    </row>
    <row r="5">
      <c r="A5" s="32" t="s">
        <v>180</v>
      </c>
      <c r="B5" s="33" t="str">
        <f t="array" ref="B5">INDEX('Keyword Master Database'!$E$2:$E$137,MATCH(A5,'Keyword Master Database'!$A$2:$A$137,0))</f>
        <v>Transactional</v>
      </c>
      <c r="C5" s="33" t="str">
        <f t="array" ref="C5">INDEX('Keyword Master Database'!$F$2:$F$137,MATCH(A5,'Keyword Master Database'!$A$2:$A$137,0))</f>
        <v>BOFU</v>
      </c>
      <c r="D5" s="33" t="str">
        <f t="array" ref="D5">IF(AND(INDEX('Keyword Master Database'!$I$2:$I$137,MATCH(A5,'Keyword Master Database'!$A$2:$A$137,0))&lt;=20,INDEX('Keyword Master Database'!$U$2:$U$137,MATCH(A5,'Keyword Master Database'!$A$2:$A$137,0))&gt;=75),"High",IF(INDEX('Keyword Master Database'!$I$2:$I$137,MATCH(A5,'Keyword Master Database'!$A$2:$A$137,0))&lt;=30,"Medium","Moderate"))</f>
        <v>High</v>
      </c>
      <c r="E5" s="32" t="s">
        <v>864</v>
      </c>
      <c r="F5" s="32" t="s">
        <v>865</v>
      </c>
      <c r="G5" s="47">
        <f t="array" ref="G5">INDEX('Keyword Master Database'!$H$2:$H$137,MATCH(A5,'Keyword Master Database'!$A$2:$A$137,0))</f>
        <v>110</v>
      </c>
      <c r="H5" s="48">
        <f t="array" ref="H5">INDEX('Keyword Master Database'!$I$2:$I$137,MATCH(A5,'Keyword Master Database'!$A$2:$A$137,0))</f>
        <v>14</v>
      </c>
      <c r="I5" s="33" t="str">
        <f t="array" ref="I5">INDEX('Keyword Master Database'!$V$2:$V$137,MATCH(A5,'Keyword Master Database'!$A$2:$A$137,0))</f>
        <v>Critical</v>
      </c>
    </row>
    <row r="6">
      <c r="A6" s="30" t="s">
        <v>319</v>
      </c>
      <c r="B6" s="31" t="str">
        <f t="array" ref="B6">INDEX('Keyword Master Database'!$E$2:$E$137,MATCH(A6,'Keyword Master Database'!$A$2:$A$137,0))</f>
        <v>Transactional</v>
      </c>
      <c r="C6" s="31" t="str">
        <f t="array" ref="C6">INDEX('Keyword Master Database'!$F$2:$F$137,MATCH(A6,'Keyword Master Database'!$A$2:$A$137,0))</f>
        <v>BOFU</v>
      </c>
      <c r="D6" s="31" t="str">
        <f t="array" ref="D6">IF(AND(INDEX('Keyword Master Database'!$I$2:$I$137,MATCH(A6,'Keyword Master Database'!$A$2:$A$137,0))&lt;=20,INDEX('Keyword Master Database'!$U$2:$U$137,MATCH(A6,'Keyword Master Database'!$A$2:$A$137,0))&gt;=75),"High",IF(INDEX('Keyword Master Database'!$I$2:$I$137,MATCH(A6,'Keyword Master Database'!$A$2:$A$137,0))&lt;=30,"Medium","Moderate"))</f>
        <v>High</v>
      </c>
      <c r="E6" s="30" t="s">
        <v>866</v>
      </c>
      <c r="F6" s="30" t="s">
        <v>867</v>
      </c>
      <c r="G6" s="45">
        <f t="array" ref="G6">INDEX('Keyword Master Database'!$H$2:$H$137,MATCH(A6,'Keyword Master Database'!$A$2:$A$137,0))</f>
        <v>30</v>
      </c>
      <c r="H6" s="46">
        <f t="array" ref="H6">INDEX('Keyword Master Database'!$I$2:$I$137,MATCH(A6,'Keyword Master Database'!$A$2:$A$137,0))</f>
        <v>12</v>
      </c>
      <c r="I6" s="31" t="str">
        <f t="array" ref="I6">INDEX('Keyword Master Database'!$V$2:$V$137,MATCH(A6,'Keyword Master Database'!$A$2:$A$137,0))</f>
        <v>High</v>
      </c>
    </row>
    <row r="7">
      <c r="A7" s="32" t="s">
        <v>327</v>
      </c>
      <c r="B7" s="33" t="str">
        <f t="array" ref="B7">INDEX('Keyword Master Database'!$E$2:$E$137,MATCH(A7,'Keyword Master Database'!$A$2:$A$137,0))</f>
        <v>Transactional</v>
      </c>
      <c r="C7" s="33" t="str">
        <f t="array" ref="C7">INDEX('Keyword Master Database'!$F$2:$F$137,MATCH(A7,'Keyword Master Database'!$A$2:$A$137,0))</f>
        <v>BOFU</v>
      </c>
      <c r="D7" s="33" t="str">
        <f t="array" ref="D7">IF(AND(INDEX('Keyword Master Database'!$I$2:$I$137,MATCH(A7,'Keyword Master Database'!$A$2:$A$137,0))&lt;=20,INDEX('Keyword Master Database'!$U$2:$U$137,MATCH(A7,'Keyword Master Database'!$A$2:$A$137,0))&gt;=75),"High",IF(INDEX('Keyword Master Database'!$I$2:$I$137,MATCH(A7,'Keyword Master Database'!$A$2:$A$137,0))&lt;=30,"Medium","Moderate"))</f>
        <v>High</v>
      </c>
      <c r="E7" s="32" t="s">
        <v>868</v>
      </c>
      <c r="F7" s="32" t="s">
        <v>869</v>
      </c>
      <c r="G7" s="47">
        <f t="array" ref="G7">INDEX('Keyword Master Database'!$H$2:$H$137,MATCH(A7,'Keyword Master Database'!$A$2:$A$137,0))</f>
        <v>20</v>
      </c>
      <c r="H7" s="48">
        <f t="array" ref="H7">INDEX('Keyword Master Database'!$I$2:$I$137,MATCH(A7,'Keyword Master Database'!$A$2:$A$137,0))</f>
        <v>11</v>
      </c>
      <c r="I7" s="33" t="str">
        <f t="array" ref="I7">INDEX('Keyword Master Database'!$V$2:$V$137,MATCH(A7,'Keyword Master Database'!$A$2:$A$137,0))</f>
        <v>High</v>
      </c>
    </row>
    <row r="8">
      <c r="A8" s="30" t="s">
        <v>410</v>
      </c>
      <c r="B8" s="31" t="str">
        <f t="array" ref="B8">INDEX('Keyword Master Database'!$E$2:$E$137,MATCH(A8,'Keyword Master Database'!$A$2:$A$137,0))</f>
        <v>Transactional</v>
      </c>
      <c r="C8" s="31" t="str">
        <f t="array" ref="C8">INDEX('Keyword Master Database'!$F$2:$F$137,MATCH(A8,'Keyword Master Database'!$A$2:$A$137,0))</f>
        <v>BOFU</v>
      </c>
      <c r="D8" s="31" t="str">
        <f t="array" ref="D8">IF(AND(INDEX('Keyword Master Database'!$I$2:$I$137,MATCH(A8,'Keyword Master Database'!$A$2:$A$137,0))&lt;=20,INDEX('Keyword Master Database'!$U$2:$U$137,MATCH(A8,'Keyword Master Database'!$A$2:$A$137,0))&gt;=75),"High",IF(INDEX('Keyword Master Database'!$I$2:$I$137,MATCH(A8,'Keyword Master Database'!$A$2:$A$137,0))&lt;=30,"Medium","Moderate"))</f>
        <v>Medium</v>
      </c>
      <c r="E8" s="30" t="s">
        <v>870</v>
      </c>
      <c r="F8" s="30" t="s">
        <v>871</v>
      </c>
      <c r="G8" s="45">
        <f t="array" ref="G8">INDEX('Keyword Master Database'!$H$2:$H$137,MATCH(A8,'Keyword Master Database'!$A$2:$A$137,0))</f>
        <v>10</v>
      </c>
      <c r="H8" s="46">
        <f t="array" ref="H8">INDEX('Keyword Master Database'!$I$2:$I$137,MATCH(A8,'Keyword Master Database'!$A$2:$A$137,0))</f>
        <v>8</v>
      </c>
      <c r="I8" s="31" t="str">
        <f t="array" ref="I8">INDEX('Keyword Master Database'!$V$2:$V$137,MATCH(A8,'Keyword Master Database'!$A$2:$A$137,0))</f>
        <v>Medium</v>
      </c>
    </row>
    <row r="9">
      <c r="A9" s="32" t="s">
        <v>252</v>
      </c>
      <c r="B9" s="33" t="str">
        <f t="array" ref="B9">INDEX('Keyword Master Database'!$E$2:$E$137,MATCH(A9,'Keyword Master Database'!$A$2:$A$137,0))</f>
        <v>Transactional</v>
      </c>
      <c r="C9" s="33" t="str">
        <f t="array" ref="C9">INDEX('Keyword Master Database'!$F$2:$F$137,MATCH(A9,'Keyword Master Database'!$A$2:$A$137,0))</f>
        <v>BOFU</v>
      </c>
      <c r="D9" s="33" t="str">
        <f t="array" ref="D9">IF(AND(INDEX('Keyword Master Database'!$I$2:$I$137,MATCH(A9,'Keyword Master Database'!$A$2:$A$137,0))&lt;=20,INDEX('Keyword Master Database'!$U$2:$U$137,MATCH(A9,'Keyword Master Database'!$A$2:$A$137,0))&gt;=75),"High",IF(INDEX('Keyword Master Database'!$I$2:$I$137,MATCH(A9,'Keyword Master Database'!$A$2:$A$137,0))&lt;=30,"Medium","Moderate"))</f>
        <v>Medium</v>
      </c>
      <c r="E9" s="32" t="s">
        <v>872</v>
      </c>
      <c r="F9" s="32" t="s">
        <v>873</v>
      </c>
      <c r="G9" s="47">
        <f t="array" ref="G9">INDEX('Keyword Master Database'!$H$2:$H$137,MATCH(A9,'Keyword Master Database'!$A$2:$A$137,0))</f>
        <v>10</v>
      </c>
      <c r="H9" s="48">
        <f t="array" ref="H9">INDEX('Keyword Master Database'!$I$2:$I$137,MATCH(A9,'Keyword Master Database'!$A$2:$A$137,0))</f>
        <v>6</v>
      </c>
      <c r="I9" s="33" t="str">
        <f t="array" ref="I9">INDEX('Keyword Master Database'!$V$2:$V$137,MATCH(A9,'Keyword Master Database'!$A$2:$A$137,0))</f>
        <v>Medium</v>
      </c>
    </row>
    <row r="10">
      <c r="A10" s="30" t="s">
        <v>357</v>
      </c>
      <c r="B10" s="31" t="str">
        <f t="array" ref="B10">INDEX('Keyword Master Database'!$E$2:$E$137,MATCH(A10,'Keyword Master Database'!$A$2:$A$137,0))</f>
        <v>Transactional</v>
      </c>
      <c r="C10" s="31" t="str">
        <f t="array" ref="C10">INDEX('Keyword Master Database'!$F$2:$F$137,MATCH(A10,'Keyword Master Database'!$A$2:$A$137,0))</f>
        <v>BOFU</v>
      </c>
      <c r="D10" s="31" t="str">
        <f t="array" ref="D10">IF(AND(INDEX('Keyword Master Database'!$I$2:$I$137,MATCH(A10,'Keyword Master Database'!$A$2:$A$137,0))&lt;=20,INDEX('Keyword Master Database'!$U$2:$U$137,MATCH(A10,'Keyword Master Database'!$A$2:$A$137,0))&gt;=75),"High",IF(INDEX('Keyword Master Database'!$I$2:$I$137,MATCH(A10,'Keyword Master Database'!$A$2:$A$137,0))&lt;=30,"Medium","Moderate"))</f>
        <v>High</v>
      </c>
      <c r="E10" s="30" t="s">
        <v>874</v>
      </c>
      <c r="F10" s="30" t="s">
        <v>875</v>
      </c>
      <c r="G10" s="45">
        <f t="array" ref="G10">INDEX('Keyword Master Database'!$H$2:$H$137,MATCH(A10,'Keyword Master Database'!$A$2:$A$137,0))</f>
        <v>20</v>
      </c>
      <c r="H10" s="46">
        <f t="array" ref="H10">INDEX('Keyword Master Database'!$I$2:$I$137,MATCH(A10,'Keyword Master Database'!$A$2:$A$137,0))</f>
        <v>12</v>
      </c>
      <c r="I10" s="31" t="str">
        <f t="array" ref="I10">INDEX('Keyword Master Database'!$V$2:$V$137,MATCH(A10,'Keyword Master Database'!$A$2:$A$137,0))</f>
        <v>High</v>
      </c>
    </row>
    <row r="11">
      <c r="A11" s="32" t="s">
        <v>381</v>
      </c>
      <c r="B11" s="33" t="str">
        <f t="array" ref="B11">INDEX('Keyword Master Database'!$E$2:$E$137,MATCH(A11,'Keyword Master Database'!$A$2:$A$137,0))</f>
        <v>Transactional</v>
      </c>
      <c r="C11" s="33" t="str">
        <f t="array" ref="C11">INDEX('Keyword Master Database'!$F$2:$F$137,MATCH(A11,'Keyword Master Database'!$A$2:$A$137,0))</f>
        <v>BOFU</v>
      </c>
      <c r="D11" s="33" t="str">
        <f t="array" ref="D11">IF(AND(INDEX('Keyword Master Database'!$I$2:$I$137,MATCH(A11,'Keyword Master Database'!$A$2:$A$137,0))&lt;=20,INDEX('Keyword Master Database'!$U$2:$U$137,MATCH(A11,'Keyword Master Database'!$A$2:$A$137,0))&gt;=75),"High",IF(INDEX('Keyword Master Database'!$I$2:$I$137,MATCH(A11,'Keyword Master Database'!$A$2:$A$137,0))&lt;=30,"Medium","Moderate"))</f>
        <v>High</v>
      </c>
      <c r="E11" s="32" t="s">
        <v>876</v>
      </c>
      <c r="F11" s="32" t="s">
        <v>877</v>
      </c>
      <c r="G11" s="47">
        <f t="array" ref="G11">INDEX('Keyword Master Database'!$H$2:$H$137,MATCH(A11,'Keyword Master Database'!$A$2:$A$137,0))</f>
        <v>30</v>
      </c>
      <c r="H11" s="48">
        <f t="array" ref="H11">INDEX('Keyword Master Database'!$I$2:$I$137,MATCH(A11,'Keyword Master Database'!$A$2:$A$137,0))</f>
        <v>15</v>
      </c>
      <c r="I11" s="33" t="str">
        <f t="array" ref="I11">INDEX('Keyword Master Database'!$V$2:$V$137,MATCH(A11,'Keyword Master Database'!$A$2:$A$137,0))</f>
        <v>High</v>
      </c>
    </row>
    <row r="12">
      <c r="A12" s="30" t="s">
        <v>369</v>
      </c>
      <c r="B12" s="31" t="str">
        <f t="array" ref="B12">INDEX('Keyword Master Database'!$E$2:$E$137,MATCH(A12,'Keyword Master Database'!$A$2:$A$137,0))</f>
        <v>Transactional</v>
      </c>
      <c r="C12" s="31" t="str">
        <f t="array" ref="C12">INDEX('Keyword Master Database'!$F$2:$F$137,MATCH(A12,'Keyword Master Database'!$A$2:$A$137,0))</f>
        <v>BOFU</v>
      </c>
      <c r="D12" s="31" t="str">
        <f t="array" ref="D12">IF(AND(INDEX('Keyword Master Database'!$I$2:$I$137,MATCH(A12,'Keyword Master Database'!$A$2:$A$137,0))&lt;=20,INDEX('Keyword Master Database'!$U$2:$U$137,MATCH(A12,'Keyword Master Database'!$A$2:$A$137,0))&gt;=75),"High",IF(INDEX('Keyword Master Database'!$I$2:$I$137,MATCH(A12,'Keyword Master Database'!$A$2:$A$137,0))&lt;=30,"Medium","Moderate"))</f>
        <v>Medium</v>
      </c>
      <c r="E12" s="30" t="s">
        <v>878</v>
      </c>
      <c r="F12" s="30" t="s">
        <v>879</v>
      </c>
      <c r="G12" s="45">
        <f t="array" ref="G12">INDEX('Keyword Master Database'!$H$2:$H$137,MATCH(A12,'Keyword Master Database'!$A$2:$A$137,0))</f>
        <v>210</v>
      </c>
      <c r="H12" s="46">
        <f t="array" ref="H12">INDEX('Keyword Master Database'!$I$2:$I$137,MATCH(A12,'Keyword Master Database'!$A$2:$A$137,0))</f>
        <v>24</v>
      </c>
      <c r="I12" s="31" t="str">
        <f t="array" ref="I12">INDEX('Keyword Master Database'!$V$2:$V$137,MATCH(A12,'Keyword Master Database'!$A$2:$A$137,0))</f>
        <v>High</v>
      </c>
    </row>
    <row r="13">
      <c r="A13" s="32" t="s">
        <v>374</v>
      </c>
      <c r="B13" s="33" t="str">
        <f t="array" ref="B13">INDEX('Keyword Master Database'!$E$2:$E$137,MATCH(A13,'Keyword Master Database'!$A$2:$A$137,0))</f>
        <v>Transactional</v>
      </c>
      <c r="C13" s="33" t="str">
        <f t="array" ref="C13">INDEX('Keyword Master Database'!$F$2:$F$137,MATCH(A13,'Keyword Master Database'!$A$2:$A$137,0))</f>
        <v>BOFU</v>
      </c>
      <c r="D13" s="33" t="str">
        <f t="array" ref="D13">IF(AND(INDEX('Keyword Master Database'!$I$2:$I$137,MATCH(A13,'Keyword Master Database'!$A$2:$A$137,0))&lt;=20,INDEX('Keyword Master Database'!$U$2:$U$137,MATCH(A13,'Keyword Master Database'!$A$2:$A$137,0))&gt;=75),"High",IF(INDEX('Keyword Master Database'!$I$2:$I$137,MATCH(A13,'Keyword Master Database'!$A$2:$A$137,0))&lt;=30,"Medium","Moderate"))</f>
        <v>Medium</v>
      </c>
      <c r="E13" s="32" t="s">
        <v>880</v>
      </c>
      <c r="F13" s="32" t="s">
        <v>881</v>
      </c>
      <c r="G13" s="47">
        <f t="array" ref="G13">INDEX('Keyword Master Database'!$H$2:$H$137,MATCH(A13,'Keyword Master Database'!$A$2:$A$137,0))</f>
        <v>170</v>
      </c>
      <c r="H13" s="48">
        <f t="array" ref="H13">INDEX('Keyword Master Database'!$I$2:$I$137,MATCH(A13,'Keyword Master Database'!$A$2:$A$137,0))</f>
        <v>24</v>
      </c>
      <c r="I13" s="33" t="str">
        <f t="array" ref="I13">INDEX('Keyword Master Database'!$V$2:$V$137,MATCH(A13,'Keyword Master Database'!$A$2:$A$137,0))</f>
        <v>High</v>
      </c>
    </row>
    <row r="14">
      <c r="A14" s="30" t="s">
        <v>309</v>
      </c>
      <c r="B14" s="31" t="str">
        <f t="array" ref="B14">INDEX('Keyword Master Database'!$E$2:$E$137,MATCH(A14,'Keyword Master Database'!$A$2:$A$137,0))</f>
        <v>Commercial</v>
      </c>
      <c r="C14" s="31" t="str">
        <f t="array" ref="C14">INDEX('Keyword Master Database'!$F$2:$F$137,MATCH(A14,'Keyword Master Database'!$A$2:$A$137,0))</f>
        <v>MOFU</v>
      </c>
      <c r="D14" s="31" t="str">
        <f t="array" ref="D14">IF(AND(INDEX('Keyword Master Database'!$I$2:$I$137,MATCH(A14,'Keyword Master Database'!$A$2:$A$137,0))&lt;=20,INDEX('Keyword Master Database'!$U$2:$U$137,MATCH(A14,'Keyword Master Database'!$A$2:$A$137,0))&gt;=75),"High",IF(INDEX('Keyword Master Database'!$I$2:$I$137,MATCH(A14,'Keyword Master Database'!$A$2:$A$137,0))&lt;=30,"Medium","Moderate"))</f>
        <v>Medium</v>
      </c>
      <c r="E14" s="30" t="s">
        <v>882</v>
      </c>
      <c r="F14" s="30" t="s">
        <v>883</v>
      </c>
      <c r="G14" s="45">
        <f t="array" ref="G14">INDEX('Keyword Master Database'!$H$2:$H$137,MATCH(A14,'Keyword Master Database'!$A$2:$A$137,0))</f>
        <v>210</v>
      </c>
      <c r="H14" s="46">
        <f t="array" ref="H14">INDEX('Keyword Master Database'!$I$2:$I$137,MATCH(A14,'Keyword Master Database'!$A$2:$A$137,0))</f>
        <v>30</v>
      </c>
      <c r="I14" s="31" t="str">
        <f t="array" ref="I14">INDEX('Keyword Master Database'!$V$2:$V$137,MATCH(A14,'Keyword Master Database'!$A$2:$A$137,0))</f>
        <v>High</v>
      </c>
    </row>
    <row r="15">
      <c r="A15" s="32" t="s">
        <v>335</v>
      </c>
      <c r="B15" s="33" t="str">
        <f t="array" ref="B15">INDEX('Keyword Master Database'!$E$2:$E$137,MATCH(A15,'Keyword Master Database'!$A$2:$A$137,0))</f>
        <v>Commercial</v>
      </c>
      <c r="C15" s="33" t="str">
        <f t="array" ref="C15">INDEX('Keyword Master Database'!$F$2:$F$137,MATCH(A15,'Keyword Master Database'!$A$2:$A$137,0))</f>
        <v>MOFU</v>
      </c>
      <c r="D15" s="33" t="str">
        <f t="array" ref="D15">IF(AND(INDEX('Keyword Master Database'!$I$2:$I$137,MATCH(A15,'Keyword Master Database'!$A$2:$A$137,0))&lt;=20,INDEX('Keyword Master Database'!$U$2:$U$137,MATCH(A15,'Keyword Master Database'!$A$2:$A$137,0))&gt;=75),"High",IF(INDEX('Keyword Master Database'!$I$2:$I$137,MATCH(A15,'Keyword Master Database'!$A$2:$A$137,0))&lt;=30,"Medium","Moderate"))</f>
        <v>Moderate</v>
      </c>
      <c r="E15" s="32" t="s">
        <v>884</v>
      </c>
      <c r="F15" s="32" t="s">
        <v>885</v>
      </c>
      <c r="G15" s="47">
        <f t="array" ref="G15">INDEX('Keyword Master Database'!$H$2:$H$137,MATCH(A15,'Keyword Master Database'!$A$2:$A$137,0))</f>
        <v>1000</v>
      </c>
      <c r="H15" s="48">
        <f t="array" ref="H15">INDEX('Keyword Master Database'!$I$2:$I$137,MATCH(A15,'Keyword Master Database'!$A$2:$A$137,0))</f>
        <v>34</v>
      </c>
      <c r="I15" s="33" t="str">
        <f t="array" ref="I15">INDEX('Keyword Master Database'!$V$2:$V$137,MATCH(A15,'Keyword Master Database'!$A$2:$A$137,0))</f>
        <v>Medium</v>
      </c>
    </row>
    <row r="16">
      <c r="A16" s="30" t="s">
        <v>258</v>
      </c>
      <c r="B16" s="31" t="str">
        <f t="array" ref="B16">INDEX('Keyword Master Database'!$E$2:$E$137,MATCH(A16,'Keyword Master Database'!$A$2:$A$137,0))</f>
        <v>Informational</v>
      </c>
      <c r="C16" s="31" t="str">
        <f t="array" ref="C16">INDEX('Keyword Master Database'!$F$2:$F$137,MATCH(A16,'Keyword Master Database'!$A$2:$A$137,0))</f>
        <v>TOFU</v>
      </c>
      <c r="D16" s="31" t="str">
        <f t="array" ref="D16">IF(AND(INDEX('Keyword Master Database'!$I$2:$I$137,MATCH(A16,'Keyword Master Database'!$A$2:$A$137,0))&lt;=20,INDEX('Keyword Master Database'!$U$2:$U$137,MATCH(A16,'Keyword Master Database'!$A$2:$A$137,0))&gt;=75),"High",IF(INDEX('Keyword Master Database'!$I$2:$I$137,MATCH(A16,'Keyword Master Database'!$A$2:$A$137,0))&lt;=30,"Medium","Moderate"))</f>
        <v>Medium</v>
      </c>
      <c r="E16" s="30" t="s">
        <v>886</v>
      </c>
      <c r="F16" s="30" t="s">
        <v>887</v>
      </c>
      <c r="G16" s="45">
        <f t="array" ref="G16">INDEX('Keyword Master Database'!$H$2:$H$137,MATCH(A16,'Keyword Master Database'!$A$2:$A$137,0))</f>
        <v>1000</v>
      </c>
      <c r="H16" s="46">
        <f t="array" ref="H16">INDEX('Keyword Master Database'!$I$2:$I$137,MATCH(A16,'Keyword Master Database'!$A$2:$A$137,0))</f>
        <v>28</v>
      </c>
      <c r="I16" s="31" t="str">
        <f t="array" ref="I16">INDEX('Keyword Master Database'!$V$2:$V$137,MATCH(A16,'Keyword Master Database'!$A$2:$A$137,0))</f>
        <v>Low</v>
      </c>
    </row>
    <row r="17">
      <c r="A17" s="32" t="s">
        <v>169</v>
      </c>
      <c r="B17" s="33" t="str">
        <f t="array" ref="B17">INDEX('Keyword Master Database'!$E$2:$E$137,MATCH(A17,'Keyword Master Database'!$A$2:$A$137,0))</f>
        <v>Navigational</v>
      </c>
      <c r="C17" s="33" t="str">
        <f t="array" ref="C17">INDEX('Keyword Master Database'!$F$2:$F$137,MATCH(A17,'Keyword Master Database'!$A$2:$A$137,0))</f>
        <v>MOFU</v>
      </c>
      <c r="D17" s="33" t="str">
        <f t="array" ref="D17">IF(AND(INDEX('Keyword Master Database'!$I$2:$I$137,MATCH(A17,'Keyword Master Database'!$A$2:$A$137,0))&lt;=20,INDEX('Keyword Master Database'!$U$2:$U$137,MATCH(A17,'Keyword Master Database'!$A$2:$A$137,0))&gt;=75),"High",IF(INDEX('Keyword Master Database'!$I$2:$I$137,MATCH(A17,'Keyword Master Database'!$A$2:$A$137,0))&lt;=30,"Medium","Moderate"))</f>
        <v>Medium</v>
      </c>
      <c r="E17" s="32" t="s">
        <v>888</v>
      </c>
      <c r="F17" s="32" t="s">
        <v>889</v>
      </c>
      <c r="G17" s="47">
        <f t="array" ref="G17">INDEX('Keyword Master Database'!$H$2:$H$137,MATCH(A17,'Keyword Master Database'!$A$2:$A$137,0))</f>
        <v>40</v>
      </c>
      <c r="H17" s="48">
        <f t="array" ref="H17">INDEX('Keyword Master Database'!$I$2:$I$137,MATCH(A17,'Keyword Master Database'!$A$2:$A$137,0))</f>
        <v>6</v>
      </c>
      <c r="I17" s="33" t="str">
        <f t="array" ref="I17">INDEX('Keyword Master Database'!$V$2:$V$137,MATCH(A17,'Keyword Master Database'!$A$2:$A$137,0))</f>
        <v>Medium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16.0"/>
    <col customWidth="1" min="4" max="4" width="70.0"/>
    <col customWidth="1" min="5" max="5" width="3.0"/>
    <col customWidth="1" min="6" max="26" width="8.71"/>
  </cols>
  <sheetData>
    <row r="1" ht="31.5" customHeight="1">
      <c r="B1" s="18" t="s">
        <v>890</v>
      </c>
      <c r="C1" s="4"/>
      <c r="D1" s="5"/>
    </row>
    <row r="3">
      <c r="B3" s="49" t="s">
        <v>891</v>
      </c>
    </row>
    <row r="4">
      <c r="B4" s="20" t="s">
        <v>892</v>
      </c>
      <c r="C4" s="20" t="s">
        <v>893</v>
      </c>
      <c r="D4" s="20" t="s">
        <v>894</v>
      </c>
    </row>
    <row r="5">
      <c r="B5" s="30" t="s">
        <v>895</v>
      </c>
      <c r="C5" s="50">
        <v>0.25</v>
      </c>
      <c r="D5" s="30" t="s">
        <v>896</v>
      </c>
    </row>
    <row r="6">
      <c r="B6" s="30" t="s">
        <v>897</v>
      </c>
      <c r="C6" s="50">
        <v>0.15</v>
      </c>
      <c r="D6" s="30" t="s">
        <v>898</v>
      </c>
    </row>
    <row r="7">
      <c r="B7" s="30" t="s">
        <v>899</v>
      </c>
      <c r="C7" s="50">
        <v>0.2</v>
      </c>
      <c r="D7" s="30" t="s">
        <v>900</v>
      </c>
    </row>
    <row r="8">
      <c r="B8" s="30" t="s">
        <v>901</v>
      </c>
      <c r="C8" s="50">
        <v>0.15</v>
      </c>
      <c r="D8" s="30" t="s">
        <v>902</v>
      </c>
    </row>
    <row r="9">
      <c r="B9" s="30" t="s">
        <v>903</v>
      </c>
      <c r="C9" s="50">
        <v>0.15</v>
      </c>
      <c r="D9" s="30" t="s">
        <v>904</v>
      </c>
    </row>
    <row r="10">
      <c r="B10" s="30" t="s">
        <v>905</v>
      </c>
      <c r="C10" s="50">
        <v>0.1</v>
      </c>
      <c r="D10" s="30" t="s">
        <v>906</v>
      </c>
    </row>
    <row r="11">
      <c r="B11" s="29" t="s">
        <v>907</v>
      </c>
      <c r="C11" s="51">
        <f>SUM(C5:C10)</f>
        <v>1</v>
      </c>
      <c r="D11" s="52"/>
      <c r="M11" s="42"/>
    </row>
    <row r="13">
      <c r="B13" s="53" t="s">
        <v>908</v>
      </c>
      <c r="C13" s="22"/>
      <c r="D13" s="23"/>
    </row>
    <row r="14">
      <c r="B14" s="20" t="s">
        <v>909</v>
      </c>
      <c r="C14" s="20" t="s">
        <v>910</v>
      </c>
      <c r="D14" s="54" t="s">
        <v>911</v>
      </c>
    </row>
    <row r="15">
      <c r="B15" s="55">
        <v>0.0</v>
      </c>
      <c r="C15" s="55">
        <v>1.0</v>
      </c>
      <c r="D15" s="52"/>
    </row>
    <row r="16">
      <c r="B16" s="55">
        <v>20.0</v>
      </c>
      <c r="C16" s="55">
        <v>2.0</v>
      </c>
      <c r="D16" s="52"/>
    </row>
    <row r="17">
      <c r="B17" s="55">
        <v>50.0</v>
      </c>
      <c r="C17" s="55">
        <v>3.0</v>
      </c>
      <c r="D17" s="52"/>
    </row>
    <row r="18">
      <c r="B18" s="55">
        <v>200.0</v>
      </c>
      <c r="C18" s="55">
        <v>4.0</v>
      </c>
      <c r="D18" s="52"/>
    </row>
    <row r="19">
      <c r="B19" s="55">
        <v>1000.0</v>
      </c>
      <c r="C19" s="55">
        <v>5.0</v>
      </c>
      <c r="D19" s="52"/>
    </row>
    <row r="21" ht="15.75" customHeight="1">
      <c r="B21" s="53" t="s">
        <v>912</v>
      </c>
      <c r="C21" s="22"/>
      <c r="D21" s="23"/>
    </row>
    <row r="22" ht="15.75" customHeight="1">
      <c r="B22" s="54" t="s">
        <v>913</v>
      </c>
      <c r="C22" s="54" t="s">
        <v>910</v>
      </c>
      <c r="D22" s="54" t="s">
        <v>911</v>
      </c>
    </row>
    <row r="23" ht="15.75" customHeight="1">
      <c r="B23" s="56">
        <v>0.0</v>
      </c>
      <c r="C23" s="56">
        <v>5.0</v>
      </c>
      <c r="D23" s="57"/>
    </row>
    <row r="24" ht="15.75" customHeight="1">
      <c r="B24" s="56">
        <v>16.0</v>
      </c>
      <c r="C24" s="56">
        <v>4.0</v>
      </c>
      <c r="D24" s="57"/>
    </row>
    <row r="25" ht="15.75" customHeight="1">
      <c r="B25" s="56">
        <v>26.0</v>
      </c>
      <c r="C25" s="56">
        <v>3.0</v>
      </c>
      <c r="D25" s="57"/>
    </row>
    <row r="26" ht="15.75" customHeight="1">
      <c r="B26" s="56">
        <v>41.0</v>
      </c>
      <c r="C26" s="56">
        <v>2.0</v>
      </c>
      <c r="D26" s="57"/>
    </row>
    <row r="27" ht="15.75" customHeight="1">
      <c r="B27" s="56">
        <v>56.0</v>
      </c>
      <c r="C27" s="56">
        <v>1.0</v>
      </c>
      <c r="D27" s="57"/>
    </row>
    <row r="28" ht="15.75" customHeight="1"/>
    <row r="29" ht="15.75" customHeight="1">
      <c r="B29" s="53" t="s">
        <v>914</v>
      </c>
      <c r="C29" s="22"/>
      <c r="D29" s="23"/>
    </row>
    <row r="30" ht="15.75" customHeight="1">
      <c r="B30" s="20" t="s">
        <v>915</v>
      </c>
      <c r="C30" s="20" t="s">
        <v>910</v>
      </c>
      <c r="D30" s="20" t="s">
        <v>911</v>
      </c>
    </row>
    <row r="31" ht="15.75" customHeight="1">
      <c r="B31" s="31" t="s">
        <v>18</v>
      </c>
      <c r="C31" s="55">
        <v>5.0</v>
      </c>
      <c r="D31" s="52"/>
    </row>
    <row r="32" ht="15.75" customHeight="1">
      <c r="B32" s="31" t="s">
        <v>17</v>
      </c>
      <c r="C32" s="55">
        <v>4.0</v>
      </c>
      <c r="D32" s="52"/>
    </row>
    <row r="33" ht="15.75" customHeight="1">
      <c r="B33" s="31" t="s">
        <v>16</v>
      </c>
      <c r="C33" s="55">
        <v>3.0</v>
      </c>
      <c r="D33" s="52"/>
    </row>
    <row r="34" ht="15.75" customHeight="1">
      <c r="B34" s="31" t="s">
        <v>15</v>
      </c>
      <c r="C34" s="55">
        <v>2.0</v>
      </c>
      <c r="D34" s="52"/>
    </row>
    <row r="35" ht="15.75" customHeight="1"/>
    <row r="36" ht="15.75" customHeight="1">
      <c r="B36" s="53" t="s">
        <v>916</v>
      </c>
      <c r="C36" s="22"/>
      <c r="D36" s="23"/>
    </row>
    <row r="37" ht="15.75" customHeight="1">
      <c r="B37" s="20" t="s">
        <v>917</v>
      </c>
      <c r="C37" s="20" t="s">
        <v>918</v>
      </c>
      <c r="D37" s="20" t="s">
        <v>911</v>
      </c>
    </row>
    <row r="38" ht="15.75" customHeight="1">
      <c r="B38" s="55">
        <v>0.0</v>
      </c>
      <c r="C38" s="31" t="s">
        <v>28</v>
      </c>
      <c r="D38" s="58"/>
    </row>
    <row r="39" ht="15.75" customHeight="1">
      <c r="B39" s="55">
        <v>40.0</v>
      </c>
      <c r="C39" s="31" t="s">
        <v>27</v>
      </c>
      <c r="D39" s="58"/>
    </row>
    <row r="40" ht="15.75" customHeight="1">
      <c r="B40" s="55">
        <v>60.0</v>
      </c>
      <c r="C40" s="31" t="s">
        <v>26</v>
      </c>
      <c r="D40" s="58"/>
    </row>
    <row r="41" ht="15.75" customHeight="1">
      <c r="B41" s="55">
        <v>75.0</v>
      </c>
      <c r="C41" s="31" t="s">
        <v>25</v>
      </c>
      <c r="D41" s="58"/>
    </row>
    <row r="42" ht="15.75" customHeight="1">
      <c r="B42" s="55">
        <v>90.0</v>
      </c>
      <c r="C42" s="31" t="s">
        <v>24</v>
      </c>
      <c r="D42" s="58"/>
    </row>
    <row r="43" ht="15.75" customHeight="1"/>
    <row r="44" ht="15.75" customHeight="1">
      <c r="B44" s="53" t="s">
        <v>919</v>
      </c>
      <c r="C44" s="22"/>
      <c r="D44" s="23"/>
    </row>
    <row r="45" ht="15.75" customHeight="1">
      <c r="B45" s="20" t="s">
        <v>913</v>
      </c>
      <c r="C45" s="20" t="s">
        <v>920</v>
      </c>
      <c r="D45" s="20" t="s">
        <v>911</v>
      </c>
    </row>
    <row r="46" ht="15.75" customHeight="1">
      <c r="B46" s="55">
        <v>0.0</v>
      </c>
      <c r="C46" s="31" t="s">
        <v>921</v>
      </c>
      <c r="D46" s="58"/>
    </row>
    <row r="47" ht="15.75" customHeight="1">
      <c r="B47" s="55">
        <v>21.0</v>
      </c>
      <c r="C47" s="31" t="s">
        <v>922</v>
      </c>
      <c r="D47" s="58"/>
    </row>
    <row r="48" ht="15.75" customHeight="1">
      <c r="B48" s="55">
        <v>41.0</v>
      </c>
      <c r="C48" s="31" t="s">
        <v>923</v>
      </c>
      <c r="D48" s="58"/>
    </row>
    <row r="49" ht="15.75" customHeight="1">
      <c r="B49" s="55">
        <v>71.0</v>
      </c>
      <c r="C49" s="31" t="s">
        <v>924</v>
      </c>
      <c r="D49" s="5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D1"/>
    <mergeCell ref="B3:D3"/>
    <mergeCell ref="B13:D13"/>
    <mergeCell ref="B21:D21"/>
    <mergeCell ref="B29:D29"/>
    <mergeCell ref="B36:D36"/>
    <mergeCell ref="B44:D44"/>
  </mergeCells>
  <printOptions/>
  <pageMargins bottom="1.0" footer="0.0" header="0.0" left="0.75" right="0.75" top="1.0"/>
  <pageSetup paperSize="9" orientation="portrait"/>
  <drawing r:id="rId1"/>
</worksheet>
</file>