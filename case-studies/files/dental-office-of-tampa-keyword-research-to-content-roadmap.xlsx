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Analysis" sheetId="1" r:id="rId5"/>
    <sheet state="visible" name="Keyword Master Database" sheetId="2" r:id="rId6"/>
    <sheet state="visible" name="Keyword Clusters" sheetId="3" r:id="rId7"/>
    <sheet state="visible" name="Competitor Analysis" sheetId="4" r:id="rId8"/>
    <sheet state="visible" name="Keyword Mapping" sheetId="5" r:id="rId9"/>
    <sheet state="visible" name="Topical Authority Map" sheetId="6" r:id="rId10"/>
    <sheet state="visible" name="SEO Silo Architecture" sheetId="7" r:id="rId11"/>
    <sheet state="visible" name="Internal Linking Blueprint" sheetId="8" r:id="rId12"/>
    <sheet state="visible" name="Content Roadmap" sheetId="9" r:id="rId13"/>
    <sheet state="visible" name="Quick Wins" sheetId="10" r:id="rId14"/>
    <sheet state="visible" name="Priority Scoring" sheetId="11" r:id="rId15"/>
    <sheet state="visible" name="Notes &amp; Methodology" sheetId="12" r:id="rId16"/>
  </sheets>
  <definedNames/>
  <calcPr/>
</workbook>
</file>

<file path=xl/sharedStrings.xml><?xml version="1.0" encoding="utf-8"?>
<sst xmlns="http://schemas.openxmlformats.org/spreadsheetml/2006/main" count="4573" uniqueCount="1097">
  <si>
    <t>SEO KEYWORD RESEARCH &amp; STRATEGY WORKBOOK</t>
  </si>
  <si>
    <t>Dental Office of Tampa  |  Tampa, Florida  |  United States Of America</t>
  </si>
  <si>
    <t>Prepared by Md. Abdul Alim – Dental SEO &amp; AI Search Optimization Consultant</t>
  </si>
  <si>
    <t>Field</t>
  </si>
  <si>
    <t>Detail</t>
  </si>
  <si>
    <t>Business Name</t>
  </si>
  <si>
    <t>Dental Office of Tampa</t>
  </si>
  <si>
    <t>Website</t>
  </si>
  <si>
    <t>https://www.dentalofficeoftampa.com/</t>
  </si>
  <si>
    <t>Industry</t>
  </si>
  <si>
    <t>Dental Clinic (general / family dentistry)</t>
  </si>
  <si>
    <t>Country</t>
  </si>
  <si>
    <t>United States</t>
  </si>
  <si>
    <t>Location</t>
  </si>
  <si>
    <t>3955 Moran Rd Ste 101, Tampa, FL 33618</t>
  </si>
  <si>
    <t>Services</t>
  </si>
  <si>
    <t>Dental Sealants; Clear Braces - Invisalign; Fillings &amp; Restorations; Dentures; Dental Bridges; Dental Crowns</t>
  </si>
  <si>
    <t>Products</t>
  </si>
  <si>
    <t>N/A - service business (no e-commerce products)</t>
  </si>
  <si>
    <t>Goal</t>
  </si>
  <si>
    <t>1) Generate more local leads  2) Increase organic traffic  3) Improve service page rankings  4) Build topical authority</t>
  </si>
  <si>
    <t>Primary SEO Focus</t>
  </si>
  <si>
    <t>Local SEO</t>
  </si>
  <si>
    <t>BUSINESS ANALYSIS | CURRENT SEO POSTION</t>
  </si>
  <si>
    <t>Area</t>
  </si>
  <si>
    <t>Finding</t>
  </si>
  <si>
    <t>Evidence Observed</t>
  </si>
  <si>
    <t>SEO Impact</t>
  </si>
  <si>
    <t>Recommendation</t>
  </si>
  <si>
    <t>Priority</t>
  </si>
  <si>
    <t>Title tag</t>
  </si>
  <si>
    <t>Repetitive, brand duplicated, keyword repeated</t>
  </si>
  <si>
    <t>Title reads 'Dental Office of Tampa Home - Dental Office of Tampa- Dentist in Tampa Dentist in Tampa'.</t>
  </si>
  <si>
    <t>Weak relevance signal and poor SERP appearance for the primary local keyword.</t>
  </si>
  <si>
    <t>Use e.g. 'Dentist in Tampa, FL | Dental Office of Tampa' (about 45 characters).</t>
  </si>
  <si>
    <t>Critical</t>
  </si>
  <si>
    <t>Meta description</t>
  </si>
  <si>
    <t>Present but long</t>
  </si>
  <si>
    <t>Description runs well beyond typical SERP display length (cleanings, Invisalign, crowns, dentures, restorative).</t>
  </si>
  <si>
    <t>Truncation reduces click-through.</t>
  </si>
  <si>
    <t>Shorten to about 150 characters; include phone number and free-cleaning offer.</t>
  </si>
  <si>
    <t>High</t>
  </si>
  <si>
    <t>H1 / on-page heading</t>
  </si>
  <si>
    <t>Brand tagline instead of keyword</t>
  </si>
  <si>
    <t>Hero heading is 'Tampa Bay's Smile Destination'; 'Dentist in Tampa' appears only in body copy.</t>
  </si>
  <si>
    <t>Primary keyword is not emphasized in the main heading.</t>
  </si>
  <si>
    <t>Make the H1 'Dentist in Tampa, FL' (tagline as subhead).</t>
  </si>
  <si>
    <t>Service page URLs</t>
  </si>
  <si>
    <t>Nav and body links point to different slugs</t>
  </si>
  <si>
    <t>Nav: /dental-bridges-tampa/, /dental-cap-crown-tampa/; homepage body: /dental-bridges/, /dental-crowns/, /dentures/. Nav 'Dentures' links to /dental-implant-tampa/.</t>
  </si>
  <si>
    <t>Possible duplicate pages, split link equity, cannibalization.</t>
  </si>
  <si>
    <t>Pick one canonical URL per service, 301 the rest, align nav and body links.</t>
  </si>
  <si>
    <t>Services coverage</t>
  </si>
  <si>
    <t>Core services have pages; supporting pages missing</t>
  </si>
  <si>
    <t>Nav lists 6 treatment pages. No pages for cleanings, emergency, root canal, extractions, whitening or dedicated implants seen.</t>
  </si>
  <si>
    <t>Missed local-intent searches with high CPC.</t>
  </si>
  <si>
    <t>Add cleaning, emergency (if offered), implants (separate), root canal and extraction pages in phases.</t>
  </si>
  <si>
    <t>Offer visibility</t>
  </si>
  <si>
    <t>Strong offer without dedicated page</t>
  </si>
  <si>
    <t>Hero offer: free teeth cleaning with $140 exam and x-ray; tiles for free smile analysis and cost of treatment.</t>
  </si>
  <si>
    <t>Offer terms are a rankable, conversion-focused opportunity.</t>
  </si>
  <si>
    <t>Create /new-patient-special-tampa/ and consolidate pricing/free-analysis tiles into real pages.</t>
  </si>
  <si>
    <t>Local signals</t>
  </si>
  <si>
    <t>NAP, hours and map link visible</t>
  </si>
  <si>
    <t>Address, phone (813) 450-1212, hours and Google Maps link on the homepage.</t>
  </si>
  <si>
    <t>Good foundation for local SEO.</t>
  </si>
  <si>
    <t>Add LocalBusiness / Dentist schema, embed map, keep NAP identical across GBP and citations.</t>
  </si>
  <si>
    <t>Medium</t>
  </si>
  <si>
    <t>Directions page</t>
  </si>
  <si>
    <t>'Map &amp; Directions' points to the booking form</t>
  </si>
  <si>
    <t>Nav item links to /appointment-form/.</t>
  </si>
  <si>
    <t>No proper location/directions content for local relevance.</t>
  </si>
  <si>
    <t>Create a real Directions section on /north-tampa-dentist/ and /our-office/.</t>
  </si>
  <si>
    <t>Reviews</t>
  </si>
  <si>
    <t>Reviews reference other locations</t>
  </si>
  <si>
    <t>Homepage invites reviews on a 'new Google page' and cites five-star reviews from the Dunedin location.</t>
  </si>
  <si>
    <t>Tampa location review volume may be low - a local-pack ranking factor.</t>
  </si>
  <si>
    <t>Run a review-generation program; add on-site review block with Tampa reviews.</t>
  </si>
  <si>
    <t>Blog / content</t>
  </si>
  <si>
    <t>No blog; news page has non-descriptive slug</t>
  </si>
  <si>
    <t>'News and info' links to /1058-2/.</t>
  </si>
  <si>
    <t>No informational coverage for TOFU searches.</t>
  </si>
  <si>
    <t>Create /blog/ and publish the roadmap posts.</t>
  </si>
  <si>
    <t>Copy quality</t>
  </si>
  <si>
    <t>Generic service copy, typos</t>
  </si>
  <si>
    <t>Homepage bridges text contains a duplicated word ('replace missing a missing tooth').</t>
  </si>
  <si>
    <t>Thin/templated copy weakens relevance and trust.</t>
  </si>
  <si>
    <t>Rewrite service copy with local context, process, FAQs and doctor expertise.</t>
  </si>
  <si>
    <t>Booking funnel</t>
  </si>
  <si>
    <t>Third-party booking link</t>
  </si>
  <si>
    <t>Online booking uses an external txt.care link; form page at /appointment-form/.</t>
  </si>
  <si>
    <t>Conversion tracking may be incomplete.</t>
  </si>
  <si>
    <t>Verify GA4 / call tracking and conversion events for booking and phone clicks.</t>
  </si>
  <si>
    <t>Strengths</t>
  </si>
  <si>
    <t>Positives to keep</t>
  </si>
  <si>
    <t>Geo-modified service slugs (-tampa), indexable robots tags, caching plugin (WP Rocket), doctor-led content, YouTube video, free-cleaning offer, FAQs and insurance pages.</t>
  </si>
  <si>
    <t>Good base to build on.</t>
  </si>
  <si>
    <t>Preserve URLs that are canonical; build topical clusters around them.</t>
  </si>
  <si>
    <t>Low</t>
  </si>
  <si>
    <t>FUNNEL &amp; INTENT DISTRIBUTION</t>
  </si>
  <si>
    <t>Segment</t>
  </si>
  <si>
    <t>Description</t>
  </si>
  <si>
    <t>Keywords</t>
  </si>
  <si>
    <t>Share</t>
  </si>
  <si>
    <t>Est. Volume</t>
  </si>
  <si>
    <t>Remarks</t>
  </si>
  <si>
    <t>TOFU</t>
  </si>
  <si>
    <t>Awareness - educational / problem keywords</t>
  </si>
  <si>
    <t>MOFU</t>
  </si>
  <si>
    <t>Consideration - comparisons, cost research, reviews</t>
  </si>
  <si>
    <t>BOFU</t>
  </si>
  <si>
    <t>Decision - service + location, near me, brand</t>
  </si>
  <si>
    <t>Informational</t>
  </si>
  <si>
    <t>Learning intent</t>
  </si>
  <si>
    <t>Navigational</t>
  </si>
  <si>
    <t>Brand / specific site intent</t>
  </si>
  <si>
    <t>Commercial</t>
  </si>
  <si>
    <t>Researching options</t>
  </si>
  <si>
    <t>Transactional</t>
  </si>
  <si>
    <t>Ready to book / call</t>
  </si>
  <si>
    <t>TOP 15 PRIORITY KEYWORDS</t>
  </si>
  <si>
    <t>Keyword</t>
  </si>
  <si>
    <t>Target URL</t>
  </si>
  <si>
    <t>Est. KD</t>
  </si>
  <si>
    <t>Priority Score</t>
  </si>
  <si>
    <t>Priority Level</t>
  </si>
  <si>
    <t>free teeth cleaning tampa</t>
  </si>
  <si>
    <t>dentures tampa</t>
  </si>
  <si>
    <t>free dental exam and x-rays tampa</t>
  </si>
  <si>
    <t>new patient dental special tampa</t>
  </si>
  <si>
    <t>book dentist appointment online tampa</t>
  </si>
  <si>
    <t>free dental cleaning near me</t>
  </si>
  <si>
    <t>dental crown dentist tampa</t>
  </si>
  <si>
    <t>dentist accepting new patients tampa</t>
  </si>
  <si>
    <t>general dentist tampa</t>
  </si>
  <si>
    <t>dentist open now tampa</t>
  </si>
  <si>
    <t>dentist in north tampa</t>
  </si>
  <si>
    <t>clear aligners tampa</t>
  </si>
  <si>
    <t>dentist in tampa</t>
  </si>
  <si>
    <t>tampa dentist</t>
  </si>
  <si>
    <t>dentures near me</t>
  </si>
  <si>
    <t>Dental Office of Tampa  |  SEO Keyword Research Workbook  |  Prepared by Md. Abdul Alim | Dental SEO Consultant | AI Search Optimization Consultant</t>
  </si>
  <si>
    <t>Keyword Type</t>
  </si>
  <si>
    <t>Parent Topic</t>
  </si>
  <si>
    <t>Cluster</t>
  </si>
  <si>
    <t>Search Intent</t>
  </si>
  <si>
    <t>Funnel Stage</t>
  </si>
  <si>
    <t>Primary/Secondary</t>
  </si>
  <si>
    <t>Search Volume</t>
  </si>
  <si>
    <t>KD</t>
  </si>
  <si>
    <t>KD Source</t>
  </si>
  <si>
    <t>Estimated CPC</t>
  </si>
  <si>
    <t>CPC Source</t>
  </si>
  <si>
    <t>SERP Competition</t>
  </si>
  <si>
    <t>Ranking Competitors</t>
  </si>
  <si>
    <t>Business Value</t>
  </si>
  <si>
    <t>Recommended Action</t>
  </si>
  <si>
    <t>Notes</t>
  </si>
  <si>
    <t>Local Dentistry - Tampa</t>
  </si>
  <si>
    <t>Local Core - Dentist in Tampa</t>
  </si>
  <si>
    <t>Primary</t>
  </si>
  <si>
    <t>SERP Competition Analysis</t>
  </si>
  <si>
    <t>Commercial Intent Analysis</t>
  </si>
  <si>
    <t>Gassler Dental; Tampa Bay Dental Team; Jackson Dental; Yelp / Healthgrades</t>
  </si>
  <si>
    <t>/</t>
  </si>
  <si>
    <t>Optimize</t>
  </si>
  <si>
    <t>Anchor local keyword; homepage title currently repeats brand and phrase - rewrite title/H1.</t>
  </si>
  <si>
    <t>Secondary</t>
  </si>
  <si>
    <t>Tampa-area volume estimate.</t>
  </si>
  <si>
    <t>dentist tampa fl</t>
  </si>
  <si>
    <t>dentists in tampa fl</t>
  </si>
  <si>
    <t>family dentist tampa</t>
  </si>
  <si>
    <t>Core Service</t>
  </si>
  <si>
    <t>dental office tampa</t>
  </si>
  <si>
    <t>dentist near me</t>
  </si>
  <si>
    <t>Local-pack driven; ranking depends mainly on Google Business Profile proximity, reviews and categories - treat as GBP + homepage goal.</t>
  </si>
  <si>
    <t>best dentist in tampa</t>
  </si>
  <si>
    <t>top rated dentist tampa</t>
  </si>
  <si>
    <t>dentist reviews tampa</t>
  </si>
  <si>
    <t>comprehensive dentistry tampa</t>
  </si>
  <si>
    <t>Semantic</t>
  </si>
  <si>
    <t>dental office of tampa</t>
  </si>
  <si>
    <t>Brand</t>
  </si>
  <si>
    <t>Dental Office of Tampa Brand</t>
  </si>
  <si>
    <t>Brand &amp; Navigational</t>
  </si>
  <si>
    <t>Own brand; sister Dunedin office site; directories</t>
  </si>
  <si>
    <t>Keep</t>
  </si>
  <si>
    <t>Brand term; protect SERP (GBP, sitelinks, Dunedin cross-link).</t>
  </si>
  <si>
    <t>dentalofficeoftampa.com</t>
  </si>
  <si>
    <t>dental office of tampa moran rd</t>
  </si>
  <si>
    <t>dr jackson dentist tampa</t>
  </si>
  <si>
    <t>dental office of tampa reviews</t>
  </si>
  <si>
    <t>dental office of tampa phone number</t>
  </si>
  <si>
    <t>dentist 33618</t>
  </si>
  <si>
    <t>Local Dentistry - North Tampa</t>
  </si>
  <si>
    <t>North Tampa &amp; ZIP 33618</t>
  </si>
  <si>
    <t>Tampa Bay Dental Team (also 33618)</t>
  </si>
  <si>
    <t>/north-tampa-dentist/</t>
  </si>
  <si>
    <t>Create</t>
  </si>
  <si>
    <t>Exact ZIP of 3955 Moran Rd Ste 101; low-competition local modifier.</t>
  </si>
  <si>
    <t>north tampa dentist</t>
  </si>
  <si>
    <t>dentist 33624</t>
  </si>
  <si>
    <t>dentist 33625</t>
  </si>
  <si>
    <t>dentist moran rd tampa</t>
  </si>
  <si>
    <t>dentist near dale mabry tampa</t>
  </si>
  <si>
    <t>dentist carrollwood tampa</t>
  </si>
  <si>
    <t>Local Dentistry - Carrollwood</t>
  </si>
  <si>
    <t>Carrollwood Dentist</t>
  </si>
  <si>
    <t>Tampa Bay Dental Team; neighborhood practices</t>
  </si>
  <si>
    <t>/carrollwood-dentist/</t>
  </si>
  <si>
    <t>carrollwood dentist</t>
  </si>
  <si>
    <t>dentist in carrollwood fl</t>
  </si>
  <si>
    <t>dental office carrollwood</t>
  </si>
  <si>
    <t>dentist northdale tampa</t>
  </si>
  <si>
    <t>Local Dentistry - Northdale</t>
  </si>
  <si>
    <t>Northdale Dentist</t>
  </si>
  <si>
    <t>Neighborhood practices</t>
  </si>
  <si>
    <t>/northdale-dentist/</t>
  </si>
  <si>
    <t>northdale dentist</t>
  </si>
  <si>
    <t>dentist in northdale fl</t>
  </si>
  <si>
    <t>dentist lutz fl</t>
  </si>
  <si>
    <t>Local Dentistry - Lutz</t>
  </si>
  <si>
    <t>Lutz Dentist</t>
  </si>
  <si>
    <t>Tampa Bay Dental Team (Lutz office)</t>
  </si>
  <si>
    <t>/lutz-dentist/</t>
  </si>
  <si>
    <t>Tampa Bay Dental Team has a Lutz office; page needs genuine drive-time/neighborhood content (avoid doorway pages).</t>
  </si>
  <si>
    <t>lutz dentist</t>
  </si>
  <si>
    <t>dentist in lutz florida</t>
  </si>
  <si>
    <t>dentist citrus park tampa</t>
  </si>
  <si>
    <t>Local Dentistry - Citrus Park</t>
  </si>
  <si>
    <t>Citrus Park Dentist</t>
  </si>
  <si>
    <t>/citrus-park-dentist/</t>
  </si>
  <si>
    <t>citrus park dentist</t>
  </si>
  <si>
    <t>dentist citrus park fl</t>
  </si>
  <si>
    <t>New Patient Acquisition</t>
  </si>
  <si>
    <t>New Patient &amp; Free Cleaning Offer</t>
  </si>
  <si>
    <t>Tampa Bay Dental Team ($175 new-patient special)</t>
  </si>
  <si>
    <t>/new-patient-special-tampa/</t>
  </si>
  <si>
    <t>Client already runs this offer on homepage (free cleaning with $140 exam and x-ray) - needs dedicated landing page.</t>
  </si>
  <si>
    <t>US-wide volume estimate; Tampa share est. 1-2% - use for topical authority and FAQ capture.</t>
  </si>
  <si>
    <t>new patient dentist tampa</t>
  </si>
  <si>
    <t>dentist new patient offer</t>
  </si>
  <si>
    <t>first dental visit what to expect</t>
  </si>
  <si>
    <t>First Visit Information</t>
  </si>
  <si>
    <t>Jackson Dental; Tampa Dentistry (What to Expect pages)</t>
  </si>
  <si>
    <t>/first-visit/</t>
  </si>
  <si>
    <t>what to expect at first dentist appointment adult</t>
  </si>
  <si>
    <t>haven't been to the dentist in years</t>
  </si>
  <si>
    <t>Problem-Based</t>
  </si>
  <si>
    <t>dentist after years of not going</t>
  </si>
  <si>
    <t>what happens at a dental exam and x-ray</t>
  </si>
  <si>
    <t>dentist that accepts insurance tampa</t>
  </si>
  <si>
    <t>Dental Insurance &amp; Payment</t>
  </si>
  <si>
    <t>Insurance &amp; Affordable Dentistry</t>
  </si>
  <si>
    <t>Jackson Dental; Tampa Dentistry; Gassler Dental (insurance / payment pages)</t>
  </si>
  <si>
    <t>/insurance-information/</t>
  </si>
  <si>
    <t>Confirm accepted carriers before naming any plan on-page.</t>
  </si>
  <si>
    <t>affordable dentist tampa</t>
  </si>
  <si>
    <t>low cost dentist tampa</t>
  </si>
  <si>
    <t>cheap dentist in tampa</t>
  </si>
  <si>
    <t>dentist no insurance tampa</t>
  </si>
  <si>
    <t>dentist payment plans tampa</t>
  </si>
  <si>
    <t>dental financing tampa</t>
  </si>
  <si>
    <t>delta dental dentist tampa</t>
  </si>
  <si>
    <t>Only target if Delta Dental is accepted - verify.</t>
  </si>
  <si>
    <t>cigna dentist tampa</t>
  </si>
  <si>
    <t>Only target if Cigna is accepted - verify.</t>
  </si>
  <si>
    <t>emergency dentist tampa</t>
  </si>
  <si>
    <t>Emergency Dentistry</t>
  </si>
  <si>
    <t>Emergency Dentist</t>
  </si>
  <si>
    <t>Tampa Bay Dental Team (same-day emergencies); Gassler Dental</t>
  </si>
  <si>
    <t>/emergency-dentist-tampa/</t>
  </si>
  <si>
    <t>Confirm same-day emergency capacity before publishing; Tampa Bay Dental Team advertises same-day emergencies.</t>
  </si>
  <si>
    <t>emergency dentist near me</t>
  </si>
  <si>
    <t>24 hour emergency dentist tampa</t>
  </si>
  <si>
    <t>emergency dental care tampa</t>
  </si>
  <si>
    <t>same day dentist appointment tampa</t>
  </si>
  <si>
    <t>broken tooth dentist tampa</t>
  </si>
  <si>
    <t>tooth pain dentist tampa</t>
  </si>
  <si>
    <t>chipped tooth repair tampa</t>
  </si>
  <si>
    <t>toothache relief what to do</t>
  </si>
  <si>
    <t>Informational - answer in emergency page FAQ; blog candidate later.</t>
  </si>
  <si>
    <t>teeth cleaning tampa</t>
  </si>
  <si>
    <t>Preventive Dentistry</t>
  </si>
  <si>
    <t>Teeth Cleaning &amp; Checkups</t>
  </si>
  <si>
    <t>Gassler Dental; Tampa Bay Dental Team</t>
  </si>
  <si>
    <t>/teeth-cleaning-tampa/</t>
  </si>
  <si>
    <t>dental cleaning tampa</t>
  </si>
  <si>
    <t>dental cleaning near me</t>
  </si>
  <si>
    <t>deep cleaning teeth tampa</t>
  </si>
  <si>
    <t>dental checkup tampa</t>
  </si>
  <si>
    <t>dentist exam and cleaning tampa</t>
  </si>
  <si>
    <t>how often should you get teeth cleaned</t>
  </si>
  <si>
    <t>what happens during a dental cleaning</t>
  </si>
  <si>
    <t>dental sealants tampa</t>
  </si>
  <si>
    <t>Dental Sealants</t>
  </si>
  <si>
    <t>Dental Sealants - Service</t>
  </si>
  <si>
    <t>Low competitor coverage observed in audited sites</t>
  </si>
  <si>
    <t>/dental-tooth-sealant-tampa/</t>
  </si>
  <si>
    <t>dental sealants near me</t>
  </si>
  <si>
    <t>Few audited competitors feature sealants; strong quick win.</t>
  </si>
  <si>
    <t>tooth sealant tampa fl</t>
  </si>
  <si>
    <t>sealants dentist tampa</t>
  </si>
  <si>
    <t>children's dental sealants tampa</t>
  </si>
  <si>
    <t>dental sealants cost</t>
  </si>
  <si>
    <t>kids dentist tampa</t>
  </si>
  <si>
    <t>Homepage says care for 'patients of all ages'; confirm pediatric policy before targeting.</t>
  </si>
  <si>
    <t>tooth sealants for adults near me</t>
  </si>
  <si>
    <t>what are dental sealants</t>
  </si>
  <si>
    <t>Dental Sealants - Education</t>
  </si>
  <si>
    <t>National health publishers (Healthline, Colgate, ADA MouthHealthy)</t>
  </si>
  <si>
    <t>/blog/what-are-dental-sealants/</t>
  </si>
  <si>
    <t>how long do dental sealants last</t>
  </si>
  <si>
    <t>dental sealants for adults</t>
  </si>
  <si>
    <t>are dental sealants worth it</t>
  </si>
  <si>
    <t>dental sealant pros and cons</t>
  </si>
  <si>
    <t>do sealants hurt</t>
  </si>
  <si>
    <t>sealants vs fluoride</t>
  </si>
  <si>
    <t>Comparison</t>
  </si>
  <si>
    <t>invisalign tampa</t>
  </si>
  <si>
    <t>Invisalign &amp; Clear Aligners</t>
  </si>
  <si>
    <t>Invisalign - Service</t>
  </si>
  <si>
    <t>GO Orthodontics Tampa; Jackson Dental; Tampa Dentistry; Gassler Dental</t>
  </si>
  <si>
    <t>/clear-mouth-braces-tampa/</t>
  </si>
  <si>
    <t>Specialist-heavy SERP (orthodontists); differentiate as general dentist + one-office care.</t>
  </si>
  <si>
    <t>invisalign in tampa fl</t>
  </si>
  <si>
    <t>clear braces tampa</t>
  </si>
  <si>
    <t>Matches existing nav label 'Clear Braces - Invisalign'; use as page H1 modifier.</t>
  </si>
  <si>
    <t>invisalign dentist tampa</t>
  </si>
  <si>
    <t>invisalign near me</t>
  </si>
  <si>
    <t>invisalign consultation tampa</t>
  </si>
  <si>
    <t>invisalign for adults tampa</t>
  </si>
  <si>
    <t>invisalign provider tampa</t>
  </si>
  <si>
    <t>invisalign free consultation tampa</t>
  </si>
  <si>
    <t>Homepage promotes a free smile analysis - turn into a conversion block.</t>
  </si>
  <si>
    <t>clear braces near me</t>
  </si>
  <si>
    <t>invisible braces tampa</t>
  </si>
  <si>
    <t>invisalign cost tampa</t>
  </si>
  <si>
    <t>Invisalign - Cost &amp; Financing</t>
  </si>
  <si>
    <t>GO Orthodontics Tampa (/invisalign-braces-cost/); national cost guides</t>
  </si>
  <si>
    <t>/invisalign-cost-tampa/</t>
  </si>
  <si>
    <t>how much does invisalign cost</t>
  </si>
  <si>
    <t>High national volume and KD; win via the Tampa cost guide with local pricing ranges.</t>
  </si>
  <si>
    <t>invisalign cost with insurance</t>
  </si>
  <si>
    <t>invisalign payment plans</t>
  </si>
  <si>
    <t>is invisalign worth it</t>
  </si>
  <si>
    <t>invisalign cost per month</t>
  </si>
  <si>
    <t>invisalign cost without insurance</t>
  </si>
  <si>
    <t>invisalign vs braces</t>
  </si>
  <si>
    <t>Invisalign - vs Braces &amp; Alternatives</t>
  </si>
  <si>
    <t>National (Healthline, Invisalign.com); GO Orthodontics Tampa blog</t>
  </si>
  <si>
    <t>/blog/invisalign-vs-braces/</t>
  </si>
  <si>
    <t>clear aligners vs braces</t>
  </si>
  <si>
    <t>invisalign alternatives</t>
  </si>
  <si>
    <t>how to straighten teeth without braces</t>
  </si>
  <si>
    <t>Solution-Based</t>
  </si>
  <si>
    <t>crooked teeth fix for adults</t>
  </si>
  <si>
    <t>clear braces vs metal braces</t>
  </si>
  <si>
    <t>invisalign vs clear braces</t>
  </si>
  <si>
    <t>how long does invisalign take</t>
  </si>
  <si>
    <t>Invisalign - FAQs</t>
  </si>
  <si>
    <t>National health &amp; Invisalign sites</t>
  </si>
  <si>
    <t>/blog/invisalign-faqs/</t>
  </si>
  <si>
    <t>does invisalign hurt</t>
  </si>
  <si>
    <t>invisalign attachments</t>
  </si>
  <si>
    <t>invisalign before and after</t>
  </si>
  <si>
    <t>invisalign for teens</t>
  </si>
  <si>
    <t>can invisalign fix overbite</t>
  </si>
  <si>
    <t>invisalign retainer after treatment</t>
  </si>
  <si>
    <t>how to clean invisalign aligners</t>
  </si>
  <si>
    <t>dental fillings tampa</t>
  </si>
  <si>
    <t>Fillings &amp; Restorations</t>
  </si>
  <si>
    <t>Fillings &amp; Restorations - Service</t>
  </si>
  <si>
    <t>/dentist-filling-tampa/</t>
  </si>
  <si>
    <t>tooth filling tampa</t>
  </si>
  <si>
    <t>dentist for cavity tampa</t>
  </si>
  <si>
    <t>tooth colored fillings tampa</t>
  </si>
  <si>
    <t>composite fillings tampa</t>
  </si>
  <si>
    <t>cavity filling near me</t>
  </si>
  <si>
    <t>white fillings dentist tampa</t>
  </si>
  <si>
    <t>dental restorations tampa</t>
  </si>
  <si>
    <t>tooth restoration tampa</t>
  </si>
  <si>
    <t>dental filling cost</t>
  </si>
  <si>
    <t>how to know if you have a cavity</t>
  </si>
  <si>
    <t>Fillings - Education</t>
  </si>
  <si>
    <t>/blog/dental-fillings-guide/</t>
  </si>
  <si>
    <t>composite vs amalgam fillings</t>
  </si>
  <si>
    <t>how long do fillings last</t>
  </si>
  <si>
    <t>tooth sensitivity after filling</t>
  </si>
  <si>
    <t>lost filling what to do</t>
  </si>
  <si>
    <t>do fillings hurt</t>
  </si>
  <si>
    <t>stages of tooth decay</t>
  </si>
  <si>
    <t>Dentures</t>
  </si>
  <si>
    <t>Dentures - Service</t>
  </si>
  <si>
    <t>Tampa Dentistry; Gassler Dental</t>
  </si>
  <si>
    <t>/dentures/</t>
  </si>
  <si>
    <t>dentures in tampa fl</t>
  </si>
  <si>
    <t>denture clinic tampa</t>
  </si>
  <si>
    <t>full dentures tampa</t>
  </si>
  <si>
    <t>partial dentures tampa</t>
  </si>
  <si>
    <t>affordable dentures tampa</t>
  </si>
  <si>
    <t>same day dentures tampa</t>
  </si>
  <si>
    <t>Publish only if offered - verify with client.</t>
  </si>
  <si>
    <t>denture repair tampa</t>
  </si>
  <si>
    <t>Verify service availability with client.</t>
  </si>
  <si>
    <t>how much do dentures cost</t>
  </si>
  <si>
    <t>Dentures - Cost &amp; Types</t>
  </si>
  <si>
    <t>National health publishers (Healthline, Colgate, ADA MouthHealthy); denture clinics</t>
  </si>
  <si>
    <t>/blog/denture-cost-types-guide/</t>
  </si>
  <si>
    <t>full vs partial dentures</t>
  </si>
  <si>
    <t>dentures vs implants</t>
  </si>
  <si>
    <t>dentures vs bridges</t>
  </si>
  <si>
    <t>how long do dentures last</t>
  </si>
  <si>
    <t>what to expect when getting dentures</t>
  </si>
  <si>
    <t>how to care for dentures</t>
  </si>
  <si>
    <t>Dentures - Care &amp; Adjustment</t>
  </si>
  <si>
    <t>/blog/denture-care-adjustment/</t>
  </si>
  <si>
    <t>sore gums from dentures</t>
  </si>
  <si>
    <t>getting used to new dentures</t>
  </si>
  <si>
    <t>how to clean dentures</t>
  </si>
  <si>
    <t>dental bridges tampa</t>
  </si>
  <si>
    <t>Dental Bridges</t>
  </si>
  <si>
    <t>Dental Bridges - Service</t>
  </si>
  <si>
    <t>/dental-bridges-tampa/</t>
  </si>
  <si>
    <t>dental bridge near me</t>
  </si>
  <si>
    <t>tooth bridge dentist tampa</t>
  </si>
  <si>
    <t>bridge for missing tooth tampa</t>
  </si>
  <si>
    <t>fixed bridge dentist tampa</t>
  </si>
  <si>
    <t>missing tooth replacement tampa</t>
  </si>
  <si>
    <t>dental bridge cost</t>
  </si>
  <si>
    <t>Dental Bridges - Education</t>
  </si>
  <si>
    <t>/blog/dental-bridge-guide/</t>
  </si>
  <si>
    <t>how long do dental bridges last</t>
  </si>
  <si>
    <t>dental bridge vs implant</t>
  </si>
  <si>
    <t>types of dental bridges</t>
  </si>
  <si>
    <t>how to clean under a dental bridge</t>
  </si>
  <si>
    <t>dental bridge procedure</t>
  </si>
  <si>
    <t>dental crowns tampa</t>
  </si>
  <si>
    <t>Dental Crowns</t>
  </si>
  <si>
    <t>Dental Crowns - Service</t>
  </si>
  <si>
    <t>Gassler Dental (Ceramic &amp; Same Day Crowns)</t>
  </si>
  <si>
    <t>/dental-cap-crown-tampa/</t>
  </si>
  <si>
    <t>porcelain crowns tampa</t>
  </si>
  <si>
    <t>same day crowns tampa</t>
  </si>
  <si>
    <t>Publish only if the practice offers same-day crowns (Gassler Dental does).</t>
  </si>
  <si>
    <t>crown for broken tooth tampa</t>
  </si>
  <si>
    <t>dental crown near me</t>
  </si>
  <si>
    <t>ceramic crowns tampa</t>
  </si>
  <si>
    <t>tooth cap tampa</t>
  </si>
  <si>
    <t>dental crown cost</t>
  </si>
  <si>
    <t>Dental Crowns - Education</t>
  </si>
  <si>
    <t>/blog/dental-crown-cost-guide/</t>
  </si>
  <si>
    <t>how long do dental crowns last</t>
  </si>
  <si>
    <t>crown vs filling</t>
  </si>
  <si>
    <t>dental crown procedure</t>
  </si>
  <si>
    <t>temporary crown fell off</t>
  </si>
  <si>
    <t>types of dental crowns</t>
  </si>
  <si>
    <t>porcelain vs zirconia crowns</t>
  </si>
  <si>
    <t>do you need a crown after a root canal</t>
  </si>
  <si>
    <t>dental implants tampa</t>
  </si>
  <si>
    <t>Dental Implants</t>
  </si>
  <si>
    <t>Dental Implants (Adjacent Service)</t>
  </si>
  <si>
    <t>Jackson Dental; Gassler Dental</t>
  </si>
  <si>
    <t>/dental-implant-tampa/</t>
  </si>
  <si>
    <t>Adjacent high-CPC service; nav label 'Dentures' currently points to /dental-implant-tampa/ - verify and separate pages.</t>
  </si>
  <si>
    <t>dental implants near me</t>
  </si>
  <si>
    <t>implant dentist tampa</t>
  </si>
  <si>
    <t>tooth implant cost tampa</t>
  </si>
  <si>
    <t>single tooth implant tampa</t>
  </si>
  <si>
    <t>implant supported dentures tampa</t>
  </si>
  <si>
    <t>root canal tampa</t>
  </si>
  <si>
    <t>Root Canal Therapy</t>
  </si>
  <si>
    <t>Root Canal (Adjacent Service)</t>
  </si>
  <si>
    <t>Tampa Dentistry; endodontists</t>
  </si>
  <si>
    <t>/root-canal-tampa/</t>
  </si>
  <si>
    <t>root canal dentist tampa</t>
  </si>
  <si>
    <t>root canal near me</t>
  </si>
  <si>
    <t>tooth extraction tampa</t>
  </si>
  <si>
    <t>Tooth Extractions</t>
  </si>
  <si>
    <t>Tooth Extraction (Adjacent Service)</t>
  </si>
  <si>
    <t>Gassler Dental; oral surgeons</t>
  </si>
  <si>
    <t>/tooth-extraction-tampa/</t>
  </si>
  <si>
    <t>tooth extraction near me</t>
  </si>
  <si>
    <t>tooth removal dentist tampa</t>
  </si>
  <si>
    <t>how much does a dentist visit cost in tampa</t>
  </si>
  <si>
    <t>Dental Costs &amp; Pricing</t>
  </si>
  <si>
    <t>Dental Costs &amp; Pricing Hub</t>
  </si>
  <si>
    <t>National cost-guide publishers</t>
  </si>
  <si>
    <t>/dental-costs-tampa/</t>
  </si>
  <si>
    <t>dental exam and x-ray cost</t>
  </si>
  <si>
    <t>teeth cleaning cost without insurance</t>
  </si>
  <si>
    <t>dentist cost without insurance</t>
  </si>
  <si>
    <t>dental prices tampa</t>
  </si>
  <si>
    <t>average cost of dental treatment</t>
  </si>
  <si>
    <t>gentle dentist tampa</t>
  </si>
  <si>
    <t>Patient Comfort</t>
  </si>
  <si>
    <t>Comfort-Focused Care</t>
  </si>
  <si>
    <t>General dentist sites (low specificity)</t>
  </si>
  <si>
    <t>/comfortable-dental-care-tampa/</t>
  </si>
  <si>
    <t>painless dentist tampa</t>
  </si>
  <si>
    <t>Homepage already uses 'Painless dental treatment' heading; do not claim sedation unless offered.</t>
  </si>
  <si>
    <t>dentist for anxious patients tampa</t>
  </si>
  <si>
    <t>comfortable dental care tampa</t>
  </si>
  <si>
    <t>dentist for nervous patients near me</t>
  </si>
  <si>
    <t>dental anxiety tips</t>
  </si>
  <si>
    <t>Dental Anxiety - Education</t>
  </si>
  <si>
    <t>/blog/dental-anxiety-tips/</t>
  </si>
  <si>
    <t>how to calm nerves before dentist</t>
  </si>
  <si>
    <t>afraid of the dentist what to do</t>
  </si>
  <si>
    <t>restorative dentistry tampa</t>
  </si>
  <si>
    <t>Restorative Dentistry</t>
  </si>
  <si>
    <t>Restorative Dentistry Hub</t>
  </si>
  <si>
    <t>Tampa Dentistry; Jackson Dental</t>
  </si>
  <si>
    <t>/restorative-dentistry-tampa/</t>
  </si>
  <si>
    <t>restorative dentist tampa</t>
  </si>
  <si>
    <t>dental restoration services tampa</t>
  </si>
  <si>
    <t>preventive dentistry tampa</t>
  </si>
  <si>
    <t>Preventive Dentistry Hub</t>
  </si>
  <si>
    <t>General dentist sites</t>
  </si>
  <si>
    <t>/preventive-dentistry-tampa/</t>
  </si>
  <si>
    <t>preventive dental care tampa</t>
  </si>
  <si>
    <t>routine dental care tampa</t>
  </si>
  <si>
    <t>Cluster Name</t>
  </si>
  <si>
    <t>Primary Keyword</t>
  </si>
  <si>
    <t>Secondary Keywords</t>
  </si>
  <si>
    <t>Questions</t>
  </si>
  <si>
    <t>Entities</t>
  </si>
  <si>
    <t>Intent</t>
  </si>
  <si>
    <t>Recommended Page</t>
  </si>
  <si>
    <t>Page Type</t>
  </si>
  <si>
    <t>dentist near me; tampa dentist; dentist tampa fl; best dentist in tampa; dentists in tampa fl; family dentist tampa; dental office tampa</t>
  </si>
  <si>
    <t>Is Dental Office of Tampa accepting new patients?; Where is the office located?</t>
  </si>
  <si>
    <t>Tampa, Hillsborough County, family dentist, general dentistry, new patients</t>
  </si>
  <si>
    <t>Homepage</t>
  </si>
  <si>
    <t>dr jackson dentist tampa; dentalofficeoftampa.com; dental office of tampa reviews; dental office of tampa phone number; dental office of tampa moran rd</t>
  </si>
  <si>
    <t>Add 'People Also Ask' FAQ block (service page)</t>
  </si>
  <si>
    <t>Dental Office of Tampa, Dr. Jackson, Moran Rd, Google Business Profile</t>
  </si>
  <si>
    <t>north tampa dentist; dentist 33618; dentist 33624; dentist near dale mabry tampa; dentist 33625; dentist moran rd tampa</t>
  </si>
  <si>
    <t>33618, 33624, 33625, Moran Rd, Dale Mabry Hwy, North Tampa</t>
  </si>
  <si>
    <t>Location Page</t>
  </si>
  <si>
    <t>carrollwood dentist; dentist in carrollwood fl; dental office carrollwood</t>
  </si>
  <si>
    <t>Carrollwood, Dale Mabry Hwy, Hillsborough County</t>
  </si>
  <si>
    <t>northdale dentist; dentist in northdale fl</t>
  </si>
  <si>
    <t>Northdale, Citrus Park Dr, Hillsborough County</t>
  </si>
  <si>
    <t>lutz dentist; dentist in lutz florida</t>
  </si>
  <si>
    <t>Lutz, Van Dyke Rd, Pasco/Hillsborough border</t>
  </si>
  <si>
    <t>citrus park dentist; dentist citrus park fl</t>
  </si>
  <si>
    <t>Citrus Park, Citrus Park Mall area, Sheldon Rd</t>
  </si>
  <si>
    <t>free dental cleaning near me; free teeth cleaning tampa; dentist new patient offer; free dental exam and x-rays tampa; new patient dental special tampa; book dentist appointment online tampa</t>
  </si>
  <si>
    <t>What is included in the free cleaning offer?; Who qualifies as a new patient?</t>
  </si>
  <si>
    <t>Free teeth cleaning, $140 exam and x-ray, free smile analysis</t>
  </si>
  <si>
    <t>Offer / Landing Page</t>
  </si>
  <si>
    <t>What to expect at first dentist appointment adult?; Haven't been to the dentist in years?; What happens at a dental exam and x-ray?</t>
  </si>
  <si>
    <t>First appointment, exam, x-rays, patient forms</t>
  </si>
  <si>
    <t>Info Page</t>
  </si>
  <si>
    <t>affordable dentist tampa; low cost dentist tampa; cheap dentist in tampa; delta dental dentist tampa; dentist no insurance tampa; dentist payment plans tampa; cigna dentist tampa</t>
  </si>
  <si>
    <t>Which insurance plans are accepted?; Are payment options available?</t>
  </si>
  <si>
    <t>Delta Dental, Cigna, PPO, payment plans, self-pay</t>
  </si>
  <si>
    <t>emergency dentist near me; toothache relief what to do; 24 hour emergency dentist tampa; emergency dental care tampa; same day dentist appointment tampa; tooth pain dentist tampa; broken tooth dentist tampa</t>
  </si>
  <si>
    <t>What counts as a dental emergency?; Can I be seen the same day?</t>
  </si>
  <si>
    <t>Toothache, broken tooth, chipped tooth, same-day appointment</t>
  </si>
  <si>
    <t>Service Page</t>
  </si>
  <si>
    <t>dental cleaning near me; dental cleaning tampa; dental checkup tampa; deep cleaning teeth tampa; dentist exam and cleaning tampa</t>
  </si>
  <si>
    <t>How often should you get teeth cleaned?; What happens during a dental cleaning?</t>
  </si>
  <si>
    <t>Prophylaxis, deep cleaning, exam, digital x-rays</t>
  </si>
  <si>
    <t>dental sealants cost; kids dentist tampa; dental sealants tampa; tooth sealants for adults near me; tooth sealant tampa fl; children's dental sealants tampa; sealants dentist tampa</t>
  </si>
  <si>
    <t>Are sealants only for children?; How long do sealants last?</t>
  </si>
  <si>
    <t>Sealants, molars, cavity prevention, children, adults</t>
  </si>
  <si>
    <t>dental sealants for adults; dental sealant pros and cons; sealants vs fluoride</t>
  </si>
  <si>
    <t>What are dental sealants?; How long do dental sealants last?; Are dental sealants worth it?; Do sealants hurt?</t>
  </si>
  <si>
    <t>Sealants, molars, pits and fissures, fluoride</t>
  </si>
  <si>
    <t>Blog Post</t>
  </si>
  <si>
    <t>invisalign near me; clear braces near me; invisalign in tampa fl; clear aligners tampa; invisalign dentist tampa; clear braces tampa; invisalign for adults tampa</t>
  </si>
  <si>
    <t>Am I a candidate for Invisalign?; How does the free smile analysis work?</t>
  </si>
  <si>
    <t>Invisalign, clear aligners, clear braces, digital scan, free smile analysis</t>
  </si>
  <si>
    <t>invisalign cost with insurance; invisalign cost per month; invisalign cost without insurance; invisalign payment plans</t>
  </si>
  <si>
    <t>How much does Invisalign cost in Tampa?; Does insurance cover Invisalign?; Can I pay monthly?; How much does invisalign cost?; Is invisalign worth it?</t>
  </si>
  <si>
    <t>Invisalign cost, payment plans, insurance, HSA/FSA</t>
  </si>
  <si>
    <t>Cost Guide Page</t>
  </si>
  <si>
    <t>crooked teeth fix for adults; clear aligners vs braces; clear braces vs metal braces; invisalign alternatives; invisalign vs clear braces</t>
  </si>
  <si>
    <t>How to straighten teeth without braces?</t>
  </si>
  <si>
    <t>Invisalign, metal braces, clear braces, orthodontist vs dentist</t>
  </si>
  <si>
    <t>invisalign before and after; invisalign attachments; invisalign for teens; invisalign retainer after treatment</t>
  </si>
  <si>
    <t>How long does invisalign take?; Does invisalign hurt?; Can invisalign fix overbite?; How to clean invisalign aligners?</t>
  </si>
  <si>
    <t>Aligners, attachments, retainers, overbite, treatment time</t>
  </si>
  <si>
    <t>dental filling cost; cavity filling near me; tooth filling tampa; dentist for cavity tampa; tooth colored fillings tampa; composite fillings tampa; tooth restoration tampa</t>
  </si>
  <si>
    <t>Are tooth-colored fillings available?; Does getting a filling hurt?</t>
  </si>
  <si>
    <t>Composite fillings, tooth-colored fillings, cavity, restoration</t>
  </si>
  <si>
    <t>tooth sensitivity after filling; composite vs amalgam fillings; stages of tooth decay; lost filling what to do</t>
  </si>
  <si>
    <t>How to know if you have a cavity?; How long do fillings last?; Do fillings hurt?</t>
  </si>
  <si>
    <t>Cavity, tooth decay, composite, amalgam, sensitivity</t>
  </si>
  <si>
    <t>dentures near me; dentures in tampa fl; affordable dentures tampa; denture clinic tampa; partial dentures tampa; full dentures tampa; same day dentures tampa</t>
  </si>
  <si>
    <t>Full or partial dentures - which do I need?; How long does the process take?</t>
  </si>
  <si>
    <t>Full dentures, partial dentures, same-day dentures, denture repair</t>
  </si>
  <si>
    <t>dentures vs implants; full vs partial dentures; dentures vs bridges</t>
  </si>
  <si>
    <t>How much do dentures cost?; How long do dentures last?; What to expect when getting dentures?</t>
  </si>
  <si>
    <t>Full vs partial, implants, bridges, cost, lifespan</t>
  </si>
  <si>
    <t>sore gums from dentures; getting used to new dentures</t>
  </si>
  <si>
    <t>How to care for dentures?; How to clean dentures?</t>
  </si>
  <si>
    <t>Denture cleaning, sore gums, adjustment period</t>
  </si>
  <si>
    <t>dental bridge near me; missing tooth replacement tampa; tooth bridge dentist tampa; bridge for missing tooth tampa; fixed bridge dentist tampa</t>
  </si>
  <si>
    <t>Bridge or implant for a missing tooth?; How long does a bridge last?</t>
  </si>
  <si>
    <t>Fixed bridge, abutment teeth, pontic, missing tooth</t>
  </si>
  <si>
    <t>dental bridge vs implant; dental bridge procedure; types of dental bridges</t>
  </si>
  <si>
    <t>How long do dental bridges last?; How to clean under a dental bridge?</t>
  </si>
  <si>
    <t>Bridge cost, bridge vs implant, procedure, cleaning</t>
  </si>
  <si>
    <t>dental crown near me; same day crowns tampa; dental crown dentist tampa; porcelain crowns tampa; crown for broken tooth tampa; ceramic crowns tampa; tooth cap tampa</t>
  </si>
  <si>
    <t>When do I need a crown instead of a filling?; How long does a crown take?</t>
  </si>
  <si>
    <t>Porcelain crown, ceramic crown, zirconia, tooth cap</t>
  </si>
  <si>
    <t>dental crown procedure; types of dental crowns; temporary crown fell off; crown vs filling; porcelain vs zirconia crowns</t>
  </si>
  <si>
    <t>How long do dental crowns last?; Do you need a crown after a root canal?</t>
  </si>
  <si>
    <t>Crown cost, crown vs filling, procedure, temporary crown</t>
  </si>
  <si>
    <t>dental implants near me; implant dentist tampa; tooth implant cost tampa; single tooth implant tampa; implant supported dentures tampa</t>
  </si>
  <si>
    <t>Implant, abutment, implant-supported denture, single-tooth implant</t>
  </si>
  <si>
    <t>root canal near me; root canal dentist tampa</t>
  </si>
  <si>
    <t>Endodontic treatment, pulp, infection, crown after root canal</t>
  </si>
  <si>
    <t>tooth extraction near me; tooth removal dentist tampa</t>
  </si>
  <si>
    <t>Extraction, tooth removal, socket, replacement options</t>
  </si>
  <si>
    <t>teeth cleaning cost without insurance; dentist cost without insurance; average cost of dental treatment; dental prices tampa</t>
  </si>
  <si>
    <t>How much does a dentist visit cost in tampa?</t>
  </si>
  <si>
    <t>Exam and x-ray, cleaning, self-pay pricing, fee ranges</t>
  </si>
  <si>
    <t>dentist for nervous patients near me; painless dentist tampa; dentist for anxious patients tampa; comfortable dental care tampa</t>
  </si>
  <si>
    <t>Painless dentistry, blankets, headphones, anxious patients</t>
  </si>
  <si>
    <t>How to calm nerves before dentist?; Afraid of the dentist what to do?</t>
  </si>
  <si>
    <t>Dental anxiety, fear of dentist, relaxation</t>
  </si>
  <si>
    <t>restorative dentist tampa; dental restoration services tampa</t>
  </si>
  <si>
    <t>Fillings, crowns, bridges, dentures, implants</t>
  </si>
  <si>
    <t>Hub Page</t>
  </si>
  <si>
    <t>preventive dental care tampa; routine dental care tampa</t>
  </si>
  <si>
    <t>Cleanings, exams, sealants, x-rays, fluoride</t>
  </si>
  <si>
    <t>Competitor</t>
  </si>
  <si>
    <t>URL</t>
  </si>
  <si>
    <t>Ranking Topics</t>
  </si>
  <si>
    <t>Strong Pages</t>
  </si>
  <si>
    <t>Weakness</t>
  </si>
  <si>
    <t>Content Gap</t>
  </si>
  <si>
    <t>Opportunity</t>
  </si>
  <si>
    <t>Tampa Bay Dental Team</t>
  </si>
  <si>
    <t>https://tampabaydentalteam.com/</t>
  </si>
  <si>
    <t>Family dentistry; cosmetic dentistry; periodontics; same-day emergency care; kids; new-patient special ($175); two offices (N. Dale Mabry 33618 and Van Dyke/Lutz).</t>
  </si>
  <si>
    <t>Cosmetic Dentistry, Family Dentistry, Periodontics, Dental Health section, Reviews, separate pages per office location.</t>
  </si>
  <si>
    <t>Dated-looking site (footer copyright 2018, slider layout); title tag leads with a doctor's name and the meta description is a person's name rather than services; Invisalign, dentures, bridges and crowns are grouped under 'Additional Dental Services' rather than own pages.</t>
  </si>
  <si>
    <t>No dedicated Invisalign, dentures, bridges, crowns or sealants pages seen in main navigation; no cost/pricing content; no neighborhood pages beyond the two office pages.</t>
  </si>
  <si>
    <t>Closest geographic rival (same 33618 ZIP). Win service-specific queries (crowns, bridges, dentures, Invisalign) with dedicated pages; match their emergency and new-patient positioning with /emergency-dentist-tampa/ and /new-patient-special-tampa/.</t>
  </si>
  <si>
    <t>Jackson Dental</t>
  </si>
  <si>
    <t>https://jacksondentaltampa.com/</t>
  </si>
  <si>
    <t>Cosmetic dentistry (smile makeovers, bonding, veneers); dental implants (All-on-4/X, single tooth); Invisalign; insurance, payment options, Medicare Advantage; Downtown Tampa location (33602).</t>
  </si>
  <si>
    <t>Individual implant pages, Invisalign treatment page, Insurance and Payment Options pages, What to Expect page.</t>
  </si>
  <si>
    <t>Downtown location (101 E Kennedy Blvd) is distant from 33618; templated multi-practice platform content; meta description is only 'Home | Jackson Dental | Tampa FL'.</t>
  </si>
  <si>
    <t>Homepage does not feature fillings, crowns, dentures or sealants; no neighborhood content for North Tampa/Carrollwood/Northdale.</t>
  </si>
  <si>
    <t>Own the North Tampa catchment and restorative services. Copy their strength in insurance/payment transparency (insurance page, payment plans, cost guide).</t>
  </si>
  <si>
    <t>Gassler Dental</t>
  </si>
  <si>
    <t>https://gasslerdentaltampa.com/</t>
  </si>
  <si>
    <t>Downtown Tampa / 33602 dentist; cosmetic; implants; emergency; Invisalign; full service list (ceramic and same-day crowns, bridges, dentures, fillings, extractions, night guards, whitening, veneers); privately-owned positioning.</t>
  </si>
  <si>
    <t>Broad service-page library, Dental Health library, blog, reviews, smile gallery, Emergency Treatment page.</t>
  </si>
  <si>
    <t>Downtown focus (507 E Jackson St); office open Monday-Thursday only per site hours; homepage copy is generic; no obvious cost/pricing content.</t>
  </si>
  <si>
    <t>North Tampa, Carrollwood, Northdale, Lutz and Citrus Park neighborhood coverage; pricing transparency; modern conversion offers (free cleaning, free consultation).</t>
  </si>
  <si>
    <t>Closest on-page service coverage - match service breadth (emergency, cleaning, crowns) and beat them locally with neighborhood pages, Friday hours, Thursday/Friday 7:30 AM opening and a free-cleaning offer page.</t>
  </si>
  <si>
    <t>Tampa Dentistry</t>
  </si>
  <si>
    <t>https://mytampadentistry.com/</t>
  </si>
  <si>
    <t>Dentist in Tampa; cosmetic (smile makeovers, bonding, veneers); Invisalign; restorative (dentures, root canal, bridges); insurance and payment options; W. Busch Blvd location (33612).</t>
  </si>
  <si>
    <t>Dentures, Dental Bridges, Root Canal Treatment, Invisalign Treatment, Insurance and Payment Options pages.</t>
  </si>
  <si>
    <t>Same templated multi-practice platform as Jackson Dental; thin meta description ('Home | Tampa Dentistry | Tampa FL'); no blog link in homepage navigation.</t>
  </si>
  <si>
    <t>Crowns, fillings and sealants not featured on homepage; no emergency page seen in nav; no neighborhood-specific content.</t>
  </si>
  <si>
    <t>Direct competitor on dentures and bridges - out-rank with deeper service pages (types, process, FAQs) plus supporting cost/care guides; add root canal page to neutralise their advantage.</t>
  </si>
  <si>
    <t>GO Orthodontics Tampa</t>
  </si>
  <si>
    <t>https://goorthotampa.com/</t>
  </si>
  <si>
    <t>Invisalign (adult, teen, first); braces types; clear braces; retainers; Invisalign and braces cost; virtual consultation; board-certified orthodontist.</t>
  </si>
  <si>
    <t>Invisalign page family, Treatment Cost page (/invisalign-braces-cost/), Before &amp; After, Testimonials, Virtual Consultation, Blog.</t>
  </si>
  <si>
    <t>Orthodontic specialist only - no general or restorative dentistry; limited hours (Tue-Fri); Invisalign SERPs are specialist-dominated and hard for a general dentist to outrank on head terms.</t>
  </si>
  <si>
    <t>Not a general dentist - cannot compete for fillings, crowns, bridges, dentures or sealants; no emergency or general-care content.</t>
  </si>
  <si>
    <t>Not a like-for-like rival except Invisalign. Compete on long-tail (Invisalign + Tampa cost, free consultation, 'Invisalign dentist') and position as one-office convenience; build /invisalign-cost-tampa/ to match their cost page.</t>
  </si>
  <si>
    <t>Page Name</t>
  </si>
  <si>
    <t>Existing/New</t>
  </si>
  <si>
    <t>Action</t>
  </si>
  <si>
    <t>Cannibalization Risk</t>
  </si>
  <si>
    <t>dentist near me; tampa dentist; dentist tampa fl; best dentist in tampa; dentists in tampa fl; family dentist tampa</t>
  </si>
  <si>
    <t>Existing</t>
  </si>
  <si>
    <t>Medium - homepage competes with location pages for 'dentist in tampa' variants; keep neighborhood terms off the homepage.</t>
  </si>
  <si>
    <t>North Tampa / 33618 Dentist</t>
  </si>
  <si>
    <t>New</t>
  </si>
  <si>
    <t>Medium - overlaps homepage for generic Tampa terms; focus on ZIP and North Tampa modifiers only.</t>
  </si>
  <si>
    <t>Low - unique neighborhood modifier; needs distinct local content.</t>
  </si>
  <si>
    <t>Low - unique neighborhood modifier.</t>
  </si>
  <si>
    <t>New Patient Special - Free Cleaning</t>
  </si>
  <si>
    <t>Medium - overlaps /first-visit/ and homepage offer banner; keep offer terms here, 'what to expect' on /first-visit/.</t>
  </si>
  <si>
    <t>First Visit</t>
  </si>
  <si>
    <t>what happens at a dental exam and x-ray; haven't been to the dentist in years; what to expect at first dentist appointment adult; dentist after years of not going</t>
  </si>
  <si>
    <t>Low - informational intent; link to offer page.</t>
  </si>
  <si>
    <t>Insurance Information</t>
  </si>
  <si>
    <t>affordable dentist tampa; low cost dentist tampa; cheap dentist in tampa; delta dental dentist tampa; dentist no insurance tampa; dentist payment plans tampa</t>
  </si>
  <si>
    <t>Low - distinct payment/insurance intent.</t>
  </si>
  <si>
    <t>Emergency Dentist Tampa</t>
  </si>
  <si>
    <t>emergency dentist near me; toothache relief what to do; 24 hour emergency dentist tampa; emergency dental care tampa; same day dentist appointment tampa; tooth pain dentist tampa</t>
  </si>
  <si>
    <t>Low - unique intent.</t>
  </si>
  <si>
    <t>Teeth Cleaning &amp; Dental Checkups</t>
  </si>
  <si>
    <t>dental cleaning near me; how often should you get teeth cleaned; what happens during a dental cleaning; dental cleaning tampa; dental checkup tampa; deep cleaning teeth tampa</t>
  </si>
  <si>
    <t>Medium - overlaps free-cleaning offer page; differentiate cleaning service vs offer.</t>
  </si>
  <si>
    <t>dental sealants cost; kids dentist tampa; dental sealants tampa; tooth sealants for adults near me; tooth sealant tampa fl; children's dental sealants tampa</t>
  </si>
  <si>
    <t>Low - pair with education blog for informational queries.</t>
  </si>
  <si>
    <t>Blog: What Are Dental Sealants?</t>
  </si>
  <si>
    <t>how long do dental sealants last; dental sealants for adults; are dental sealants worth it; dental sealant pros and cons; do sealants hurt; sealants vs fluoride</t>
  </si>
  <si>
    <t>Low - informational; links to service page.</t>
  </si>
  <si>
    <t>Clear Braces - Invisalign</t>
  </si>
  <si>
    <t>invisalign near me; clear braces near me; invisalign in tampa fl; clear aligners tampa; invisalign dentist tampa; clear braces tampa</t>
  </si>
  <si>
    <t>Medium - cost and comparison terms must live on separate pages to avoid dilution.</t>
  </si>
  <si>
    <t>Invisalign Cost in Tampa</t>
  </si>
  <si>
    <t>how much does invisalign cost; invisalign cost with insurance; is invisalign worth it; invisalign cost per month; invisalign cost without insurance; invisalign payment plans</t>
  </si>
  <si>
    <t>Medium - keep pricing terms here; service page only references cost briefly.</t>
  </si>
  <si>
    <t>Blog: Invisalign vs Braces</t>
  </si>
  <si>
    <t>how to straighten teeth without braces; crooked teeth fix for adults; clear aligners vs braces; clear braces vs metal braces; invisalign alternatives; invisalign vs clear braces</t>
  </si>
  <si>
    <t>Low - comparison intent.</t>
  </si>
  <si>
    <t>Blog: Invisalign FAQs</t>
  </si>
  <si>
    <t>invisalign before and after; does invisalign hurt; how to clean invisalign aligners; invisalign attachments; invisalign for teens; can invisalign fix overbite</t>
  </si>
  <si>
    <t>Low - FAQ intent.</t>
  </si>
  <si>
    <t>dental filling cost; cavity filling near me; tooth filling tampa; dentist for cavity tampa; tooth colored fillings tampa; composite fillings tampa</t>
  </si>
  <si>
    <t>Medium - 'restoration' terms overlap restorative hub; hub targets generic 'restorative dentistry'.</t>
  </si>
  <si>
    <t>Blog: Dental Fillings Guide</t>
  </si>
  <si>
    <t>how long do fillings last; tooth sensitivity after filling; composite vs amalgam fillings; stages of tooth decay; do fillings hurt; lost filling what to do</t>
  </si>
  <si>
    <t>dentures near me; dentures in tampa fl; affordable dentures tampa; denture clinic tampa; partial dentures tampa; full dentures tampa</t>
  </si>
  <si>
    <t>High - nav links 'Dentures' to /dental-implant-tampa/; consolidate before optimizing.</t>
  </si>
  <si>
    <t>Blog: Denture Cost &amp; Types</t>
  </si>
  <si>
    <t>how long do dentures last; dentures vs implants; what to expect when getting dentures; full vs partial dentures; dentures vs bridges</t>
  </si>
  <si>
    <t>Blog: Denture Care &amp; Adjustment</t>
  </si>
  <si>
    <t>how to clean dentures; sore gums from dentures; getting used to new dentures</t>
  </si>
  <si>
    <t>High - homepage links /dental-bridges/ while nav links /dental-bridges-tampa/; verify canonical/redirect.</t>
  </si>
  <si>
    <t>Blog: Dental Bridge Guide</t>
  </si>
  <si>
    <t>dental bridge vs implant; how long do dental bridges last; dental bridge procedure; types of dental bridges; how to clean under a dental bridge</t>
  </si>
  <si>
    <t>dental crown near me; same day crowns tampa; dental crown dentist tampa; porcelain crowns tampa; crown for broken tooth tampa; ceramic crowns tampa</t>
  </si>
  <si>
    <t>High - homepage links /dental-crowns/ while nav links /dental-cap-crown-tampa/; verify canonical/redirect.</t>
  </si>
  <si>
    <t>Blog: Dental Crown Cost &amp; Guide</t>
  </si>
  <si>
    <t>how long do dental crowns last; dental crown procedure; types of dental crowns; temporary crown fell off; crown vs filling; do you need a crown after a root canal</t>
  </si>
  <si>
    <t>High - slug/nav label mismatch with Dentures; confirm page content.</t>
  </si>
  <si>
    <t>Root Canal Treatment</t>
  </si>
  <si>
    <t>Tooth Extraction</t>
  </si>
  <si>
    <t>Dental Costs in Tampa</t>
  </si>
  <si>
    <t>teeth cleaning cost without insurance; dentist cost without insurance; average cost of dental treatment; dental prices tampa; how much does a dentist visit cost in tampa</t>
  </si>
  <si>
    <t>Medium - homepage 'cost of treatment' tile may already point to a pricing page; consolidate.</t>
  </si>
  <si>
    <t>Gentle &amp; Comfortable Dental Care</t>
  </si>
  <si>
    <t>Blog: Dental Anxiety Tips</t>
  </si>
  <si>
    <t>how to calm nerves before dentist; afraid of the dentist what to do</t>
  </si>
  <si>
    <t>Medium - generic restorative terms vs individual service pages.</t>
  </si>
  <si>
    <t>/dental-bridges/ (variant seen in homepage link)</t>
  </si>
  <si>
    <t>Possible duplicate of /dental-bridges-tampa/</t>
  </si>
  <si>
    <t>-</t>
  </si>
  <si>
    <t>Verify HTTP status and canonical; 301 to /dental-bridges-tampa/ if live</t>
  </si>
  <si>
    <t>Redirect</t>
  </si>
  <si>
    <t>High - nav and homepage link to different URLs for the same service</t>
  </si>
  <si>
    <t>/dental-crowns/ (variant seen in homepage link)</t>
  </si>
  <si>
    <t>Possible duplicate of /dental-cap-crown-tampa/</t>
  </si>
  <si>
    <t>Verify HTTP status and canonical; 301 to /dental-cap-crown-tampa/ if live</t>
  </si>
  <si>
    <t>/dental-implant-tampa/ (nav label: 'Dentures')</t>
  </si>
  <si>
    <t>Nav label vs slug mismatch</t>
  </si>
  <si>
    <t>Dentures nav item points to the implants slug while homepage links /dentures/; separate the two and fix nav</t>
  </si>
  <si>
    <t>Merge</t>
  </si>
  <si>
    <t>High - risk of the implants page targeting dentures keywords</t>
  </si>
  <si>
    <t>/1058-2/ ('News and info')</t>
  </si>
  <si>
    <t>Non-descriptive slug</t>
  </si>
  <si>
    <t>Rename to /blog/ and 301; use as blog hub</t>
  </si>
  <si>
    <t>/blog/</t>
  </si>
  <si>
    <t>Blog Hub</t>
  </si>
  <si>
    <t>dental care tips tampa</t>
  </si>
  <si>
    <t>Hub for all education posts; link to every service silo</t>
  </si>
  <si>
    <t>Main Topic</t>
  </si>
  <si>
    <t>Sub Topics</t>
  </si>
  <si>
    <t>Supporting Content</t>
  </si>
  <si>
    <t>Commercial Connection</t>
  </si>
  <si>
    <t>Restorative Dentistry (Fillings, Crowns, Bridges)</t>
  </si>
  <si>
    <t>Fillings; composite vs amalgam; crowns; porcelain vs zirconia; bridges; bridge vs implant; tooth decay stages</t>
  </si>
  <si>
    <t>Fillings guide; Dental crown cost guide; Dental bridge guide; restorative hub</t>
  </si>
  <si>
    <t>Tooth decay, enamel, composite resin, porcelain, zirconia, abutment teeth, pontic</t>
  </si>
  <si>
    <t>/dentist-filling-tampa/, /dental-cap-crown-tampa/, /dental-bridges-tampa/ - highest-ticket service pages</t>
  </si>
  <si>
    <t>Tooth Replacement (Dentures &amp; Implants)</t>
  </si>
  <si>
    <t>Full vs partial dentures; dentures vs implants vs bridges; denture care; implant-supported dentures</t>
  </si>
  <si>
    <t>Denture cost &amp; types guide; Denture care &amp; adjustment; dentures vs implants comparison</t>
  </si>
  <si>
    <t>Edentulism, gums, prosthodontics, abutment, osseointegration, denture adhesive</t>
  </si>
  <si>
    <t>/dentures/, /dental-implant-tampa/ - tooth-replacement consultations</t>
  </si>
  <si>
    <t>Clear Aligners (Invisalign)</t>
  </si>
  <si>
    <t>Invisalign cost; vs braces; treatment time; attachments; retainers; teens; before/after</t>
  </si>
  <si>
    <t>Invisalign cost page; Invisalign vs braces; Invisalign FAQs</t>
  </si>
  <si>
    <t>Invisalign, clear aligners, malocclusion, overbite, retainers, digital scan</t>
  </si>
  <si>
    <t>/clear-mouth-braces-tampa/ and /invisalign-cost-tampa/ - free smile analysis leads</t>
  </si>
  <si>
    <t>Preventive Care (Cleanings &amp; Sealants)</t>
  </si>
  <si>
    <t>Teeth cleaning; checkups; exam and x-ray; sealants for kids and adults; fluoride</t>
  </si>
  <si>
    <t>Teeth cleaning page; sealants guide; first-visit page; preventive hub</t>
  </si>
  <si>
    <t>Plaque, tartar, molars, pits and fissures, fluoride, digital x-rays</t>
  </si>
  <si>
    <t>/teeth-cleaning-tampa/, /dental-tooth-sealant-tampa/, /new-patient-special-tampa/ - new-patient acquisition</t>
  </si>
  <si>
    <t>Emergency &amp; Pain</t>
  </si>
  <si>
    <t>Toothache; broken or chipped tooth; lost filling or crown; same-day appointments</t>
  </si>
  <si>
    <t>Emergency dentist page; toothache FAQ; lost crown/filling FAQ</t>
  </si>
  <si>
    <t>Abscess, fracture, pulp, pain relief, urgent care</t>
  </si>
  <si>
    <t>/emergency-dentist-tampa/ - high-CPC, high-intent calls (confirm capacity)</t>
  </si>
  <si>
    <t>Dental Costs, Insurance &amp; Financing</t>
  </si>
  <si>
    <t>Cost without insurance; payment plans; accepted insurance; exam and x-ray pricing</t>
  </si>
  <si>
    <t>Dental costs hub; insurance page upgrades; service-page pricing blocks</t>
  </si>
  <si>
    <t>PPO, Delta Dental, Cigna, self-pay, payment plans, HSA/FSA</t>
  </si>
  <si>
    <t>/dental-costs-tampa/, /insurance-information/ - removes pricing friction before booking</t>
  </si>
  <si>
    <t>Patient Comfort &amp; Anxiety</t>
  </si>
  <si>
    <t>Gentle dentistry; anxious patients; what to expect; comfort amenities (blankets, headphones)</t>
  </si>
  <si>
    <t>Comfortable dental care page; dental anxiety tips; first-visit page</t>
  </si>
  <si>
    <t>Dental anxiety, comfort, communication, relaxed visit</t>
  </si>
  <si>
    <t>/comfortable-dental-care-tampa/ - differentiates the practice (homepage comfort messaging)</t>
  </si>
  <si>
    <t>Local Tampa Authority</t>
  </si>
  <si>
    <t>North Tampa 33618; Carrollwood; Northdale; Lutz; Citrus Park; Dale Mabry; Moran Rd</t>
  </si>
  <si>
    <t>Location pages with unique local content; GBP posts; local citations; reviews page</t>
  </si>
  <si>
    <t>Tampa, Hillsborough County, 33618, Carrollwood, Northdale, Lutz, Citrus Park</t>
  </si>
  <si>
    <t>Home + location pages - drives local-pack visibility and calls</t>
  </si>
  <si>
    <t>Silo</t>
  </si>
  <si>
    <t>Parent Page</t>
  </si>
  <si>
    <t>Child Pages</t>
  </si>
  <si>
    <t>Purpose</t>
  </si>
  <si>
    <t>Internal Linking Flow</t>
  </si>
  <si>
    <t>1. Local &amp; Conversion Hub</t>
  </si>
  <si>
    <t>/ (Homepage)</t>
  </si>
  <si>
    <t>/north-tampa-dentist/; /carrollwood-dentist/; /northdale-dentist/; /lutz-dentist/; /citrus-park-dentist/; /new-patient-special-tampa/; /first-visit/; /insurance-information/; /emergency-dentist-tampa/; /dental-costs-tampa/; /comfortable-dental-care-tampa/</t>
  </si>
  <si>
    <t>Capture local-intent searches, drive calls and bookings, feed Google Business Profile.</t>
  </si>
  <si>
    <t>Home -&gt; every child (hub links); children -&gt; Home and -&gt; relevant service pages; all pages -&gt; /appointment-form/ CTA.</t>
  </si>
  <si>
    <t>2. Restorative Dentistry</t>
  </si>
  <si>
    <t>/restorative-dentistry-tampa/ (New hub)</t>
  </si>
  <si>
    <t>/dentist-filling-tampa/; /dental-cap-crown-tampa/; /dental-bridges-tampa/; /dentures/; /dental-implant-tampa/; /root-canal-tampa/; /tooth-extraction-tampa/; blogs: fillings guide, crown cost guide, bridge guide, denture cost &amp; types, denture care</t>
  </si>
  <si>
    <t>Build topical authority for the highest-revenue treatments.</t>
  </si>
  <si>
    <t>Hub -&gt; service pages; service &lt;-&gt; education blog (blog links to service with transactional anchor); sibling cross-links (crown&lt;-&gt;bridge&lt;-&gt;denture&lt;-&gt;implant).</t>
  </si>
  <si>
    <t>3. Clear Braces / Invisalign</t>
  </si>
  <si>
    <t>/invisalign-cost-tampa/; /blog/invisalign-vs-braces/; /blog/invisalign-faqs/</t>
  </si>
  <si>
    <t>Compete for Invisalign long-tail and cost research.</t>
  </si>
  <si>
    <t>Parent -&gt; cost page and blogs; blogs -&gt; parent and cost page; cost page -&gt; /appointment-form/ (free smile analysis).</t>
  </si>
  <si>
    <t>4. Preventive &amp; Family Care</t>
  </si>
  <si>
    <t>/preventive-dentistry-tampa/ (New hub)</t>
  </si>
  <si>
    <t>/teeth-cleaning-tampa/; /dental-tooth-sealant-tampa/; /blog/what-are-dental-sealants/; /first-visit/</t>
  </si>
  <si>
    <t>Capture recurring-visit and family searches; support new-patient funnel.</t>
  </si>
  <si>
    <t>Hub -&gt; children; cleaning &lt;-&gt; new-patient offer; sealant blog -&gt; sealant service page.</t>
  </si>
  <si>
    <t>5. Patient Education Blog</t>
  </si>
  <si>
    <t>/blog/ (rename of /1058-2/)</t>
  </si>
  <si>
    <t>All /blog/ posts including /blog/dental-anxiety-tips/</t>
  </si>
  <si>
    <t>Feed TOFU traffic and topical coverage; capture People-Also-Ask queries.</t>
  </si>
  <si>
    <t>Blog hub -&gt; posts; every post -&gt; parent service page + CTA; service pages -&gt; 2-3 relevant posts.</t>
  </si>
  <si>
    <t>Source Page</t>
  </si>
  <si>
    <t>Target Page</t>
  </si>
  <si>
    <t>Anchor Concept</t>
  </si>
  <si>
    <t>dental sealants in Tampa</t>
  </si>
  <si>
    <t>Pass homepage authority to money page</t>
  </si>
  <si>
    <t>Invisalign / clear braces in Tampa</t>
  </si>
  <si>
    <t>fillings and restorations in Tampa</t>
  </si>
  <si>
    <t>dentures in Tampa</t>
  </si>
  <si>
    <t>dental bridges in Tampa</t>
  </si>
  <si>
    <t>dental crowns in Tampa</t>
  </si>
  <si>
    <t>emergency dentist in Tampa</t>
  </si>
  <si>
    <t>Surface high-intent page</t>
  </si>
  <si>
    <t>free teeth cleaning for new patients</t>
  </si>
  <si>
    <t>Promote offer</t>
  </si>
  <si>
    <t>insurance and payment options</t>
  </si>
  <si>
    <t>Reduce booking friction</t>
  </si>
  <si>
    <t>dentist in North Tampa</t>
  </si>
  <si>
    <t>Local relevance</t>
  </si>
  <si>
    <t>/appointment-form/</t>
  </si>
  <si>
    <t>book a consultation</t>
  </si>
  <si>
    <t>Conversion path from every service page</t>
  </si>
  <si>
    <t>dental fillings</t>
  </si>
  <si>
    <t>Hub to child</t>
  </si>
  <si>
    <t>dental crowns</t>
  </si>
  <si>
    <t>dental bridges</t>
  </si>
  <si>
    <t>dentures</t>
  </si>
  <si>
    <t>dental implants</t>
  </si>
  <si>
    <t>when a crown is needed instead of a filling</t>
  </si>
  <si>
    <t>Cross-sell + cluster relevance</t>
  </si>
  <si>
    <t>bridges anchored by crowns</t>
  </si>
  <si>
    <t>Sibling cross-link</t>
  </si>
  <si>
    <t>other tooth replacement options</t>
  </si>
  <si>
    <t>dental implants vs bridges</t>
  </si>
  <si>
    <t>implant-supported dentures</t>
  </si>
  <si>
    <t>Upsell path</t>
  </si>
  <si>
    <t>routine cleanings and checkups</t>
  </si>
  <si>
    <t>Preventive cross-link</t>
  </si>
  <si>
    <t>free cleaning offer</t>
  </si>
  <si>
    <t>Offer promotion</t>
  </si>
  <si>
    <t>what to expect at your first visit</t>
  </si>
  <si>
    <t>Reduce hesitation</t>
  </si>
  <si>
    <t>insurance and payment</t>
  </si>
  <si>
    <t>Remove friction</t>
  </si>
  <si>
    <t>Invisalign cost and payment plans</t>
  </si>
  <si>
    <t>Capture cost-research intent</t>
  </si>
  <si>
    <t>Invisalign treatment in Tampa</t>
  </si>
  <si>
    <t>Return to service page</t>
  </si>
  <si>
    <t>Invisalign vs braces</t>
  </si>
  <si>
    <t>Support with comparison content</t>
  </si>
  <si>
    <t>Invisalign FAQs</t>
  </si>
  <si>
    <t>Support with FAQ content</t>
  </si>
  <si>
    <t>Invisalign in Tampa</t>
  </si>
  <si>
    <t>Blog to money page</t>
  </si>
  <si>
    <t>Invisalign cost</t>
  </si>
  <si>
    <t>Blog to cost page</t>
  </si>
  <si>
    <t>fillings in Tampa</t>
  </si>
  <si>
    <t>new denture appointments</t>
  </si>
  <si>
    <t>comfortable dental care</t>
  </si>
  <si>
    <t>Blog to service page</t>
  </si>
  <si>
    <t>your first visit</t>
  </si>
  <si>
    <t>Reduce anxiety before booking</t>
  </si>
  <si>
    <t>call or book now</t>
  </si>
  <si>
    <t>Urgent conversion</t>
  </si>
  <si>
    <t>crown for a broken tooth</t>
  </si>
  <si>
    <t>Treatment path</t>
  </si>
  <si>
    <t>lost filling repair</t>
  </si>
  <si>
    <t>Return to homepage</t>
  </si>
  <si>
    <t>Carrollwood patients</t>
  </si>
  <si>
    <t>Local sibling link</t>
  </si>
  <si>
    <t>Invisalign near Carrollwood</t>
  </si>
  <si>
    <t>Local to service</t>
  </si>
  <si>
    <t>crowns near Northdale</t>
  </si>
  <si>
    <t>dentures for Lutz patients</t>
  </si>
  <si>
    <t>cleanings near Citrus Park</t>
  </si>
  <si>
    <t>payment options</t>
  </si>
  <si>
    <t>Pricing to payment</t>
  </si>
  <si>
    <t>Pricing to offer</t>
  </si>
  <si>
    <t>self-pay pricing</t>
  </si>
  <si>
    <t>Friction removal</t>
  </si>
  <si>
    <t>restorative dentistry</t>
  </si>
  <si>
    <t>Blog hub to silo parent</t>
  </si>
  <si>
    <t>Invisalign</t>
  </si>
  <si>
    <t>Timeline</t>
  </si>
  <si>
    <t>Content Type</t>
  </si>
  <si>
    <t>Title</t>
  </si>
  <si>
    <t>Target Keyword</t>
  </si>
  <si>
    <t>Business Goal</t>
  </si>
  <si>
    <t>Month 1 - Wk 1-2</t>
  </si>
  <si>
    <t>On-page optimization</t>
  </si>
  <si>
    <t>Rewrite homepage title, meta description and H1 around 'Dentist in Tampa, FL'</t>
  </si>
  <si>
    <t>Improve ranking + local leads</t>
  </si>
  <si>
    <t>Technical SEO</t>
  </si>
  <si>
    <t>Resolve URL variants (nav vs body links) for dentures, bridges and crowns; canonicals and 301s</t>
  </si>
  <si>
    <t>n/a (technical)</t>
  </si>
  <si>
    <t>n/a</t>
  </si>
  <si>
    <t>/dentures/; /dental-bridges-tampa/; /dental-cap-crown-tampa/</t>
  </si>
  <si>
    <t>Remove cannibalization risk</t>
  </si>
  <si>
    <t>Month 1 - Wk 1-3</t>
  </si>
  <si>
    <t>Service page optimization</t>
  </si>
  <si>
    <t>Optimize Invisalign / Clear Braces page: H1, FAQs, free smile analysis CTA, schema</t>
  </si>
  <si>
    <t>Improve service page rankings</t>
  </si>
  <si>
    <t>Optimize Dental Crowns page (porcelain, same-day if offered, FAQs)</t>
  </si>
  <si>
    <t>Month 1 - Wk 2-3</t>
  </si>
  <si>
    <t>Optimize Dentures page (full, partial, same-day if offered)</t>
  </si>
  <si>
    <t>Optimize Dental Bridges page (types, process, bridge vs implant)</t>
  </si>
  <si>
    <t>Month 1 - Wk 3-4</t>
  </si>
  <si>
    <t>Optimize Fillings &amp; Restorations page (tooth-colored fillings, cavity, restoration)</t>
  </si>
  <si>
    <t>Optimize Dental Sealants page (kids and adults, cost block)</t>
  </si>
  <si>
    <t>Quick win - low competition</t>
  </si>
  <si>
    <t>Landing page</t>
  </si>
  <si>
    <t>Create New Patient Special: Free Teeth Cleaning with $140 exam and x-ray</t>
  </si>
  <si>
    <t>Generate more local leads</t>
  </si>
  <si>
    <t>Month 1 - Wk 4</t>
  </si>
  <si>
    <t>Page optimization</t>
  </si>
  <si>
    <t>Upgrade Insurance Information page (accepted plans, payment options, FAQs)</t>
  </si>
  <si>
    <t>Reduce friction, local leads</t>
  </si>
  <si>
    <t>Month 2 - Wk 5-6</t>
  </si>
  <si>
    <t>Location page</t>
  </si>
  <si>
    <t>North Tampa Dentist - ZIP 33618 (map, directions, Moran Rd, drive times, local reviews)</t>
  </si>
  <si>
    <t>Local pack + local leads</t>
  </si>
  <si>
    <t>Service page</t>
  </si>
  <si>
    <t>Teeth Cleaning &amp; Dental Checkups in Tampa</t>
  </si>
  <si>
    <t>New patient acquisition</t>
  </si>
  <si>
    <t>Month 2 - Wk 6-7</t>
  </si>
  <si>
    <t>Cost guide page</t>
  </si>
  <si>
    <t>Invisalign Cost in Tampa, FL (ranges, financing, insurance)</t>
  </si>
  <si>
    <t>Capture cost-research leads</t>
  </si>
  <si>
    <t>Month 2 - Wk 7</t>
  </si>
  <si>
    <t>Emergency Dentist in Tampa (publish only after confirming same-day capacity)</t>
  </si>
  <si>
    <t>High-intent calls</t>
  </si>
  <si>
    <t>Month 2 - Wk 7-8</t>
  </si>
  <si>
    <t>Carrollwood Dentist - local content, landmarks, services</t>
  </si>
  <si>
    <t>Local leads</t>
  </si>
  <si>
    <t>Northdale Dentist - local content, landmarks, services</t>
  </si>
  <si>
    <t>Month 2 - Wk 8</t>
  </si>
  <si>
    <t>Optimize Dental Implants page (separate from Dentures; confirm content)</t>
  </si>
  <si>
    <t>High-CPC adjacent service</t>
  </si>
  <si>
    <t>Month 3 - Wk 9-10</t>
  </si>
  <si>
    <t>Lutz Dentist - local content, drive-time details</t>
  </si>
  <si>
    <t>Citrus Park Dentist - local content, services</t>
  </si>
  <si>
    <t>Month 3 - Wk 10-11</t>
  </si>
  <si>
    <t>Dental Costs in Tampa: exam, x-ray, cleaning, treatment ranges</t>
  </si>
  <si>
    <t>Pricing transparency</t>
  </si>
  <si>
    <t>Month 3 - Wk 11</t>
  </si>
  <si>
    <t>Gentle &amp; Comfortable Dental Care (comfort amenities, first-visit anxiety)</t>
  </si>
  <si>
    <t>Differentiation</t>
  </si>
  <si>
    <t>Month 3 - Wk 11-12</t>
  </si>
  <si>
    <t>Hub page</t>
  </si>
  <si>
    <t>Restorative Dentistry in Tampa (hub linking all restorative services)</t>
  </si>
  <si>
    <t>Build topical authority</t>
  </si>
  <si>
    <t>Month 3 - Wk 12</t>
  </si>
  <si>
    <t>Preventive Dentistry in Tampa (hub: cleanings, sealants, exams)</t>
  </si>
  <si>
    <t>Optimize First Visit page and rename /1058-2/ to /blog/ hub</t>
  </si>
  <si>
    <t>Support funnel + blog hub</t>
  </si>
  <si>
    <t>Month 4 - Wk 13-14</t>
  </si>
  <si>
    <t>Blog post</t>
  </si>
  <si>
    <t>Dental Crown Cost, Types and Procedure: Complete Tampa Guide</t>
  </si>
  <si>
    <t>Month 4 - Wk 14-15</t>
  </si>
  <si>
    <t>Invisalign vs Braces: Which Is Right for You?</t>
  </si>
  <si>
    <t>Month 4 - Wk 15-16</t>
  </si>
  <si>
    <t>Dental Bridge Guide: Cost, Lifespan, Bridge vs Implant</t>
  </si>
  <si>
    <t>Month 5 - Wk 17-18</t>
  </si>
  <si>
    <t>How Much Do Dentures Cost? Full vs Partial vs Implant-Supported</t>
  </si>
  <si>
    <t>Month 5 - Wk 18-19</t>
  </si>
  <si>
    <t>Invisalign FAQs: Treatment Time, Pain, Attachments, Retainers</t>
  </si>
  <si>
    <t>Month 5 - Wk 19-20</t>
  </si>
  <si>
    <t>Dental Fillings Guide: Composite vs Amalgam, Sensitivity, Lifespan</t>
  </si>
  <si>
    <t>Month 6 - Wk 21-22</t>
  </si>
  <si>
    <t>What Are Dental Sealants? Kids, Adults and How Long They Last</t>
  </si>
  <si>
    <t>Month 6 - Wk 22-23</t>
  </si>
  <si>
    <t>Denture Care and Adjustment: Sore Gums, Cleaning, First Weeks</t>
  </si>
  <si>
    <t>Month 6 - Wk 23-24</t>
  </si>
  <si>
    <t>Dental Anxiety: Simple Ways to Feel Calmer at the Dentist</t>
  </si>
  <si>
    <t>Month 6 - Wk 24</t>
  </si>
  <si>
    <t>Root Canal Treatment in Tampa / Tooth Extraction in Tampa (phase-2 services)</t>
  </si>
  <si>
    <t>Expand service coverage</t>
  </si>
  <si>
    <t>Reason</t>
  </si>
  <si>
    <t>Own live offer, no dedicated page</t>
  </si>
  <si>
    <t>Offer already on the homepage; KD only 20 and high-intent for new patients.</t>
  </si>
  <si>
    <t>Create /new-patient-special-tampa/ with offer schema; promote through GBP posts.</t>
  </si>
  <si>
    <t>Exact-ZIP match</t>
  </si>
  <si>
    <t>Practice sits in 33618; KD 22 and a ZIP the closest rival also shares.</t>
  </si>
  <si>
    <t>Create /north-tampa-dentist/ with NAP, map, directions and ZIP in title/H1.</t>
  </si>
  <si>
    <t>Matches existing nav label</t>
  </si>
  <si>
    <t>Page already named 'Clear Braces - Invisalign'; moderate KD 40 and CPC above $12.</t>
  </si>
  <si>
    <t>Rewrite title/H1/meta around 'clear braces' + Invisalign; add FAQ + free smile analysis CTA.</t>
  </si>
  <si>
    <t>Offer already marketed</t>
  </si>
  <si>
    <t>Homepage promotes a free smile analysis; KD 30 with high commercial value.</t>
  </si>
  <si>
    <t>Add consultation block and FAQ to the Invisalign page; track form conversions.</t>
  </si>
  <si>
    <t>Low competition service</t>
  </si>
  <si>
    <t>Audited competitors give sealants little visibility; KD 28.</t>
  </si>
  <si>
    <t>Optimize sealant page, add kids/adult sections, internal links from cleaning page.</t>
  </si>
  <si>
    <t>Existing page, low KD</t>
  </si>
  <si>
    <t>Existing page; KD 34 with straightforward intent.</t>
  </si>
  <si>
    <t>Expand copy: tooth-colored fillings, process, FAQs; fix title and meta.</t>
  </si>
  <si>
    <t>Long-tail variation</t>
  </si>
  <si>
    <t>KD 24; same page can capture it with a dedicated section.</t>
  </si>
  <si>
    <t>Add H2 section and FAQ 'Are tooth-colored fillings available?'.</t>
  </si>
  <si>
    <t>Comfort angle already on homepage</t>
  </si>
  <si>
    <t>Homepage already has 'Painless dental treatment' heading; KD 36.</t>
  </si>
  <si>
    <t>Create comfort page and avoid sedation claims unless offered.</t>
  </si>
  <si>
    <t>Neighborhood low KD</t>
  </si>
  <si>
    <t>KD 30; weakly contested neighborhood term.</t>
  </si>
  <si>
    <t>Create unique Northdale page with landmarks, drive times and services.</t>
  </si>
  <si>
    <t>KD 34; few practices target the term explicitly.</t>
  </si>
  <si>
    <t>Create unique Citrus Park page; link from Carrollwood and North Tampa pages.</t>
  </si>
  <si>
    <t>Neighborhood term</t>
  </si>
  <si>
    <t>480 est. searches/month at KD 40 near the practice.</t>
  </si>
  <si>
    <t>Create Carrollwood page with local proof (reviews, photos, directions).</t>
  </si>
  <si>
    <t>Brand protection</t>
  </si>
  <si>
    <t>KD 4; make sure the brand SERP is owned (GBP, sitelinks, Dunedin cross-link).</t>
  </si>
  <si>
    <t>Add Organization + LocalBusiness schema; tidy title tag; strengthen GBP.</t>
  </si>
  <si>
    <t>Offer-aligned long-tail</t>
  </si>
  <si>
    <t>KD 14 and matches '$140 exam and x-ray' offer messaging.</t>
  </si>
  <si>
    <t>Cover on the new-patient offer page with a short FAQ.</t>
  </si>
  <si>
    <t>Friction-removal term</t>
  </si>
  <si>
    <t>KD 26; supports insurance page conversion.</t>
  </si>
  <si>
    <t>Add payment options section and FAQ to the Insurance Information page.</t>
  </si>
  <si>
    <t>High CPC, moderate KD</t>
  </si>
  <si>
    <t>KD 34 and CPC near $10 - only if the service is offered.</t>
  </si>
  <si>
    <t>Confirm service, then add section to the Dentures page.</t>
  </si>
  <si>
    <t>Search Demand</t>
  </si>
  <si>
    <t>Ranking Opportunity</t>
  </si>
  <si>
    <t>Intent Strength</t>
  </si>
  <si>
    <t>Conversion Potential</t>
  </si>
  <si>
    <t>Topical Importance</t>
  </si>
  <si>
    <t>Weighted Score (1-5)</t>
  </si>
  <si>
    <t>Priority Score (0-100)</t>
  </si>
  <si>
    <t>Factor</t>
  </si>
  <si>
    <t>Weight</t>
  </si>
  <si>
    <t>How it is scored</t>
  </si>
  <si>
    <t>Input 1-5: revenue value of the service / cluster</t>
  </si>
  <si>
    <t>Formula from est. volume: &gt;=1000=5, &gt;=500=4, &gt;=200=3, &gt;=80=2, else 1</t>
  </si>
  <si>
    <t>Formula from est. KD: &lt;=20=5, &lt;=35=4, &lt;=50=3, &lt;=65=2, else 1</t>
  </si>
  <si>
    <t>Formula: Transactional 5, Commercial 4, Navigational 3, Informational 2</t>
  </si>
  <si>
    <t>Input 1-5: BOFU=5, MOFU=3, TOFU=1, own-brand navigational=4</t>
  </si>
  <si>
    <t>Input 1-5: importance to topical authority for the silo</t>
  </si>
  <si>
    <t>Total weight</t>
  </si>
  <si>
    <t>Min score</t>
  </si>
  <si>
    <t>Optional</t>
  </si>
  <si>
    <t>Notes &amp; Methodology</t>
  </si>
  <si>
    <t>How to read this workbook and what to verify before use</t>
  </si>
  <si>
    <t>Portfolio SEO keyword research case study demonstrating methodology, structure and strategy for a Tampa general dentistry practice.</t>
  </si>
  <si>
    <t>Metric disclosure</t>
  </si>
  <si>
    <t>Search volume, keyword difficulty and CPC are estimates (labelled 'SEO Market Estimate', 'SERP Competition Analysis', 'Commercial Intent Analysis'). They were not exported from Semrush, Ahrefs or Google Keyword Planner.</t>
  </si>
  <si>
    <t>Volume scope</t>
  </si>
  <si>
    <t>Tampa-modified keywords carry local-market estimates. Non-local informational and cost keywords are US-wide estimates; assume roughly 1-2% of that demand is realistic for a single Tampa office.</t>
  </si>
  <si>
    <t>Seed keywords</t>
  </si>
  <si>
    <t>None provided by the client. Seed topics were the six listed services plus the Tampa / 33618 location; the universe was expanded across core, commercial, transactional, informational, problem, solution, location, comparison, semantic and brand keyword types.</t>
  </si>
  <si>
    <t>Intent &amp; funnel</t>
  </si>
  <si>
    <t>One intent per keyword (Informational, Navigational, Commercial, Transactional). Funnel: Informational = TOFU, Commercial = MOFU, Transactional and Navigational = BOFU.</t>
  </si>
  <si>
    <t>Priority formula</t>
  </si>
  <si>
    <t>Priority Score = (Business Value x 25% + Search Demand x 15% + Ranking Opportunity x 20% + Intent Strength x 15% + Conversion Potential x 15% + Topical Importance x 10%) x 20. Levels: 90+ Critical, 75-89 High, 60-74 Medium, 40-59 Low, below 40 Optional. Weights and thresholds are editable on 'Priority Scoring'.</t>
  </si>
  <si>
    <t>Website analysis</t>
  </si>
  <si>
    <t>Based on the live homepage and navigation of the client and five competitor sites reviewed in October 2026. Inner-page content, rankings, backlinks and technical crawl data were not available; competitor 'ranking topics' are inferred from site structure.</t>
  </si>
  <si>
    <t>Items to verify with client</t>
  </si>
  <si>
    <t>(1) Same-day emergency capacity; (2) same-day crowns / dentures offered; (3) accepted insurance carriers; (4) pediatric patient policy; (5) which duplicate URLs are live; (6) whether pricing / free-analysis tiles already link to real pages; (7) target service area and neighborhoods; (8) root canal and extraction services in scope.</t>
  </si>
  <si>
    <t>Doorway-page caution</t>
  </si>
  <si>
    <t>Neighborhood pages must contain unique, useful local content (directions, landmarks, patient context, reviews). Do not duplicate the same copy with the town name swapped.</t>
  </si>
  <si>
    <t>Colour legend</t>
  </si>
  <si>
    <t>Blue font = editable estimated input. Black = formula. Funnel: TOFU blue, MOFU yellow, BOFU green. Priority: Critical red, High orange, Medium yellow, Low blue-grey, Optional grey.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</si>
</sst>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\$#,##0.00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FFFFFF"/>
      <name val="Arial"/>
    </font>
    <font/>
    <font>
      <b/>
      <sz val="12.0"/>
      <color rgb="FFC9D3E0"/>
      <name val="Arial"/>
    </font>
    <font>
      <b/>
      <sz val="10.0"/>
      <color rgb="FFEEECE1"/>
      <name val="Arial"/>
    </font>
    <font>
      <b/>
      <sz val="10.0"/>
      <color theme="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4.0"/>
      <color rgb="FF0B2545"/>
      <name val="Arial"/>
    </font>
    <font>
      <b/>
      <sz val="10.0"/>
      <color rgb="FFFFFFFF"/>
      <name val="Arial"/>
    </font>
    <font>
      <b/>
      <sz val="14.0"/>
      <color rgb="FF0B2A4A"/>
      <name val="Arial"/>
    </font>
    <font>
      <sz val="9.0"/>
      <color rgb="FF9DB7D5"/>
      <name val="Arial"/>
    </font>
    <font>
      <sz val="10.0"/>
      <color rgb="FF0000FF"/>
      <name val="Arial"/>
    </font>
    <font>
      <b/>
      <sz val="10.0"/>
      <color rgb="FF000000"/>
      <name val="Arial"/>
    </font>
    <font>
      <sz val="9.0"/>
      <color rgb="FF000000"/>
      <name val="Arial"/>
    </font>
    <font>
      <u/>
      <sz val="11.0"/>
      <color theme="1"/>
      <name val="Calibri"/>
    </font>
    <font>
      <b/>
      <sz val="16.0"/>
      <color rgb="FFFFFFFF"/>
      <name val="Arial"/>
    </font>
    <font>
      <i/>
      <sz val="9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F243E"/>
        <bgColor rgb="FF0F243E"/>
      </patternFill>
    </fill>
    <fill>
      <patternFill patternType="solid">
        <fgColor rgb="FF0B2545"/>
        <bgColor rgb="FF0B2545"/>
      </patternFill>
    </fill>
    <fill>
      <patternFill patternType="solid">
        <fgColor rgb="FF17365D"/>
        <bgColor rgb="FF17365D"/>
      </patternFill>
    </fill>
    <fill>
      <patternFill patternType="solid">
        <fgColor theme="0"/>
        <bgColor theme="0"/>
      </patternFill>
    </fill>
    <fill>
      <patternFill patternType="solid">
        <fgColor rgb="FF0B2A4A"/>
        <bgColor rgb="FF0B2A4A"/>
      </patternFill>
    </fill>
    <fill>
      <patternFill patternType="solid">
        <fgColor rgb="FFF5F8FC"/>
        <bgColor rgb="FFF5F8FC"/>
      </patternFill>
    </fill>
    <fill>
      <patternFill patternType="solid">
        <fgColor rgb="FF1F4E79"/>
        <bgColor rgb="FF1F4E79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thin">
        <color rgb="FFD0D7E2"/>
      </bottom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vertical="center"/>
    </xf>
    <xf borderId="2" fillId="2" fontId="5" numFmtId="0" xfId="0" applyAlignment="1" applyBorder="1" applyFill="1" applyFont="1">
      <alignment horizontal="center" vertical="center"/>
    </xf>
    <xf borderId="0" fillId="0" fontId="1" numFmtId="0" xfId="0" applyFont="1"/>
    <xf borderId="5" fillId="4" fontId="6" numFmtId="0" xfId="0" applyAlignment="1" applyBorder="1" applyFill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5" fillId="5" fontId="7" numFmtId="0" xfId="0" applyAlignment="1" applyBorder="1" applyFill="1" applyFont="1">
      <alignment shrinkToFit="0" vertical="center" wrapText="1"/>
    </xf>
    <xf borderId="6" fillId="0" fontId="8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horizontal="center" vertical="center"/>
    </xf>
    <xf borderId="9" fillId="0" fontId="3" numFmtId="0" xfId="0" applyBorder="1" applyFont="1"/>
    <xf borderId="5" fillId="6" fontId="10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7" fontId="8" numFmtId="0" xfId="0" applyAlignment="1" applyBorder="1" applyFill="1" applyFont="1">
      <alignment horizontal="left" shrinkToFit="0" vertical="center" wrapText="1"/>
    </xf>
    <xf borderId="5" fillId="7" fontId="8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5" fillId="6" fontId="10" numFmtId="0" xfId="0" applyAlignment="1" applyBorder="1" applyFill="1" applyFont="1">
      <alignment horizontal="center" vertical="center"/>
    </xf>
    <xf borderId="5" fillId="0" fontId="8" numFmtId="0" xfId="0" applyAlignment="1" applyBorder="1" applyFont="1">
      <alignment vertical="center"/>
    </xf>
    <xf borderId="5" fillId="0" fontId="8" numFmtId="3" xfId="0" applyAlignment="1" applyBorder="1" applyFont="1" applyNumberFormat="1">
      <alignment horizontal="center" vertical="center"/>
    </xf>
    <xf borderId="5" fillId="0" fontId="8" numFmtId="164" xfId="0" applyAlignment="1" applyBorder="1" applyFont="1" applyNumberFormat="1">
      <alignment horizontal="center" vertical="center"/>
    </xf>
    <xf borderId="5" fillId="0" fontId="1" numFmtId="0" xfId="0" applyBorder="1" applyFont="1"/>
    <xf borderId="10" fillId="0" fontId="11" numFmtId="0" xfId="0" applyAlignment="1" applyBorder="1" applyFont="1">
      <alignment horizontal="center" vertical="center"/>
    </xf>
    <xf borderId="10" fillId="0" fontId="3" numFmtId="0" xfId="0" applyBorder="1" applyFont="1"/>
    <xf borderId="11" fillId="6" fontId="10" numFmtId="0" xfId="0" applyAlignment="1" applyBorder="1" applyFill="1" applyFont="1">
      <alignment horizontal="center" vertical="center"/>
    </xf>
    <xf borderId="11" fillId="0" fontId="8" numFmtId="0" xfId="0" applyAlignment="1" applyBorder="1" applyFont="1">
      <alignment vertical="center"/>
    </xf>
    <xf borderId="11" fillId="0" fontId="8" numFmtId="3" xfId="0" applyAlignment="1" applyBorder="1" applyFont="1" applyNumberFormat="1">
      <alignment horizontal="center" vertical="center"/>
    </xf>
    <xf borderId="11" fillId="0" fontId="8" numFmtId="1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6" fontId="12" numFmtId="0" xfId="0" applyAlignment="1" applyBorder="1" applyFill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0" fillId="0" fontId="1" numFmtId="0" xfId="0" applyAlignment="1" applyFont="1">
      <alignment horizontal="center"/>
    </xf>
    <xf borderId="5" fillId="0" fontId="13" numFmtId="3" xfId="0" applyAlignment="1" applyBorder="1" applyFont="1" applyNumberFormat="1">
      <alignment horizontal="left" shrinkToFit="0" vertical="center" wrapText="1"/>
    </xf>
    <xf borderId="5" fillId="0" fontId="13" numFmtId="1" xfId="0" applyAlignment="1" applyBorder="1" applyFont="1" applyNumberFormat="1">
      <alignment horizontal="left" shrinkToFit="0" vertical="center" wrapText="1"/>
    </xf>
    <xf borderId="5" fillId="0" fontId="13" numFmtId="165" xfId="0" applyAlignment="1" applyBorder="1" applyFont="1" applyNumberFormat="1">
      <alignment horizontal="left" shrinkToFit="0" vertical="center" wrapText="1"/>
    </xf>
    <xf borderId="5" fillId="0" fontId="8" numFmtId="1" xfId="0" applyAlignment="1" applyBorder="1" applyFont="1" applyNumberFormat="1">
      <alignment horizontal="left" shrinkToFit="0" vertical="center" wrapText="1"/>
    </xf>
    <xf borderId="5" fillId="7" fontId="13" numFmtId="3" xfId="0" applyAlignment="1" applyBorder="1" applyFill="1" applyFont="1" applyNumberFormat="1">
      <alignment horizontal="left" shrinkToFit="0" vertical="center" wrapText="1"/>
    </xf>
    <xf borderId="5" fillId="7" fontId="13" numFmtId="1" xfId="0" applyAlignment="1" applyBorder="1" applyFill="1" applyFont="1" applyNumberFormat="1">
      <alignment horizontal="left" shrinkToFit="0" vertical="center" wrapText="1"/>
    </xf>
    <xf borderId="5" fillId="7" fontId="13" numFmtId="165" xfId="0" applyAlignment="1" applyBorder="1" applyFill="1" applyFont="1" applyNumberFormat="1">
      <alignment horizontal="left" shrinkToFit="0" vertical="center" wrapText="1"/>
    </xf>
    <xf borderId="5" fillId="7" fontId="8" numFmtId="1" xfId="0" applyAlignment="1" applyBorder="1" applyFill="1" applyFont="1" applyNumberFormat="1">
      <alignment horizontal="left" shrinkToFit="0" vertical="center" wrapText="1"/>
    </xf>
    <xf borderId="5" fillId="0" fontId="14" numFmtId="0" xfId="0" applyAlignment="1" applyBorder="1" applyFont="1">
      <alignment horizontal="left" shrinkToFit="0" vertical="center" wrapText="1"/>
    </xf>
    <xf borderId="5" fillId="7" fontId="14" numFmtId="0" xfId="0" applyAlignment="1" applyBorder="1" applyFill="1" applyFont="1">
      <alignment horizontal="left" shrinkToFit="0" vertical="center" wrapText="1"/>
    </xf>
    <xf borderId="5" fillId="0" fontId="1" numFmtId="0" xfId="0" applyAlignment="1" applyBorder="1" applyFont="1">
      <alignment horizontal="left" vertical="center"/>
    </xf>
    <xf borderId="5" fillId="0" fontId="13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2" xfId="0" applyAlignment="1" applyBorder="1" applyFont="1" applyNumberFormat="1">
      <alignment horizontal="center" vertical="center"/>
    </xf>
    <xf borderId="5" fillId="0" fontId="1" numFmtId="1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vertical="center"/>
    </xf>
    <xf borderId="5" fillId="0" fontId="13" numFmtId="9" xfId="0" applyAlignment="1" applyBorder="1" applyFont="1" applyNumberFormat="1">
      <alignment horizontal="center" vertical="center"/>
    </xf>
    <xf borderId="5" fillId="0" fontId="15" numFmtId="0" xfId="0" applyAlignment="1" applyBorder="1" applyFont="1">
      <alignment shrinkToFit="0" vertical="center" wrapText="1"/>
    </xf>
    <xf borderId="0" fillId="0" fontId="14" numFmtId="0" xfId="0" applyFont="1"/>
    <xf borderId="0" fillId="0" fontId="14" numFmtId="9" xfId="0" applyAlignment="1" applyFont="1" applyNumberFormat="1">
      <alignment horizontal="center"/>
    </xf>
    <xf borderId="5" fillId="6" fontId="10" numFmtId="0" xfId="0" applyAlignment="1" applyBorder="1" applyFill="1" applyFont="1">
      <alignment horizontal="center"/>
    </xf>
    <xf borderId="5" fillId="0" fontId="14" numFmtId="0" xfId="0" applyBorder="1" applyFont="1"/>
    <xf borderId="5" fillId="0" fontId="13" numFmtId="0" xfId="0" applyAlignment="1" applyBorder="1" applyFont="1">
      <alignment horizontal="center"/>
    </xf>
    <xf borderId="5" fillId="0" fontId="16" numFmtId="0" xfId="0" applyAlignment="1" applyBorder="1" applyFont="1">
      <alignment horizontal="left" vertical="center"/>
    </xf>
    <xf borderId="2" fillId="6" fontId="17" numFmtId="0" xfId="0" applyAlignment="1" applyBorder="1" applyFill="1" applyFont="1">
      <alignment horizontal="center" vertical="center"/>
    </xf>
    <xf borderId="2" fillId="8" fontId="18" numFmtId="0" xfId="0" applyAlignment="1" applyBorder="1" applyFill="1" applyFont="1">
      <alignment horizontal="center" vertical="center"/>
    </xf>
    <xf borderId="5" fillId="8" fontId="10" numFmtId="0" xfId="0" applyAlignment="1" applyBorder="1" applyFill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15">
    <dxf>
      <font>
        <b/>
        <name val="Arial"/>
      </font>
      <fill>
        <patternFill patternType="solid">
          <fgColor rgb="FFDDEBF7"/>
          <bgColor rgb="FFDDEBF7"/>
        </patternFill>
      </fill>
      <border/>
    </dxf>
    <dxf>
      <font>
        <b/>
        <name val="Arial"/>
      </font>
      <fill>
        <patternFill patternType="solid">
          <fgColor rgb="FFFFF2CC"/>
          <bgColor rgb="FFFFF2CC"/>
        </patternFill>
      </fill>
      <border/>
    </dxf>
    <dxf>
      <font>
        <b/>
        <name val="Arial"/>
      </font>
      <fill>
        <patternFill patternType="solid">
          <fgColor rgb="FFE2EFDA"/>
          <bgColor rgb="FFE2EFDA"/>
        </patternFill>
      </fill>
      <border/>
    </dxf>
    <dxf>
      <font>
        <b/>
        <color rgb="FFFFFFFF"/>
        <name val="Arial"/>
      </font>
      <fill>
        <patternFill patternType="solid">
          <fgColor rgb="FFC00000"/>
          <bgColor rgb="FFC00000"/>
        </patternFill>
      </fill>
      <border/>
    </dxf>
    <dxf>
      <font>
        <b/>
        <color rgb="FF000000"/>
        <name val="Arial"/>
      </font>
      <fill>
        <patternFill patternType="solid">
          <fgColor rgb="FFF4B183"/>
          <bgColor rgb="FFF4B183"/>
        </patternFill>
      </fill>
      <border/>
    </dxf>
    <dxf>
      <font>
        <b/>
        <color rgb="FF000000"/>
        <name val="Arial"/>
      </font>
      <fill>
        <patternFill patternType="solid">
          <fgColor rgb="FFFFE699"/>
          <bgColor rgb="FFFFE699"/>
        </patternFill>
      </fill>
      <border/>
    </dxf>
    <dxf>
      <font>
        <b/>
        <color rgb="FF000000"/>
        <name val="Arial"/>
      </font>
      <fill>
        <patternFill patternType="solid">
          <fgColor rgb="FFDDEBF7"/>
          <bgColor rgb="FFDDEBF7"/>
        </patternFill>
      </fill>
      <border/>
    </dxf>
    <dxf>
      <font>
        <b/>
        <color rgb="FF595959"/>
        <name val="Arial"/>
      </font>
      <fill>
        <patternFill patternType="solid">
          <fgColor rgb="FFEDEDED"/>
          <bgColor rgb="FFEDEDED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EDE7F6"/>
          <bgColor rgb="FFEDE7F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4B084"/>
          <bgColor rgb="FFF4B084"/>
        </patternFill>
      </fill>
      <border/>
    </dxf>
    <dxf>
      <font>
        <b/>
        <name val="Arial"/>
      </font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2A4A"/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37.43"/>
    <col customWidth="1" min="3" max="3" width="48.43"/>
    <col customWidth="1" min="4" max="4" width="45.14"/>
    <col customWidth="1" min="5" max="5" width="46.71"/>
    <col customWidth="1" min="6" max="6" width="53.14"/>
    <col customWidth="1" min="7" max="7" width="16.14"/>
    <col customWidth="1" min="8" max="26" width="8.71"/>
  </cols>
  <sheetData>
    <row r="1">
      <c r="B1" s="1"/>
      <c r="C1" s="1"/>
      <c r="D1" s="1"/>
      <c r="E1" s="1"/>
      <c r="F1" s="1"/>
      <c r="G1" s="1"/>
    </row>
    <row r="2" ht="31.5" customHeight="1">
      <c r="B2" s="2" t="s">
        <v>0</v>
      </c>
      <c r="C2" s="3"/>
      <c r="D2" s="3"/>
      <c r="E2" s="3"/>
      <c r="F2" s="3"/>
      <c r="G2" s="4"/>
    </row>
    <row r="3">
      <c r="B3" s="5" t="s">
        <v>1</v>
      </c>
      <c r="C3" s="3"/>
      <c r="D3" s="3"/>
      <c r="E3" s="3"/>
      <c r="F3" s="3"/>
      <c r="G3" s="4"/>
    </row>
    <row r="4" ht="7.5" customHeight="1">
      <c r="B4" s="6"/>
      <c r="C4" s="6"/>
      <c r="D4" s="6"/>
      <c r="E4" s="6"/>
      <c r="F4" s="6"/>
      <c r="G4" s="6"/>
    </row>
    <row r="5">
      <c r="B5" s="7" t="s">
        <v>2</v>
      </c>
      <c r="C5" s="3"/>
      <c r="D5" s="3"/>
      <c r="E5" s="3"/>
      <c r="F5" s="3"/>
      <c r="G5" s="4"/>
    </row>
    <row r="6" ht="6.0" customHeight="1">
      <c r="B6" s="1"/>
      <c r="C6" s="1"/>
      <c r="D6" s="1"/>
      <c r="E6" s="1"/>
      <c r="F6" s="1"/>
      <c r="G6" s="1"/>
    </row>
    <row r="7">
      <c r="B7" s="8"/>
      <c r="C7" s="8"/>
      <c r="D7" s="8"/>
      <c r="E7" s="8"/>
      <c r="F7" s="8"/>
      <c r="G7" s="8"/>
    </row>
    <row r="8">
      <c r="B8" s="9" t="s">
        <v>3</v>
      </c>
      <c r="C8" s="10" t="s">
        <v>4</v>
      </c>
      <c r="D8" s="11"/>
      <c r="E8" s="11"/>
      <c r="F8" s="11"/>
      <c r="G8" s="12"/>
    </row>
    <row r="9">
      <c r="B9" s="13" t="s">
        <v>5</v>
      </c>
      <c r="C9" s="14" t="s">
        <v>6</v>
      </c>
      <c r="D9" s="11"/>
      <c r="E9" s="11"/>
      <c r="F9" s="11"/>
      <c r="G9" s="12"/>
    </row>
    <row r="10">
      <c r="B10" s="13" t="s">
        <v>7</v>
      </c>
      <c r="C10" s="14" t="s">
        <v>8</v>
      </c>
      <c r="D10" s="11"/>
      <c r="E10" s="11"/>
      <c r="F10" s="11"/>
      <c r="G10" s="12"/>
    </row>
    <row r="11">
      <c r="B11" s="13" t="s">
        <v>9</v>
      </c>
      <c r="C11" s="14" t="s">
        <v>10</v>
      </c>
      <c r="D11" s="11"/>
      <c r="E11" s="11"/>
      <c r="F11" s="11"/>
      <c r="G11" s="12"/>
    </row>
    <row r="12">
      <c r="B12" s="13" t="s">
        <v>11</v>
      </c>
      <c r="C12" s="14" t="s">
        <v>12</v>
      </c>
      <c r="D12" s="11"/>
      <c r="E12" s="11"/>
      <c r="F12" s="11"/>
      <c r="G12" s="12"/>
    </row>
    <row r="13">
      <c r="B13" s="13" t="s">
        <v>13</v>
      </c>
      <c r="C13" s="14" t="s">
        <v>14</v>
      </c>
      <c r="D13" s="11"/>
      <c r="E13" s="11"/>
      <c r="F13" s="11"/>
      <c r="G13" s="12"/>
    </row>
    <row r="14">
      <c r="B14" s="13" t="s">
        <v>15</v>
      </c>
      <c r="C14" s="14" t="s">
        <v>16</v>
      </c>
      <c r="D14" s="11"/>
      <c r="E14" s="11"/>
      <c r="F14" s="11"/>
      <c r="G14" s="12"/>
    </row>
    <row r="15">
      <c r="B15" s="13" t="s">
        <v>17</v>
      </c>
      <c r="C15" s="14" t="s">
        <v>18</v>
      </c>
      <c r="D15" s="11"/>
      <c r="E15" s="11"/>
      <c r="F15" s="11"/>
      <c r="G15" s="12"/>
    </row>
    <row r="16">
      <c r="B16" s="13" t="s">
        <v>19</v>
      </c>
      <c r="C16" s="14" t="s">
        <v>20</v>
      </c>
      <c r="D16" s="11"/>
      <c r="E16" s="11"/>
      <c r="F16" s="11"/>
      <c r="G16" s="12"/>
    </row>
    <row r="17">
      <c r="B17" s="13" t="s">
        <v>21</v>
      </c>
      <c r="C17" s="14" t="s">
        <v>22</v>
      </c>
      <c r="D17" s="11"/>
      <c r="E17" s="11"/>
      <c r="F17" s="11"/>
      <c r="G17" s="12"/>
    </row>
    <row r="18">
      <c r="B18" s="8"/>
      <c r="C18" s="8"/>
      <c r="D18" s="8"/>
      <c r="E18" s="8"/>
      <c r="F18" s="8"/>
      <c r="G18" s="8"/>
    </row>
    <row r="19">
      <c r="B19" s="8"/>
      <c r="C19" s="8"/>
      <c r="D19" s="8"/>
      <c r="E19" s="8"/>
      <c r="F19" s="8"/>
      <c r="G19" s="8"/>
    </row>
    <row r="20" ht="36.75" customHeight="1">
      <c r="B20" s="15" t="s">
        <v>23</v>
      </c>
      <c r="C20" s="16"/>
      <c r="D20" s="16"/>
      <c r="E20" s="16"/>
      <c r="F20" s="16"/>
      <c r="G20" s="16"/>
    </row>
    <row r="21" ht="15.75" customHeight="1">
      <c r="B21" s="17" t="s">
        <v>24</v>
      </c>
      <c r="C21" s="17" t="s">
        <v>25</v>
      </c>
      <c r="D21" s="17" t="s">
        <v>26</v>
      </c>
      <c r="E21" s="17" t="s">
        <v>27</v>
      </c>
      <c r="F21" s="17" t="s">
        <v>28</v>
      </c>
      <c r="G21" s="17" t="s">
        <v>29</v>
      </c>
    </row>
    <row r="22" ht="15.75" customHeight="1">
      <c r="B22" s="18" t="s">
        <v>30</v>
      </c>
      <c r="C22" s="18" t="s">
        <v>31</v>
      </c>
      <c r="D22" s="18" t="s">
        <v>32</v>
      </c>
      <c r="E22" s="18" t="s">
        <v>33</v>
      </c>
      <c r="F22" s="18" t="s">
        <v>34</v>
      </c>
      <c r="G22" s="19" t="s">
        <v>35</v>
      </c>
    </row>
    <row r="23" ht="15.75" customHeight="1">
      <c r="B23" s="20" t="s">
        <v>36</v>
      </c>
      <c r="C23" s="20" t="s">
        <v>37</v>
      </c>
      <c r="D23" s="20" t="s">
        <v>38</v>
      </c>
      <c r="E23" s="20" t="s">
        <v>39</v>
      </c>
      <c r="F23" s="20" t="s">
        <v>40</v>
      </c>
      <c r="G23" s="21" t="s">
        <v>41</v>
      </c>
    </row>
    <row r="24" ht="15.75" customHeight="1">
      <c r="B24" s="18" t="s">
        <v>42</v>
      </c>
      <c r="C24" s="18" t="s">
        <v>43</v>
      </c>
      <c r="D24" s="18" t="s">
        <v>44</v>
      </c>
      <c r="E24" s="18" t="s">
        <v>45</v>
      </c>
      <c r="F24" s="18" t="s">
        <v>46</v>
      </c>
      <c r="G24" s="19" t="s">
        <v>41</v>
      </c>
    </row>
    <row r="25" ht="15.75" customHeight="1">
      <c r="B25" s="20" t="s">
        <v>47</v>
      </c>
      <c r="C25" s="20" t="s">
        <v>48</v>
      </c>
      <c r="D25" s="20" t="s">
        <v>49</v>
      </c>
      <c r="E25" s="20" t="s">
        <v>50</v>
      </c>
      <c r="F25" s="20" t="s">
        <v>51</v>
      </c>
      <c r="G25" s="21" t="s">
        <v>35</v>
      </c>
    </row>
    <row r="26" ht="15.75" customHeight="1"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9" t="s">
        <v>41</v>
      </c>
    </row>
    <row r="27" ht="15.75" customHeight="1">
      <c r="B27" s="20" t="s">
        <v>57</v>
      </c>
      <c r="C27" s="20" t="s">
        <v>58</v>
      </c>
      <c r="D27" s="20" t="s">
        <v>59</v>
      </c>
      <c r="E27" s="20" t="s">
        <v>60</v>
      </c>
      <c r="F27" s="20" t="s">
        <v>61</v>
      </c>
      <c r="G27" s="21" t="s">
        <v>41</v>
      </c>
    </row>
    <row r="28" ht="15.75" customHeight="1">
      <c r="B28" s="18" t="s">
        <v>62</v>
      </c>
      <c r="C28" s="18" t="s">
        <v>63</v>
      </c>
      <c r="D28" s="18" t="s">
        <v>64</v>
      </c>
      <c r="E28" s="18" t="s">
        <v>65</v>
      </c>
      <c r="F28" s="18" t="s">
        <v>66</v>
      </c>
      <c r="G28" s="19" t="s">
        <v>67</v>
      </c>
    </row>
    <row r="29" ht="15.75" customHeight="1">
      <c r="B29" s="20" t="s">
        <v>68</v>
      </c>
      <c r="C29" s="20" t="s">
        <v>69</v>
      </c>
      <c r="D29" s="20" t="s">
        <v>70</v>
      </c>
      <c r="E29" s="20" t="s">
        <v>71</v>
      </c>
      <c r="F29" s="20" t="s">
        <v>72</v>
      </c>
      <c r="G29" s="21" t="s">
        <v>67</v>
      </c>
    </row>
    <row r="30" ht="15.75" customHeight="1">
      <c r="B30" s="18" t="s">
        <v>73</v>
      </c>
      <c r="C30" s="18" t="s">
        <v>74</v>
      </c>
      <c r="D30" s="18" t="s">
        <v>75</v>
      </c>
      <c r="E30" s="18" t="s">
        <v>76</v>
      </c>
      <c r="F30" s="18" t="s">
        <v>77</v>
      </c>
      <c r="G30" s="19" t="s">
        <v>41</v>
      </c>
    </row>
    <row r="31" ht="15.75" customHeight="1">
      <c r="B31" s="20" t="s">
        <v>78</v>
      </c>
      <c r="C31" s="20" t="s">
        <v>79</v>
      </c>
      <c r="D31" s="20" t="s">
        <v>80</v>
      </c>
      <c r="E31" s="20" t="s">
        <v>81</v>
      </c>
      <c r="F31" s="20" t="s">
        <v>82</v>
      </c>
      <c r="G31" s="21" t="s">
        <v>67</v>
      </c>
    </row>
    <row r="32" ht="44.25" customHeight="1">
      <c r="B32" s="18" t="s">
        <v>83</v>
      </c>
      <c r="C32" s="18" t="s">
        <v>84</v>
      </c>
      <c r="D32" s="18" t="s">
        <v>85</v>
      </c>
      <c r="E32" s="18" t="s">
        <v>86</v>
      </c>
      <c r="F32" s="18" t="s">
        <v>87</v>
      </c>
      <c r="G32" s="19" t="s">
        <v>67</v>
      </c>
    </row>
    <row r="33" ht="15.75" customHeight="1">
      <c r="B33" s="20" t="s">
        <v>88</v>
      </c>
      <c r="C33" s="20" t="s">
        <v>89</v>
      </c>
      <c r="D33" s="20" t="s">
        <v>90</v>
      </c>
      <c r="E33" s="20" t="s">
        <v>91</v>
      </c>
      <c r="F33" s="20" t="s">
        <v>92</v>
      </c>
      <c r="G33" s="21" t="s">
        <v>67</v>
      </c>
    </row>
    <row r="34" ht="15.75" customHeight="1">
      <c r="B34" s="18" t="s">
        <v>93</v>
      </c>
      <c r="C34" s="18" t="s">
        <v>94</v>
      </c>
      <c r="D34" s="18" t="s">
        <v>95</v>
      </c>
      <c r="E34" s="18" t="s">
        <v>96</v>
      </c>
      <c r="F34" s="18" t="s">
        <v>97</v>
      </c>
      <c r="G34" s="19" t="s">
        <v>98</v>
      </c>
    </row>
    <row r="35" ht="15.75" customHeight="1">
      <c r="B35" s="8"/>
      <c r="C35" s="8"/>
      <c r="D35" s="8"/>
      <c r="E35" s="8"/>
      <c r="F35" s="8"/>
      <c r="G35" s="8"/>
    </row>
    <row r="36" ht="15.75" customHeight="1">
      <c r="B36" s="8"/>
      <c r="C36" s="8"/>
      <c r="D36" s="8"/>
      <c r="E36" s="8"/>
      <c r="F36" s="8"/>
      <c r="G36" s="8"/>
    </row>
    <row r="37" ht="36.75" customHeight="1">
      <c r="B37" s="22" t="s">
        <v>99</v>
      </c>
    </row>
    <row r="38" ht="15.0" customHeight="1">
      <c r="B38" s="23" t="s">
        <v>100</v>
      </c>
      <c r="C38" s="23" t="s">
        <v>101</v>
      </c>
      <c r="D38" s="23" t="s">
        <v>102</v>
      </c>
      <c r="E38" s="23" t="s">
        <v>103</v>
      </c>
      <c r="F38" s="23" t="s">
        <v>104</v>
      </c>
      <c r="G38" s="23" t="s">
        <v>105</v>
      </c>
    </row>
    <row r="39" ht="15.0" customHeight="1">
      <c r="B39" s="24" t="s">
        <v>106</v>
      </c>
      <c r="C39" s="24" t="s">
        <v>107</v>
      </c>
      <c r="D39" s="25">
        <f>COUNTIF('Keyword Master Database'!$F$2:$F$224,B39)</f>
        <v>44</v>
      </c>
      <c r="E39" s="26">
        <f>D39/COUNTA('Keyword Master Database'!$A$2:$A$224)</f>
        <v>0.197309417</v>
      </c>
      <c r="F39" s="25">
        <f>SUMIF('Keyword Master Database'!$F$2:$F$224,B39,'Keyword Master Database'!$H$2:$H$224)</f>
        <v>96250</v>
      </c>
      <c r="G39" s="27"/>
    </row>
    <row r="40" ht="15.0" customHeight="1">
      <c r="B40" s="24" t="s">
        <v>108</v>
      </c>
      <c r="C40" s="24" t="s">
        <v>109</v>
      </c>
      <c r="D40" s="25">
        <f>COUNTIF('Keyword Master Database'!$F$2:$F$224,B40)</f>
        <v>48</v>
      </c>
      <c r="E40" s="26">
        <f>D40/COUNTA('Keyword Master Database'!$A$2:$A$224)</f>
        <v>0.2152466368</v>
      </c>
      <c r="F40" s="25">
        <f>SUMIF('Keyword Master Database'!$F$2:$F$224,B40,'Keyword Master Database'!$H$2:$H$224)</f>
        <v>109180</v>
      </c>
      <c r="G40" s="27"/>
    </row>
    <row r="41" ht="15.0" customHeight="1">
      <c r="B41" s="24" t="s">
        <v>110</v>
      </c>
      <c r="C41" s="24" t="s">
        <v>111</v>
      </c>
      <c r="D41" s="25">
        <f>COUNTIF('Keyword Master Database'!$F$2:$F$224,B41)</f>
        <v>131</v>
      </c>
      <c r="E41" s="26">
        <f>D41/COUNTA('Keyword Master Database'!$A$2:$A$224)</f>
        <v>0.5874439462</v>
      </c>
      <c r="F41" s="25">
        <f>SUMIF('Keyword Master Database'!$F$2:$F$224,B41,'Keyword Master Database'!$H$2:$H$224)</f>
        <v>89060</v>
      </c>
      <c r="G41" s="27"/>
    </row>
    <row r="42" ht="15.0" customHeight="1">
      <c r="B42" s="24" t="s">
        <v>112</v>
      </c>
      <c r="C42" s="24" t="s">
        <v>113</v>
      </c>
      <c r="D42" s="25">
        <f>COUNTIF('Keyword Master Database'!$E$2:$E$224,B42)</f>
        <v>44</v>
      </c>
      <c r="E42" s="26">
        <f>D42/COUNTA('Keyword Master Database'!$A$2:$A$224)</f>
        <v>0.197309417</v>
      </c>
      <c r="F42" s="25">
        <f>SUMIF('Keyword Master Database'!$E$2:$E$224,B42,'Keyword Master Database'!$H$2:$H$224)</f>
        <v>96250</v>
      </c>
      <c r="G42" s="27"/>
    </row>
    <row r="43" ht="15.0" customHeight="1">
      <c r="B43" s="24" t="s">
        <v>114</v>
      </c>
      <c r="C43" s="24" t="s">
        <v>115</v>
      </c>
      <c r="D43" s="25">
        <f>COUNTIF('Keyword Master Database'!$E$2:$E$224,B43)</f>
        <v>5</v>
      </c>
      <c r="E43" s="26">
        <f>D43/COUNTA('Keyword Master Database'!$A$2:$A$224)</f>
        <v>0.02242152466</v>
      </c>
      <c r="F43" s="25">
        <f>SUMIF('Keyword Master Database'!$E$2:$E$224,B43,'Keyword Master Database'!$H$2:$H$224)</f>
        <v>570</v>
      </c>
      <c r="G43" s="27"/>
    </row>
    <row r="44" ht="15.0" customHeight="1">
      <c r="B44" s="24" t="s">
        <v>116</v>
      </c>
      <c r="C44" s="24" t="s">
        <v>117</v>
      </c>
      <c r="D44" s="25">
        <f>COUNTIF('Keyword Master Database'!$E$2:$E$224,B44)</f>
        <v>48</v>
      </c>
      <c r="E44" s="26">
        <f>D44/COUNTA('Keyword Master Database'!$A$2:$A$224)</f>
        <v>0.2152466368</v>
      </c>
      <c r="F44" s="25">
        <f>SUMIF('Keyword Master Database'!$E$2:$E$224,B44,'Keyword Master Database'!$H$2:$H$224)</f>
        <v>109180</v>
      </c>
      <c r="G44" s="27"/>
    </row>
    <row r="45" ht="15.0" customHeight="1">
      <c r="B45" s="24" t="s">
        <v>118</v>
      </c>
      <c r="C45" s="24" t="s">
        <v>119</v>
      </c>
      <c r="D45" s="25">
        <f>COUNTIF('Keyword Master Database'!$E$2:$E$224,B45)</f>
        <v>126</v>
      </c>
      <c r="E45" s="26">
        <f>D45/COUNTA('Keyword Master Database'!$A$2:$A$224)</f>
        <v>0.5650224215</v>
      </c>
      <c r="F45" s="25">
        <f>SUMIF('Keyword Master Database'!$E$2:$E$224,B45,'Keyword Master Database'!$H$2:$H$224)</f>
        <v>88490</v>
      </c>
      <c r="G45" s="27"/>
    </row>
    <row r="46" ht="15.75" customHeight="1">
      <c r="B46" s="8"/>
      <c r="C46" s="8"/>
      <c r="D46" s="8"/>
      <c r="E46" s="8"/>
      <c r="F46" s="8"/>
      <c r="G46" s="8"/>
    </row>
    <row r="47" ht="36.75" customHeight="1">
      <c r="B47" s="28" t="s">
        <v>120</v>
      </c>
      <c r="C47" s="29"/>
      <c r="D47" s="29"/>
      <c r="E47" s="29"/>
      <c r="F47" s="29"/>
      <c r="G47" s="29"/>
    </row>
    <row r="48" ht="15.75" customHeight="1">
      <c r="B48" s="30" t="s">
        <v>121</v>
      </c>
      <c r="C48" s="30" t="s">
        <v>122</v>
      </c>
      <c r="D48" s="30" t="s">
        <v>104</v>
      </c>
      <c r="E48" s="30" t="s">
        <v>123</v>
      </c>
      <c r="F48" s="30" t="s">
        <v>124</v>
      </c>
      <c r="G48" s="30" t="s">
        <v>125</v>
      </c>
    </row>
    <row r="49" ht="30.0" customHeight="1">
      <c r="B49" s="31" t="s">
        <v>126</v>
      </c>
      <c r="C49" s="31" t="str">
        <f t="array" ref="C49">INDEX('Keyword Master Database'!$R$2:$R$224,MATCH($B49,'Keyword Master Database'!$A$2:$A$224,0))</f>
        <v>/new-patient-special-tampa/</v>
      </c>
      <c r="D49" s="32">
        <f t="array" ref="D49">INDEX('Keyword Master Database'!$H$2:$H$224,MATCH($B49,'Keyword Master Database'!$A$2:$A$224,0))</f>
        <v>210</v>
      </c>
      <c r="E49" s="33">
        <f t="array" ref="E49">INDEX('Keyword Master Database'!$I$2:$I$224,MATCH($B49,'Keyword Master Database'!$A$2:$A$224,0))</f>
        <v>20</v>
      </c>
      <c r="F49" s="33">
        <f t="array" ref="F49">INDEX('Keyword Master Database'!$P$2:$P$224,MATCH($B49,'Keyword Master Database'!$A$2:$A$224,0))</f>
        <v>94</v>
      </c>
      <c r="G49" s="34" t="str">
        <f t="array" ref="G49">INDEX('Keyword Master Database'!$Q$2:$Q$224,MATCH($B49,'Keyword Master Database'!$A$2:$A$224,0))</f>
        <v>Critical</v>
      </c>
    </row>
    <row r="50" ht="15.75" customHeight="1">
      <c r="B50" s="31" t="s">
        <v>127</v>
      </c>
      <c r="C50" s="31" t="str">
        <f t="array" ref="C50">INDEX('Keyword Master Database'!$R$2:$R$224,MATCH($B50,'Keyword Master Database'!$A$2:$A$224,0))</f>
        <v>/dentures/</v>
      </c>
      <c r="D50" s="32">
        <f t="array" ref="D50">INDEX('Keyword Master Database'!$H$2:$H$224,MATCH($B50,'Keyword Master Database'!$A$2:$A$224,0))</f>
        <v>1000</v>
      </c>
      <c r="E50" s="33">
        <f t="array" ref="E50">INDEX('Keyword Master Database'!$I$2:$I$224,MATCH($B50,'Keyword Master Database'!$A$2:$A$224,0))</f>
        <v>48</v>
      </c>
      <c r="F50" s="33">
        <f t="array" ref="F50">INDEX('Keyword Master Database'!$P$2:$P$224,MATCH($B50,'Keyword Master Database'!$A$2:$A$224,0))</f>
        <v>92</v>
      </c>
      <c r="G50" s="34" t="str">
        <f t="array" ref="G50">INDEX('Keyword Master Database'!$Q$2:$Q$224,MATCH($B50,'Keyword Master Database'!$A$2:$A$224,0))</f>
        <v>Critical</v>
      </c>
    </row>
    <row r="51" ht="15.75" customHeight="1">
      <c r="B51" s="31" t="s">
        <v>128</v>
      </c>
      <c r="C51" s="31" t="str">
        <f t="array" ref="C51">INDEX('Keyword Master Database'!$R$2:$R$224,MATCH($B51,'Keyword Master Database'!$A$2:$A$224,0))</f>
        <v>/new-patient-special-tampa/</v>
      </c>
      <c r="D51" s="32">
        <f t="array" ref="D51">INDEX('Keyword Master Database'!$H$2:$H$224,MATCH($B51,'Keyword Master Database'!$A$2:$A$224,0))</f>
        <v>90</v>
      </c>
      <c r="E51" s="33">
        <f t="array" ref="E51">INDEX('Keyword Master Database'!$I$2:$I$224,MATCH($B51,'Keyword Master Database'!$A$2:$A$224,0))</f>
        <v>14</v>
      </c>
      <c r="F51" s="33">
        <f t="array" ref="F51">INDEX('Keyword Master Database'!$P$2:$P$224,MATCH($B51,'Keyword Master Database'!$A$2:$A$224,0))</f>
        <v>91</v>
      </c>
      <c r="G51" s="34" t="str">
        <f t="array" ref="G51">INDEX('Keyword Master Database'!$Q$2:$Q$224,MATCH($B51,'Keyword Master Database'!$A$2:$A$224,0))</f>
        <v>Critical</v>
      </c>
    </row>
    <row r="52" ht="15.75" customHeight="1">
      <c r="B52" s="31" t="s">
        <v>129</v>
      </c>
      <c r="C52" s="31" t="str">
        <f t="array" ref="C52">INDEX('Keyword Master Database'!$R$2:$R$224,MATCH($B52,'Keyword Master Database'!$A$2:$A$224,0))</f>
        <v>/new-patient-special-tampa/</v>
      </c>
      <c r="D52" s="32">
        <f t="array" ref="D52">INDEX('Keyword Master Database'!$H$2:$H$224,MATCH($B52,'Keyword Master Database'!$A$2:$A$224,0))</f>
        <v>90</v>
      </c>
      <c r="E52" s="33">
        <f t="array" ref="E52">INDEX('Keyword Master Database'!$I$2:$I$224,MATCH($B52,'Keyword Master Database'!$A$2:$A$224,0))</f>
        <v>18</v>
      </c>
      <c r="F52" s="33">
        <f t="array" ref="F52">INDEX('Keyword Master Database'!$P$2:$P$224,MATCH($B52,'Keyword Master Database'!$A$2:$A$224,0))</f>
        <v>91</v>
      </c>
      <c r="G52" s="34" t="str">
        <f t="array" ref="G52">INDEX('Keyword Master Database'!$Q$2:$Q$224,MATCH($B52,'Keyword Master Database'!$A$2:$A$224,0))</f>
        <v>Critical</v>
      </c>
    </row>
    <row r="53" ht="15.75" customHeight="1">
      <c r="B53" s="31" t="s">
        <v>130</v>
      </c>
      <c r="C53" s="31" t="str">
        <f t="array" ref="C53">INDEX('Keyword Master Database'!$R$2:$R$224,MATCH($B53,'Keyword Master Database'!$A$2:$A$224,0))</f>
        <v>/new-patient-special-tampa/</v>
      </c>
      <c r="D53" s="32">
        <f t="array" ref="D53">INDEX('Keyword Master Database'!$H$2:$H$224,MATCH($B53,'Keyword Master Database'!$A$2:$A$224,0))</f>
        <v>90</v>
      </c>
      <c r="E53" s="33">
        <f t="array" ref="E53">INDEX('Keyword Master Database'!$I$2:$I$224,MATCH($B53,'Keyword Master Database'!$A$2:$A$224,0))</f>
        <v>20</v>
      </c>
      <c r="F53" s="33">
        <f t="array" ref="F53">INDEX('Keyword Master Database'!$P$2:$P$224,MATCH($B53,'Keyword Master Database'!$A$2:$A$224,0))</f>
        <v>91</v>
      </c>
      <c r="G53" s="34" t="str">
        <f t="array" ref="G53">INDEX('Keyword Master Database'!$Q$2:$Q$224,MATCH($B53,'Keyword Master Database'!$A$2:$A$224,0))</f>
        <v>Critical</v>
      </c>
    </row>
    <row r="54" ht="15.75" customHeight="1">
      <c r="B54" s="31" t="s">
        <v>131</v>
      </c>
      <c r="C54" s="31" t="str">
        <f t="array" ref="C54">INDEX('Keyword Master Database'!$R$2:$R$224,MATCH($B54,'Keyword Master Database'!$A$2:$A$224,0))</f>
        <v>/new-patient-special-tampa/</v>
      </c>
      <c r="D54" s="32">
        <f t="array" ref="D54">INDEX('Keyword Master Database'!$H$2:$H$224,MATCH($B54,'Keyword Master Database'!$A$2:$A$224,0))</f>
        <v>480</v>
      </c>
      <c r="E54" s="33">
        <f t="array" ref="E54">INDEX('Keyword Master Database'!$I$2:$I$224,MATCH($B54,'Keyword Master Database'!$A$2:$A$224,0))</f>
        <v>32</v>
      </c>
      <c r="F54" s="33">
        <f t="array" ref="F54">INDEX('Keyword Master Database'!$P$2:$P$224,MATCH($B54,'Keyword Master Database'!$A$2:$A$224,0))</f>
        <v>90</v>
      </c>
      <c r="G54" s="34" t="str">
        <f t="array" ref="G54">INDEX('Keyword Master Database'!$Q$2:$Q$224,MATCH($B54,'Keyword Master Database'!$A$2:$A$224,0))</f>
        <v>Critical</v>
      </c>
    </row>
    <row r="55" ht="15.75" customHeight="1">
      <c r="B55" s="31" t="s">
        <v>132</v>
      </c>
      <c r="C55" s="31" t="str">
        <f t="array" ref="C55">INDEX('Keyword Master Database'!$R$2:$R$224,MATCH($B55,'Keyword Master Database'!$A$2:$A$224,0))</f>
        <v>/dental-cap-crown-tampa/</v>
      </c>
      <c r="D55" s="32">
        <f t="array" ref="D55">INDEX('Keyword Master Database'!$H$2:$H$224,MATCH($B55,'Keyword Master Database'!$A$2:$A$224,0))</f>
        <v>210</v>
      </c>
      <c r="E55" s="33">
        <f t="array" ref="E55">INDEX('Keyword Master Database'!$I$2:$I$224,MATCH($B55,'Keyword Master Database'!$A$2:$A$224,0))</f>
        <v>34</v>
      </c>
      <c r="F55" s="33">
        <f t="array" ref="F55">INDEX('Keyword Master Database'!$P$2:$P$224,MATCH($B55,'Keyword Master Database'!$A$2:$A$224,0))</f>
        <v>90</v>
      </c>
      <c r="G55" s="34" t="str">
        <f t="array" ref="G55">INDEX('Keyword Master Database'!$Q$2:$Q$224,MATCH($B55,'Keyword Master Database'!$A$2:$A$224,0))</f>
        <v>Critical</v>
      </c>
    </row>
    <row r="56" ht="15.75" customHeight="1">
      <c r="B56" s="31" t="s">
        <v>133</v>
      </c>
      <c r="C56" s="31" t="str">
        <f t="array" ref="C56">INDEX('Keyword Master Database'!$R$2:$R$224,MATCH($B56,'Keyword Master Database'!$A$2:$A$224,0))</f>
        <v>/</v>
      </c>
      <c r="D56" s="32">
        <f t="array" ref="D56">INDEX('Keyword Master Database'!$H$2:$H$224,MATCH($B56,'Keyword Master Database'!$A$2:$A$224,0))</f>
        <v>720</v>
      </c>
      <c r="E56" s="33">
        <f t="array" ref="E56">INDEX('Keyword Master Database'!$I$2:$I$224,MATCH($B56,'Keyword Master Database'!$A$2:$A$224,0))</f>
        <v>46</v>
      </c>
      <c r="F56" s="33">
        <f t="array" ref="F56">INDEX('Keyword Master Database'!$P$2:$P$224,MATCH($B56,'Keyword Master Database'!$A$2:$A$224,0))</f>
        <v>89</v>
      </c>
      <c r="G56" s="34" t="str">
        <f t="array" ref="G56">INDEX('Keyword Master Database'!$Q$2:$Q$224,MATCH($B56,'Keyword Master Database'!$A$2:$A$224,0))</f>
        <v>High</v>
      </c>
    </row>
    <row r="57" ht="15.75" customHeight="1">
      <c r="B57" s="31" t="s">
        <v>134</v>
      </c>
      <c r="C57" s="31" t="str">
        <f t="array" ref="C57">INDEX('Keyword Master Database'!$R$2:$R$224,MATCH($B57,'Keyword Master Database'!$A$2:$A$224,0))</f>
        <v>/</v>
      </c>
      <c r="D57" s="32">
        <f t="array" ref="D57">INDEX('Keyword Master Database'!$H$2:$H$224,MATCH($B57,'Keyword Master Database'!$A$2:$A$224,0))</f>
        <v>590</v>
      </c>
      <c r="E57" s="33">
        <f t="array" ref="E57">INDEX('Keyword Master Database'!$I$2:$I$224,MATCH($B57,'Keyword Master Database'!$A$2:$A$224,0))</f>
        <v>50</v>
      </c>
      <c r="F57" s="33">
        <f t="array" ref="F57">INDEX('Keyword Master Database'!$P$2:$P$224,MATCH($B57,'Keyword Master Database'!$A$2:$A$224,0))</f>
        <v>89</v>
      </c>
      <c r="G57" s="34" t="str">
        <f t="array" ref="G57">INDEX('Keyword Master Database'!$Q$2:$Q$224,MATCH($B57,'Keyword Master Database'!$A$2:$A$224,0))</f>
        <v>High</v>
      </c>
    </row>
    <row r="58" ht="15.75" customHeight="1">
      <c r="B58" s="31" t="s">
        <v>135</v>
      </c>
      <c r="C58" s="31" t="str">
        <f t="array" ref="C58">INDEX('Keyword Master Database'!$R$2:$R$224,MATCH($B58,'Keyword Master Database'!$A$2:$A$224,0))</f>
        <v>/</v>
      </c>
      <c r="D58" s="32">
        <f t="array" ref="D58">INDEX('Keyword Master Database'!$H$2:$H$224,MATCH($B58,'Keyword Master Database'!$A$2:$A$224,0))</f>
        <v>590</v>
      </c>
      <c r="E58" s="33">
        <f t="array" ref="E58">INDEX('Keyword Master Database'!$I$2:$I$224,MATCH($B58,'Keyword Master Database'!$A$2:$A$224,0))</f>
        <v>44</v>
      </c>
      <c r="F58" s="33">
        <f t="array" ref="F58">INDEX('Keyword Master Database'!$P$2:$P$224,MATCH($B58,'Keyword Master Database'!$A$2:$A$224,0))</f>
        <v>89</v>
      </c>
      <c r="G58" s="34" t="str">
        <f t="array" ref="G58">INDEX('Keyword Master Database'!$Q$2:$Q$224,MATCH($B58,'Keyword Master Database'!$A$2:$A$224,0))</f>
        <v>High</v>
      </c>
    </row>
    <row r="59" ht="15.75" customHeight="1">
      <c r="B59" s="31" t="s">
        <v>136</v>
      </c>
      <c r="C59" s="31" t="str">
        <f t="array" ref="C59">INDEX('Keyword Master Database'!$R$2:$R$224,MATCH($B59,'Keyword Master Database'!$A$2:$A$224,0))</f>
        <v>/north-tampa-dentist/</v>
      </c>
      <c r="D59" s="32">
        <f t="array" ref="D59">INDEX('Keyword Master Database'!$H$2:$H$224,MATCH($B59,'Keyword Master Database'!$A$2:$A$224,0))</f>
        <v>590</v>
      </c>
      <c r="E59" s="33">
        <f t="array" ref="E59">INDEX('Keyword Master Database'!$I$2:$I$224,MATCH($B59,'Keyword Master Database'!$A$2:$A$224,0))</f>
        <v>44</v>
      </c>
      <c r="F59" s="33">
        <f t="array" ref="F59">INDEX('Keyword Master Database'!$P$2:$P$224,MATCH($B59,'Keyword Master Database'!$A$2:$A$224,0))</f>
        <v>89</v>
      </c>
      <c r="G59" s="34" t="str">
        <f t="array" ref="G59">INDEX('Keyword Master Database'!$Q$2:$Q$224,MATCH($B59,'Keyword Master Database'!$A$2:$A$224,0))</f>
        <v>High</v>
      </c>
    </row>
    <row r="60" ht="15.75" customHeight="1">
      <c r="B60" s="31" t="s">
        <v>137</v>
      </c>
      <c r="C60" s="31" t="str">
        <f t="array" ref="C60">INDEX('Keyword Master Database'!$R$2:$R$224,MATCH($B60,'Keyword Master Database'!$A$2:$A$224,0))</f>
        <v>/clear-mouth-braces-tampa/</v>
      </c>
      <c r="D60" s="32">
        <f t="array" ref="D60">INDEX('Keyword Master Database'!$H$2:$H$224,MATCH($B60,'Keyword Master Database'!$A$2:$A$224,0))</f>
        <v>590</v>
      </c>
      <c r="E60" s="33">
        <f t="array" ref="E60">INDEX('Keyword Master Database'!$I$2:$I$224,MATCH($B60,'Keyword Master Database'!$A$2:$A$224,0))</f>
        <v>48</v>
      </c>
      <c r="F60" s="33">
        <f t="array" ref="F60">INDEX('Keyword Master Database'!$P$2:$P$224,MATCH($B60,'Keyword Master Database'!$A$2:$A$224,0))</f>
        <v>89</v>
      </c>
      <c r="G60" s="34" t="str">
        <f t="array" ref="G60">INDEX('Keyword Master Database'!$Q$2:$Q$224,MATCH($B60,'Keyword Master Database'!$A$2:$A$224,0))</f>
        <v>High</v>
      </c>
    </row>
    <row r="61" ht="15.75" customHeight="1">
      <c r="B61" s="31" t="s">
        <v>138</v>
      </c>
      <c r="C61" s="31" t="str">
        <f t="array" ref="C61">INDEX('Keyword Master Database'!$R$2:$R$224,MATCH($B61,'Keyword Master Database'!$A$2:$A$224,0))</f>
        <v>/</v>
      </c>
      <c r="D61" s="32">
        <f t="array" ref="D61">INDEX('Keyword Master Database'!$H$2:$H$224,MATCH($B61,'Keyword Master Database'!$A$2:$A$224,0))</f>
        <v>5400</v>
      </c>
      <c r="E61" s="33">
        <f t="array" ref="E61">INDEX('Keyword Master Database'!$I$2:$I$224,MATCH($B61,'Keyword Master Database'!$A$2:$A$224,0))</f>
        <v>62</v>
      </c>
      <c r="F61" s="33">
        <f t="array" ref="F61">INDEX('Keyword Master Database'!$P$2:$P$224,MATCH($B61,'Keyword Master Database'!$A$2:$A$224,0))</f>
        <v>88</v>
      </c>
      <c r="G61" s="34" t="str">
        <f t="array" ref="G61">INDEX('Keyword Master Database'!$Q$2:$Q$224,MATCH($B61,'Keyword Master Database'!$A$2:$A$224,0))</f>
        <v>High</v>
      </c>
    </row>
    <row r="62" ht="15.75" customHeight="1">
      <c r="B62" s="31" t="s">
        <v>139</v>
      </c>
      <c r="C62" s="31" t="str">
        <f t="array" ref="C62">INDEX('Keyword Master Database'!$R$2:$R$224,MATCH($B62,'Keyword Master Database'!$A$2:$A$224,0))</f>
        <v>/</v>
      </c>
      <c r="D62" s="32">
        <f t="array" ref="D62">INDEX('Keyword Master Database'!$H$2:$H$224,MATCH($B62,'Keyword Master Database'!$A$2:$A$224,0))</f>
        <v>4400</v>
      </c>
      <c r="E62" s="33">
        <f t="array" ref="E62">INDEX('Keyword Master Database'!$I$2:$I$224,MATCH($B62,'Keyword Master Database'!$A$2:$A$224,0))</f>
        <v>60</v>
      </c>
      <c r="F62" s="33">
        <f t="array" ref="F62">INDEX('Keyword Master Database'!$P$2:$P$224,MATCH($B62,'Keyword Master Database'!$A$2:$A$224,0))</f>
        <v>88</v>
      </c>
      <c r="G62" s="34" t="str">
        <f t="array" ref="G62">INDEX('Keyword Master Database'!$Q$2:$Q$224,MATCH($B62,'Keyword Master Database'!$A$2:$A$224,0))</f>
        <v>High</v>
      </c>
    </row>
    <row r="63" ht="15.75" customHeight="1">
      <c r="B63" s="31" t="s">
        <v>140</v>
      </c>
      <c r="C63" s="31" t="str">
        <f t="array" ref="C63">INDEX('Keyword Master Database'!$R$2:$R$224,MATCH($B63,'Keyword Master Database'!$A$2:$A$224,0))</f>
        <v>/dentures/</v>
      </c>
      <c r="D63" s="32">
        <f t="array" ref="D63">INDEX('Keyword Master Database'!$H$2:$H$224,MATCH($B63,'Keyword Master Database'!$A$2:$A$224,0))</f>
        <v>4400</v>
      </c>
      <c r="E63" s="33">
        <f t="array" ref="E63">INDEX('Keyword Master Database'!$I$2:$I$224,MATCH($B63,'Keyword Master Database'!$A$2:$A$224,0))</f>
        <v>64</v>
      </c>
      <c r="F63" s="33">
        <f t="array" ref="F63">INDEX('Keyword Master Database'!$P$2:$P$224,MATCH($B63,'Keyword Master Database'!$A$2:$A$224,0))</f>
        <v>88</v>
      </c>
      <c r="G63" s="34" t="str">
        <f t="array" ref="G63">INDEX('Keyword Master Database'!$Q$2:$Q$224,MATCH($B63,'Keyword Master Database'!$A$2:$A$224,0))</f>
        <v>High</v>
      </c>
    </row>
    <row r="64" ht="15.75" customHeight="1">
      <c r="B64" s="8"/>
      <c r="C64" s="8"/>
      <c r="D64" s="8"/>
      <c r="E64" s="8"/>
      <c r="F64" s="8"/>
      <c r="G64" s="8"/>
    </row>
    <row r="65" ht="15.75" customHeight="1">
      <c r="B65" s="8"/>
      <c r="C65" s="8"/>
      <c r="D65" s="8"/>
      <c r="E65" s="8"/>
      <c r="F65" s="8"/>
      <c r="G65" s="8"/>
    </row>
    <row r="66" ht="15.75" customHeight="1">
      <c r="B66" s="35" t="s">
        <v>141</v>
      </c>
      <c r="C66" s="36"/>
      <c r="D66" s="36"/>
      <c r="E66" s="36"/>
      <c r="F66" s="36"/>
      <c r="G66" s="37"/>
    </row>
    <row r="67" ht="15.75" customHeight="1">
      <c r="B67" s="38"/>
      <c r="C67" s="39"/>
      <c r="D67" s="39"/>
      <c r="E67" s="39"/>
      <c r="F67" s="39"/>
      <c r="G67" s="40"/>
    </row>
    <row r="68" ht="15.75" customHeight="1">
      <c r="B68" s="8"/>
      <c r="C68" s="8"/>
      <c r="D68" s="8"/>
      <c r="E68" s="8"/>
      <c r="F68" s="8"/>
      <c r="G68" s="8"/>
    </row>
    <row r="69" ht="15.75" customHeight="1">
      <c r="B69" s="8"/>
      <c r="C69" s="8"/>
      <c r="D69" s="8"/>
      <c r="E69" s="8"/>
      <c r="F69" s="8"/>
      <c r="G69" s="8"/>
    </row>
    <row r="70" ht="15.75" customHeight="1">
      <c r="B70" s="8"/>
      <c r="C70" s="8"/>
      <c r="D70" s="8"/>
      <c r="E70" s="8"/>
      <c r="F70" s="8"/>
      <c r="G70" s="8"/>
    </row>
    <row r="71" ht="15.75" customHeight="1">
      <c r="B71" s="8"/>
      <c r="C71" s="8"/>
      <c r="D71" s="8"/>
      <c r="E71" s="8"/>
      <c r="F71" s="8"/>
      <c r="G71" s="8"/>
    </row>
    <row r="72" ht="15.75" customHeight="1">
      <c r="B72" s="8"/>
      <c r="C72" s="8"/>
      <c r="D72" s="8"/>
      <c r="E72" s="8"/>
      <c r="F72" s="8"/>
      <c r="G72" s="8"/>
    </row>
    <row r="73" ht="15.75" customHeight="1">
      <c r="B73" s="8"/>
      <c r="C73" s="8"/>
      <c r="D73" s="8"/>
      <c r="E73" s="8"/>
      <c r="F73" s="8"/>
      <c r="G73" s="8"/>
    </row>
    <row r="74" ht="15.75" customHeight="1">
      <c r="B74" s="8"/>
      <c r="C74" s="8"/>
      <c r="D74" s="8"/>
      <c r="E74" s="8"/>
      <c r="F74" s="8"/>
      <c r="G74" s="8"/>
    </row>
    <row r="75" ht="15.75" customHeight="1">
      <c r="B75" s="8"/>
      <c r="C75" s="8"/>
      <c r="D75" s="8"/>
      <c r="E75" s="8"/>
      <c r="F75" s="8"/>
      <c r="G75" s="8"/>
    </row>
    <row r="76" ht="15.75" customHeight="1">
      <c r="B76" s="8"/>
      <c r="C76" s="8"/>
      <c r="D76" s="8"/>
      <c r="E76" s="8"/>
      <c r="F76" s="8"/>
      <c r="G76" s="8"/>
    </row>
    <row r="77" ht="15.75" customHeight="1">
      <c r="B77" s="8"/>
      <c r="C77" s="8"/>
      <c r="D77" s="8"/>
      <c r="E77" s="8"/>
      <c r="F77" s="8"/>
      <c r="G77" s="8"/>
    </row>
    <row r="78" ht="15.75" customHeight="1">
      <c r="B78" s="8"/>
      <c r="C78" s="8"/>
      <c r="D78" s="8"/>
      <c r="E78" s="8"/>
      <c r="F78" s="8"/>
      <c r="G78" s="8"/>
    </row>
    <row r="79" ht="15.75" customHeight="1">
      <c r="B79" s="8"/>
      <c r="C79" s="8"/>
      <c r="D79" s="8"/>
      <c r="E79" s="8"/>
      <c r="F79" s="8"/>
      <c r="G79" s="8"/>
    </row>
    <row r="80" ht="15.75" customHeight="1">
      <c r="B80" s="8"/>
      <c r="C80" s="8"/>
      <c r="D80" s="8"/>
      <c r="E80" s="8"/>
      <c r="F80" s="8"/>
      <c r="G80" s="8"/>
    </row>
    <row r="81" ht="15.75" customHeight="1">
      <c r="B81" s="8"/>
      <c r="C81" s="8"/>
      <c r="D81" s="8"/>
      <c r="E81" s="8"/>
      <c r="F81" s="8"/>
      <c r="G81" s="8"/>
    </row>
    <row r="82" ht="15.75" customHeight="1">
      <c r="B82" s="8"/>
      <c r="C82" s="8"/>
      <c r="D82" s="8"/>
      <c r="E82" s="8"/>
      <c r="F82" s="8"/>
      <c r="G82" s="8"/>
    </row>
    <row r="83" ht="15.75" customHeight="1">
      <c r="B83" s="8"/>
      <c r="C83" s="8"/>
      <c r="D83" s="8"/>
      <c r="E83" s="8"/>
      <c r="F83" s="8"/>
      <c r="G83" s="8"/>
    </row>
    <row r="84" ht="15.75" customHeight="1">
      <c r="B84" s="8"/>
      <c r="C84" s="8"/>
      <c r="D84" s="8"/>
      <c r="E84" s="8"/>
      <c r="F84" s="8"/>
      <c r="G84" s="8"/>
    </row>
    <row r="85" ht="15.75" customHeight="1">
      <c r="B85" s="8"/>
      <c r="C85" s="8"/>
      <c r="D85" s="8"/>
      <c r="E85" s="8"/>
      <c r="F85" s="8"/>
      <c r="G85" s="8"/>
    </row>
    <row r="86" ht="15.75" customHeight="1">
      <c r="B86" s="8"/>
      <c r="C86" s="8"/>
      <c r="D86" s="8"/>
      <c r="E86" s="8"/>
      <c r="F86" s="8"/>
      <c r="G86" s="8"/>
    </row>
    <row r="87" ht="15.75" customHeight="1">
      <c r="B87" s="8"/>
      <c r="C87" s="8"/>
      <c r="D87" s="8"/>
      <c r="E87" s="8"/>
      <c r="F87" s="8"/>
      <c r="G87" s="8"/>
    </row>
    <row r="88" ht="15.75" customHeight="1">
      <c r="B88" s="8"/>
      <c r="C88" s="8"/>
      <c r="D88" s="8"/>
      <c r="E88" s="8"/>
      <c r="F88" s="8"/>
      <c r="G88" s="8"/>
    </row>
    <row r="89" ht="15.75" customHeight="1">
      <c r="B89" s="8"/>
      <c r="C89" s="8"/>
      <c r="D89" s="8"/>
      <c r="E89" s="8"/>
      <c r="F89" s="8"/>
      <c r="G89" s="8"/>
    </row>
    <row r="90" ht="15.75" customHeight="1">
      <c r="B90" s="8"/>
      <c r="C90" s="8"/>
      <c r="D90" s="8"/>
      <c r="E90" s="8"/>
      <c r="F90" s="8"/>
      <c r="G90" s="8"/>
    </row>
    <row r="91" ht="15.75" customHeight="1">
      <c r="B91" s="8"/>
      <c r="C91" s="8"/>
      <c r="D91" s="8"/>
      <c r="E91" s="8"/>
      <c r="F91" s="8"/>
      <c r="G91" s="8"/>
    </row>
    <row r="92" ht="15.75" customHeight="1">
      <c r="B92" s="8"/>
      <c r="C92" s="8"/>
      <c r="D92" s="8"/>
      <c r="E92" s="8"/>
      <c r="F92" s="8"/>
      <c r="G92" s="8"/>
    </row>
    <row r="93" ht="15.75" customHeight="1">
      <c r="B93" s="8"/>
      <c r="C93" s="8"/>
      <c r="D93" s="8"/>
      <c r="E93" s="8"/>
      <c r="F93" s="8"/>
      <c r="G93" s="8"/>
    </row>
    <row r="94" ht="15.75" customHeight="1">
      <c r="B94" s="8"/>
      <c r="C94" s="8"/>
      <c r="D94" s="8"/>
      <c r="E94" s="8"/>
      <c r="F94" s="8"/>
      <c r="G94" s="8"/>
    </row>
    <row r="95" ht="15.75" customHeight="1">
      <c r="B95" s="8"/>
      <c r="C95" s="8"/>
      <c r="D95" s="8"/>
      <c r="E95" s="8"/>
      <c r="F95" s="8"/>
      <c r="G95" s="8"/>
    </row>
    <row r="96" ht="15.75" customHeight="1">
      <c r="B96" s="8"/>
      <c r="C96" s="8"/>
      <c r="D96" s="8"/>
      <c r="E96" s="8"/>
      <c r="F96" s="8"/>
      <c r="G96" s="8"/>
    </row>
    <row r="97" ht="15.75" customHeight="1">
      <c r="B97" s="8"/>
      <c r="C97" s="8"/>
      <c r="D97" s="8"/>
      <c r="E97" s="8"/>
      <c r="F97" s="8"/>
      <c r="G97" s="8"/>
    </row>
    <row r="98" ht="15.75" customHeight="1">
      <c r="B98" s="8"/>
      <c r="C98" s="8"/>
      <c r="D98" s="8"/>
      <c r="E98" s="8"/>
      <c r="F98" s="8"/>
      <c r="G98" s="8"/>
    </row>
    <row r="99" ht="15.75" customHeight="1">
      <c r="B99" s="8"/>
      <c r="C99" s="8"/>
      <c r="D99" s="8"/>
      <c r="E99" s="8"/>
      <c r="F99" s="8"/>
      <c r="G99" s="8"/>
    </row>
    <row r="100" ht="15.75" customHeight="1">
      <c r="B100" s="8"/>
      <c r="C100" s="8"/>
      <c r="D100" s="8"/>
      <c r="E100" s="8"/>
      <c r="F100" s="8"/>
      <c r="G100" s="8"/>
    </row>
    <row r="101" ht="15.75" customHeight="1">
      <c r="B101" s="8"/>
      <c r="C101" s="8"/>
      <c r="D101" s="8"/>
      <c r="E101" s="8"/>
      <c r="F101" s="8"/>
      <c r="G101" s="8"/>
    </row>
    <row r="102" ht="15.75" customHeight="1">
      <c r="B102" s="8"/>
      <c r="C102" s="8"/>
      <c r="D102" s="8"/>
      <c r="E102" s="8"/>
      <c r="F102" s="8"/>
      <c r="G102" s="8"/>
    </row>
    <row r="103" ht="15.75" customHeight="1">
      <c r="B103" s="8"/>
      <c r="C103" s="8"/>
      <c r="D103" s="8"/>
      <c r="E103" s="8"/>
      <c r="F103" s="8"/>
      <c r="G103" s="8"/>
    </row>
    <row r="104" ht="15.75" customHeight="1">
      <c r="B104" s="8"/>
      <c r="C104" s="8"/>
      <c r="D104" s="8"/>
      <c r="E104" s="8"/>
      <c r="F104" s="8"/>
      <c r="G104" s="8"/>
    </row>
    <row r="105" ht="15.75" customHeight="1">
      <c r="B105" s="8"/>
      <c r="C105" s="8"/>
      <c r="D105" s="8"/>
      <c r="E105" s="8"/>
      <c r="F105" s="8"/>
      <c r="G105" s="8"/>
    </row>
    <row r="106" ht="15.75" customHeight="1">
      <c r="B106" s="8"/>
      <c r="C106" s="8"/>
      <c r="D106" s="8"/>
      <c r="E106" s="8"/>
      <c r="F106" s="8"/>
      <c r="G106" s="8"/>
    </row>
    <row r="107" ht="15.75" customHeight="1">
      <c r="B107" s="8"/>
      <c r="C107" s="8"/>
      <c r="D107" s="8"/>
      <c r="E107" s="8"/>
      <c r="F107" s="8"/>
      <c r="G107" s="8"/>
    </row>
    <row r="108" ht="15.75" customHeight="1">
      <c r="B108" s="8"/>
      <c r="C108" s="8"/>
      <c r="D108" s="8"/>
      <c r="E108" s="8"/>
      <c r="F108" s="8"/>
      <c r="G108" s="8"/>
    </row>
    <row r="109" ht="15.75" customHeight="1">
      <c r="B109" s="8"/>
      <c r="C109" s="8"/>
      <c r="D109" s="8"/>
      <c r="E109" s="8"/>
      <c r="F109" s="8"/>
      <c r="G109" s="8"/>
    </row>
    <row r="110" ht="15.75" customHeight="1">
      <c r="B110" s="8"/>
      <c r="C110" s="8"/>
      <c r="D110" s="8"/>
      <c r="E110" s="8"/>
      <c r="F110" s="8"/>
      <c r="G110" s="8"/>
    </row>
    <row r="111" ht="15.75" customHeight="1">
      <c r="B111" s="8"/>
      <c r="C111" s="8"/>
      <c r="D111" s="8"/>
      <c r="E111" s="8"/>
      <c r="F111" s="8"/>
      <c r="G111" s="8"/>
    </row>
    <row r="112" ht="15.75" customHeight="1">
      <c r="B112" s="8"/>
      <c r="C112" s="8"/>
      <c r="D112" s="8"/>
      <c r="E112" s="8"/>
      <c r="F112" s="8"/>
      <c r="G112" s="8"/>
    </row>
    <row r="113" ht="15.75" customHeight="1">
      <c r="B113" s="8"/>
      <c r="C113" s="8"/>
      <c r="D113" s="8"/>
      <c r="E113" s="8"/>
      <c r="F113" s="8"/>
      <c r="G113" s="8"/>
    </row>
    <row r="114" ht="15.75" customHeight="1">
      <c r="B114" s="8"/>
      <c r="C114" s="8"/>
      <c r="D114" s="8"/>
      <c r="E114" s="8"/>
      <c r="F114" s="8"/>
      <c r="G114" s="8"/>
    </row>
    <row r="115" ht="15.75" customHeight="1">
      <c r="B115" s="8"/>
      <c r="C115" s="8"/>
      <c r="D115" s="8"/>
      <c r="E115" s="8"/>
      <c r="F115" s="8"/>
      <c r="G115" s="8"/>
    </row>
    <row r="116" ht="15.75" customHeight="1">
      <c r="B116" s="8"/>
      <c r="C116" s="8"/>
      <c r="D116" s="8"/>
      <c r="E116" s="8"/>
      <c r="F116" s="8"/>
      <c r="G116" s="8"/>
    </row>
    <row r="117" ht="15.75" customHeight="1">
      <c r="B117" s="8"/>
      <c r="C117" s="8"/>
      <c r="D117" s="8"/>
      <c r="E117" s="8"/>
      <c r="F117" s="8"/>
      <c r="G117" s="8"/>
    </row>
    <row r="118" ht="15.75" customHeight="1">
      <c r="B118" s="8"/>
      <c r="C118" s="8"/>
      <c r="D118" s="8"/>
      <c r="E118" s="8"/>
      <c r="F118" s="8"/>
      <c r="G118" s="8"/>
    </row>
    <row r="119" ht="15.75" customHeight="1">
      <c r="B119" s="8"/>
      <c r="C119" s="8"/>
      <c r="D119" s="8"/>
      <c r="E119" s="8"/>
      <c r="F119" s="8"/>
      <c r="G119" s="8"/>
    </row>
    <row r="120" ht="15.75" customHeight="1">
      <c r="B120" s="8"/>
      <c r="C120" s="8"/>
      <c r="D120" s="8"/>
      <c r="E120" s="8"/>
      <c r="F120" s="8"/>
      <c r="G120" s="8"/>
    </row>
    <row r="121" ht="15.75" customHeight="1">
      <c r="B121" s="8"/>
      <c r="C121" s="8"/>
      <c r="D121" s="8"/>
      <c r="E121" s="8"/>
      <c r="F121" s="8"/>
      <c r="G121" s="8"/>
    </row>
    <row r="122" ht="15.75" customHeight="1">
      <c r="B122" s="8"/>
      <c r="C122" s="8"/>
      <c r="D122" s="8"/>
      <c r="E122" s="8"/>
      <c r="F122" s="8"/>
      <c r="G122" s="8"/>
    </row>
    <row r="123" ht="15.75" customHeight="1">
      <c r="B123" s="8"/>
      <c r="C123" s="8"/>
      <c r="D123" s="8"/>
      <c r="E123" s="8"/>
      <c r="F123" s="8"/>
      <c r="G123" s="8"/>
    </row>
    <row r="124" ht="15.75" customHeight="1">
      <c r="B124" s="8"/>
      <c r="C124" s="8"/>
      <c r="D124" s="8"/>
      <c r="E124" s="8"/>
      <c r="F124" s="8"/>
      <c r="G124" s="8"/>
    </row>
    <row r="125" ht="15.75" customHeight="1">
      <c r="B125" s="8"/>
      <c r="C125" s="8"/>
      <c r="D125" s="8"/>
      <c r="E125" s="8"/>
      <c r="F125" s="8"/>
      <c r="G125" s="8"/>
    </row>
    <row r="126" ht="15.75" customHeight="1">
      <c r="B126" s="8"/>
      <c r="C126" s="8"/>
      <c r="D126" s="8"/>
      <c r="E126" s="8"/>
      <c r="F126" s="8"/>
      <c r="G126" s="8"/>
    </row>
    <row r="127" ht="15.75" customHeight="1">
      <c r="B127" s="8"/>
      <c r="C127" s="8"/>
      <c r="D127" s="8"/>
      <c r="E127" s="8"/>
      <c r="F127" s="8"/>
      <c r="G127" s="8"/>
    </row>
    <row r="128" ht="15.75" customHeight="1">
      <c r="B128" s="8"/>
      <c r="C128" s="8"/>
      <c r="D128" s="8"/>
      <c r="E128" s="8"/>
      <c r="F128" s="8"/>
      <c r="G128" s="8"/>
    </row>
    <row r="129" ht="15.75" customHeight="1">
      <c r="B129" s="8"/>
      <c r="C129" s="8"/>
      <c r="D129" s="8"/>
      <c r="E129" s="8"/>
      <c r="F129" s="8"/>
      <c r="G129" s="8"/>
    </row>
    <row r="130" ht="15.75" customHeight="1">
      <c r="B130" s="8"/>
      <c r="C130" s="8"/>
      <c r="D130" s="8"/>
      <c r="E130" s="8"/>
      <c r="F130" s="8"/>
      <c r="G130" s="8"/>
    </row>
    <row r="131" ht="15.75" customHeight="1">
      <c r="B131" s="8"/>
      <c r="C131" s="8"/>
      <c r="D131" s="8"/>
      <c r="E131" s="8"/>
      <c r="F131" s="8"/>
      <c r="G131" s="8"/>
    </row>
    <row r="132" ht="15.75" customHeight="1">
      <c r="B132" s="8"/>
      <c r="C132" s="8"/>
      <c r="D132" s="8"/>
      <c r="E132" s="8"/>
      <c r="F132" s="8"/>
      <c r="G132" s="8"/>
    </row>
    <row r="133" ht="15.75" customHeight="1">
      <c r="B133" s="8"/>
      <c r="C133" s="8"/>
      <c r="D133" s="8"/>
      <c r="E133" s="8"/>
      <c r="F133" s="8"/>
      <c r="G133" s="8"/>
    </row>
    <row r="134" ht="15.75" customHeight="1">
      <c r="B134" s="8"/>
      <c r="C134" s="8"/>
      <c r="D134" s="8"/>
      <c r="E134" s="8"/>
      <c r="F134" s="8"/>
      <c r="G134" s="8"/>
    </row>
    <row r="135" ht="15.75" customHeight="1">
      <c r="B135" s="8"/>
      <c r="C135" s="8"/>
      <c r="D135" s="8"/>
      <c r="E135" s="8"/>
      <c r="F135" s="8"/>
      <c r="G135" s="8"/>
    </row>
    <row r="136" ht="15.75" customHeight="1">
      <c r="B136" s="8"/>
      <c r="C136" s="8"/>
      <c r="D136" s="8"/>
      <c r="E136" s="8"/>
      <c r="F136" s="8"/>
      <c r="G136" s="8"/>
    </row>
    <row r="137" ht="15.75" customHeight="1">
      <c r="B137" s="8"/>
      <c r="C137" s="8"/>
      <c r="D137" s="8"/>
      <c r="E137" s="8"/>
      <c r="F137" s="8"/>
      <c r="G137" s="8"/>
    </row>
    <row r="138" ht="15.75" customHeight="1">
      <c r="B138" s="8"/>
      <c r="C138" s="8"/>
      <c r="D138" s="8"/>
      <c r="E138" s="8"/>
      <c r="F138" s="8"/>
      <c r="G138" s="8"/>
    </row>
    <row r="139" ht="15.75" customHeight="1">
      <c r="B139" s="8"/>
      <c r="C139" s="8"/>
      <c r="D139" s="8"/>
      <c r="E139" s="8"/>
      <c r="F139" s="8"/>
      <c r="G139" s="8"/>
    </row>
    <row r="140" ht="15.75" customHeight="1">
      <c r="B140" s="8"/>
      <c r="C140" s="8"/>
      <c r="D140" s="8"/>
      <c r="E140" s="8"/>
      <c r="F140" s="8"/>
      <c r="G140" s="8"/>
    </row>
    <row r="141" ht="15.75" customHeight="1">
      <c r="B141" s="8"/>
      <c r="C141" s="8"/>
      <c r="D141" s="8"/>
      <c r="E141" s="8"/>
      <c r="F141" s="8"/>
      <c r="G141" s="8"/>
    </row>
    <row r="142" ht="15.75" customHeight="1">
      <c r="B142" s="8"/>
      <c r="C142" s="8"/>
      <c r="D142" s="8"/>
      <c r="E142" s="8"/>
      <c r="F142" s="8"/>
      <c r="G142" s="8"/>
    </row>
    <row r="143" ht="15.75" customHeight="1">
      <c r="B143" s="8"/>
      <c r="C143" s="8"/>
      <c r="D143" s="8"/>
      <c r="E143" s="8"/>
      <c r="F143" s="8"/>
      <c r="G143" s="8"/>
    </row>
    <row r="144" ht="15.75" customHeight="1">
      <c r="B144" s="8"/>
      <c r="C144" s="8"/>
      <c r="D144" s="8"/>
      <c r="E144" s="8"/>
      <c r="F144" s="8"/>
      <c r="G144" s="8"/>
    </row>
    <row r="145" ht="15.75" customHeight="1">
      <c r="B145" s="8"/>
      <c r="C145" s="8"/>
      <c r="D145" s="8"/>
      <c r="E145" s="8"/>
      <c r="F145" s="8"/>
      <c r="G145" s="8"/>
    </row>
    <row r="146" ht="15.75" customHeight="1">
      <c r="B146" s="8"/>
      <c r="C146" s="8"/>
      <c r="D146" s="8"/>
      <c r="E146" s="8"/>
      <c r="F146" s="8"/>
      <c r="G146" s="8"/>
    </row>
    <row r="147" ht="15.75" customHeight="1">
      <c r="B147" s="8"/>
      <c r="C147" s="8"/>
      <c r="D147" s="8"/>
      <c r="E147" s="8"/>
      <c r="F147" s="8"/>
      <c r="G147" s="8"/>
    </row>
    <row r="148" ht="15.75" customHeight="1">
      <c r="B148" s="8"/>
      <c r="C148" s="8"/>
      <c r="D148" s="8"/>
      <c r="E148" s="8"/>
      <c r="F148" s="8"/>
      <c r="G148" s="8"/>
    </row>
    <row r="149" ht="15.75" customHeight="1">
      <c r="B149" s="8"/>
      <c r="C149" s="8"/>
      <c r="D149" s="8"/>
      <c r="E149" s="8"/>
      <c r="F149" s="8"/>
      <c r="G149" s="8"/>
    </row>
    <row r="150" ht="15.75" customHeight="1">
      <c r="B150" s="8"/>
      <c r="C150" s="8"/>
      <c r="D150" s="8"/>
      <c r="E150" s="8"/>
      <c r="F150" s="8"/>
      <c r="G150" s="8"/>
    </row>
    <row r="151" ht="15.75" customHeight="1">
      <c r="B151" s="8"/>
      <c r="C151" s="8"/>
      <c r="D151" s="8"/>
      <c r="E151" s="8"/>
      <c r="F151" s="8"/>
      <c r="G151" s="8"/>
    </row>
    <row r="152" ht="15.75" customHeight="1">
      <c r="B152" s="8"/>
      <c r="C152" s="8"/>
      <c r="D152" s="8"/>
      <c r="E152" s="8"/>
      <c r="F152" s="8"/>
      <c r="G152" s="8"/>
    </row>
    <row r="153" ht="15.75" customHeight="1">
      <c r="B153" s="8"/>
      <c r="C153" s="8"/>
      <c r="D153" s="8"/>
      <c r="E153" s="8"/>
      <c r="F153" s="8"/>
      <c r="G153" s="8"/>
    </row>
    <row r="154" ht="15.75" customHeight="1">
      <c r="B154" s="8"/>
      <c r="C154" s="8"/>
      <c r="D154" s="8"/>
      <c r="E154" s="8"/>
      <c r="F154" s="8"/>
      <c r="G154" s="8"/>
    </row>
    <row r="155" ht="15.75" customHeight="1">
      <c r="B155" s="8"/>
      <c r="C155" s="8"/>
      <c r="D155" s="8"/>
      <c r="E155" s="8"/>
      <c r="F155" s="8"/>
      <c r="G155" s="8"/>
    </row>
    <row r="156" ht="15.75" customHeight="1">
      <c r="B156" s="8"/>
      <c r="C156" s="8"/>
      <c r="D156" s="8"/>
      <c r="E156" s="8"/>
      <c r="F156" s="8"/>
      <c r="G156" s="8"/>
    </row>
    <row r="157" ht="15.75" customHeight="1">
      <c r="B157" s="8"/>
      <c r="C157" s="8"/>
      <c r="D157" s="8"/>
      <c r="E157" s="8"/>
      <c r="F157" s="8"/>
      <c r="G157" s="8"/>
    </row>
    <row r="158" ht="15.75" customHeight="1">
      <c r="B158" s="8"/>
      <c r="C158" s="8"/>
      <c r="D158" s="8"/>
      <c r="E158" s="8"/>
      <c r="F158" s="8"/>
      <c r="G158" s="8"/>
    </row>
    <row r="159" ht="15.75" customHeight="1">
      <c r="B159" s="8"/>
      <c r="C159" s="8"/>
      <c r="D159" s="8"/>
      <c r="E159" s="8"/>
      <c r="F159" s="8"/>
      <c r="G159" s="8"/>
    </row>
    <row r="160" ht="15.75" customHeight="1">
      <c r="B160" s="8"/>
      <c r="C160" s="8"/>
      <c r="D160" s="8"/>
      <c r="E160" s="8"/>
      <c r="F160" s="8"/>
      <c r="G160" s="8"/>
    </row>
    <row r="161" ht="15.75" customHeight="1">
      <c r="B161" s="8"/>
      <c r="C161" s="8"/>
      <c r="D161" s="8"/>
      <c r="E161" s="8"/>
      <c r="F161" s="8"/>
      <c r="G161" s="8"/>
    </row>
    <row r="162" ht="15.75" customHeight="1">
      <c r="B162" s="8"/>
      <c r="C162" s="8"/>
      <c r="D162" s="8"/>
      <c r="E162" s="8"/>
      <c r="F162" s="8"/>
      <c r="G162" s="8"/>
    </row>
    <row r="163" ht="15.75" customHeight="1">
      <c r="B163" s="8"/>
      <c r="C163" s="8"/>
      <c r="D163" s="8"/>
      <c r="E163" s="8"/>
      <c r="F163" s="8"/>
      <c r="G163" s="8"/>
    </row>
    <row r="164" ht="15.75" customHeight="1">
      <c r="B164" s="8"/>
      <c r="C164" s="8"/>
      <c r="D164" s="8"/>
      <c r="E164" s="8"/>
      <c r="F164" s="8"/>
      <c r="G164" s="8"/>
    </row>
    <row r="165" ht="15.75" customHeight="1">
      <c r="B165" s="8"/>
      <c r="C165" s="8"/>
      <c r="D165" s="8"/>
      <c r="E165" s="8"/>
      <c r="F165" s="8"/>
      <c r="G165" s="8"/>
    </row>
    <row r="166" ht="15.75" customHeight="1">
      <c r="B166" s="8"/>
      <c r="C166" s="8"/>
      <c r="D166" s="8"/>
      <c r="E166" s="8"/>
      <c r="F166" s="8"/>
      <c r="G166" s="8"/>
    </row>
    <row r="167" ht="15.75" customHeight="1">
      <c r="B167" s="8"/>
      <c r="C167" s="8"/>
      <c r="D167" s="8"/>
      <c r="E167" s="8"/>
      <c r="F167" s="8"/>
      <c r="G167" s="8"/>
    </row>
    <row r="168" ht="15.75" customHeight="1">
      <c r="B168" s="8"/>
      <c r="C168" s="8"/>
      <c r="D168" s="8"/>
      <c r="E168" s="8"/>
      <c r="F168" s="8"/>
      <c r="G168" s="8"/>
    </row>
    <row r="169" ht="15.75" customHeight="1">
      <c r="B169" s="8"/>
      <c r="C169" s="8"/>
      <c r="D169" s="8"/>
      <c r="E169" s="8"/>
      <c r="F169" s="8"/>
      <c r="G169" s="8"/>
    </row>
    <row r="170" ht="15.75" customHeight="1">
      <c r="B170" s="8"/>
      <c r="C170" s="8"/>
      <c r="D170" s="8"/>
      <c r="E170" s="8"/>
      <c r="F170" s="8"/>
      <c r="G170" s="8"/>
    </row>
    <row r="171" ht="15.75" customHeight="1">
      <c r="B171" s="8"/>
      <c r="C171" s="8"/>
      <c r="D171" s="8"/>
      <c r="E171" s="8"/>
      <c r="F171" s="8"/>
      <c r="G171" s="8"/>
    </row>
    <row r="172" ht="15.75" customHeight="1">
      <c r="B172" s="8"/>
      <c r="C172" s="8"/>
      <c r="D172" s="8"/>
      <c r="E172" s="8"/>
      <c r="F172" s="8"/>
      <c r="G172" s="8"/>
    </row>
    <row r="173" ht="15.75" customHeight="1">
      <c r="B173" s="8"/>
      <c r="C173" s="8"/>
      <c r="D173" s="8"/>
      <c r="E173" s="8"/>
      <c r="F173" s="8"/>
      <c r="G173" s="8"/>
    </row>
    <row r="174" ht="15.75" customHeight="1">
      <c r="B174" s="8"/>
      <c r="C174" s="8"/>
      <c r="D174" s="8"/>
      <c r="E174" s="8"/>
      <c r="F174" s="8"/>
      <c r="G174" s="8"/>
    </row>
    <row r="175" ht="15.75" customHeight="1">
      <c r="B175" s="8"/>
      <c r="C175" s="8"/>
      <c r="D175" s="8"/>
      <c r="E175" s="8"/>
      <c r="F175" s="8"/>
      <c r="G175" s="8"/>
    </row>
    <row r="176" ht="15.75" customHeight="1">
      <c r="B176" s="8"/>
      <c r="C176" s="8"/>
      <c r="D176" s="8"/>
      <c r="E176" s="8"/>
      <c r="F176" s="8"/>
      <c r="G176" s="8"/>
    </row>
    <row r="177" ht="15.75" customHeight="1">
      <c r="B177" s="8"/>
      <c r="C177" s="8"/>
      <c r="D177" s="8"/>
      <c r="E177" s="8"/>
      <c r="F177" s="8"/>
      <c r="G177" s="8"/>
    </row>
    <row r="178" ht="15.75" customHeight="1">
      <c r="B178" s="8"/>
      <c r="C178" s="8"/>
      <c r="D178" s="8"/>
      <c r="E178" s="8"/>
      <c r="F178" s="8"/>
      <c r="G178" s="8"/>
    </row>
    <row r="179" ht="15.75" customHeight="1">
      <c r="B179" s="8"/>
      <c r="C179" s="8"/>
      <c r="D179" s="8"/>
      <c r="E179" s="8"/>
      <c r="F179" s="8"/>
      <c r="G179" s="8"/>
    </row>
    <row r="180" ht="15.75" customHeight="1">
      <c r="B180" s="8"/>
      <c r="C180" s="8"/>
      <c r="D180" s="8"/>
      <c r="E180" s="8"/>
      <c r="F180" s="8"/>
      <c r="G180" s="8"/>
    </row>
    <row r="181" ht="15.75" customHeight="1">
      <c r="B181" s="8"/>
      <c r="C181" s="8"/>
      <c r="D181" s="8"/>
      <c r="E181" s="8"/>
      <c r="F181" s="8"/>
      <c r="G181" s="8"/>
    </row>
    <row r="182" ht="15.75" customHeight="1">
      <c r="B182" s="8"/>
      <c r="C182" s="8"/>
      <c r="D182" s="8"/>
      <c r="E182" s="8"/>
      <c r="F182" s="8"/>
      <c r="G182" s="8"/>
    </row>
    <row r="183" ht="15.75" customHeight="1">
      <c r="B183" s="8"/>
      <c r="C183" s="8"/>
      <c r="D183" s="8"/>
      <c r="E183" s="8"/>
      <c r="F183" s="8"/>
      <c r="G183" s="8"/>
    </row>
    <row r="184" ht="15.75" customHeight="1">
      <c r="B184" s="8"/>
      <c r="C184" s="8"/>
      <c r="D184" s="8"/>
      <c r="E184" s="8"/>
      <c r="F184" s="8"/>
      <c r="G184" s="8"/>
    </row>
    <row r="185" ht="15.75" customHeight="1">
      <c r="B185" s="8"/>
      <c r="C185" s="8"/>
      <c r="D185" s="8"/>
      <c r="E185" s="8"/>
      <c r="F185" s="8"/>
      <c r="G185" s="8"/>
    </row>
    <row r="186" ht="15.75" customHeight="1">
      <c r="B186" s="8"/>
      <c r="C186" s="8"/>
      <c r="D186" s="8"/>
      <c r="E186" s="8"/>
      <c r="F186" s="8"/>
      <c r="G186" s="8"/>
    </row>
    <row r="187" ht="15.75" customHeight="1">
      <c r="B187" s="8"/>
      <c r="C187" s="8"/>
      <c r="D187" s="8"/>
      <c r="E187" s="8"/>
      <c r="F187" s="8"/>
      <c r="G187" s="8"/>
    </row>
    <row r="188" ht="15.75" customHeight="1">
      <c r="B188" s="8"/>
      <c r="C188" s="8"/>
      <c r="D188" s="8"/>
      <c r="E188" s="8"/>
      <c r="F188" s="8"/>
      <c r="G188" s="8"/>
    </row>
    <row r="189" ht="15.75" customHeight="1">
      <c r="B189" s="8"/>
      <c r="C189" s="8"/>
      <c r="D189" s="8"/>
      <c r="E189" s="8"/>
      <c r="F189" s="8"/>
      <c r="G189" s="8"/>
    </row>
    <row r="190" ht="15.75" customHeight="1">
      <c r="B190" s="8"/>
      <c r="C190" s="8"/>
      <c r="D190" s="8"/>
      <c r="E190" s="8"/>
      <c r="F190" s="8"/>
      <c r="G190" s="8"/>
    </row>
    <row r="191" ht="15.75" customHeight="1">
      <c r="B191" s="8"/>
      <c r="C191" s="8"/>
      <c r="D191" s="8"/>
      <c r="E191" s="8"/>
      <c r="F191" s="8"/>
      <c r="G191" s="8"/>
    </row>
    <row r="192" ht="15.75" customHeight="1">
      <c r="B192" s="8"/>
      <c r="C192" s="8"/>
      <c r="D192" s="8"/>
      <c r="E192" s="8"/>
      <c r="F192" s="8"/>
      <c r="G192" s="8"/>
    </row>
    <row r="193" ht="15.75" customHeight="1">
      <c r="B193" s="8"/>
      <c r="C193" s="8"/>
      <c r="D193" s="8"/>
      <c r="E193" s="8"/>
      <c r="F193" s="8"/>
      <c r="G193" s="8"/>
    </row>
    <row r="194" ht="15.75" customHeight="1">
      <c r="B194" s="8"/>
      <c r="C194" s="8"/>
      <c r="D194" s="8"/>
      <c r="E194" s="8"/>
      <c r="F194" s="8"/>
      <c r="G194" s="8"/>
    </row>
    <row r="195" ht="15.75" customHeight="1">
      <c r="B195" s="8"/>
      <c r="C195" s="8"/>
      <c r="D195" s="8"/>
      <c r="E195" s="8"/>
      <c r="F195" s="8"/>
      <c r="G195" s="8"/>
    </row>
    <row r="196" ht="15.75" customHeight="1">
      <c r="B196" s="8"/>
      <c r="C196" s="8"/>
      <c r="D196" s="8"/>
      <c r="E196" s="8"/>
      <c r="F196" s="8"/>
      <c r="G196" s="8"/>
    </row>
    <row r="197" ht="15.75" customHeight="1">
      <c r="B197" s="8"/>
      <c r="C197" s="8"/>
      <c r="D197" s="8"/>
      <c r="E197" s="8"/>
      <c r="F197" s="8"/>
      <c r="G197" s="8"/>
    </row>
    <row r="198" ht="15.75" customHeight="1">
      <c r="B198" s="8"/>
      <c r="C198" s="8"/>
      <c r="D198" s="8"/>
      <c r="E198" s="8"/>
      <c r="F198" s="8"/>
      <c r="G198" s="8"/>
    </row>
    <row r="199" ht="15.75" customHeight="1">
      <c r="B199" s="8"/>
      <c r="C199" s="8"/>
      <c r="D199" s="8"/>
      <c r="E199" s="8"/>
      <c r="F199" s="8"/>
      <c r="G199" s="8"/>
    </row>
    <row r="200" ht="15.75" customHeight="1">
      <c r="B200" s="8"/>
      <c r="C200" s="8"/>
      <c r="D200" s="8"/>
      <c r="E200" s="8"/>
      <c r="F200" s="8"/>
      <c r="G200" s="8"/>
    </row>
    <row r="201" ht="15.75" customHeight="1">
      <c r="B201" s="8"/>
      <c r="C201" s="8"/>
      <c r="D201" s="8"/>
      <c r="E201" s="8"/>
      <c r="F201" s="8"/>
      <c r="G201" s="8"/>
    </row>
    <row r="202" ht="15.75" customHeight="1">
      <c r="B202" s="8"/>
      <c r="C202" s="8"/>
      <c r="D202" s="8"/>
      <c r="E202" s="8"/>
      <c r="F202" s="8"/>
      <c r="G202" s="8"/>
    </row>
    <row r="203" ht="15.75" customHeight="1">
      <c r="B203" s="8"/>
      <c r="C203" s="8"/>
      <c r="D203" s="8"/>
      <c r="E203" s="8"/>
      <c r="F203" s="8"/>
      <c r="G203" s="8"/>
    </row>
    <row r="204" ht="15.75" customHeight="1">
      <c r="B204" s="8"/>
      <c r="C204" s="8"/>
      <c r="D204" s="8"/>
      <c r="E204" s="8"/>
      <c r="F204" s="8"/>
      <c r="G204" s="8"/>
    </row>
    <row r="205" ht="15.75" customHeight="1">
      <c r="B205" s="8"/>
      <c r="C205" s="8"/>
      <c r="D205" s="8"/>
      <c r="E205" s="8"/>
      <c r="F205" s="8"/>
      <c r="G205" s="8"/>
    </row>
    <row r="206" ht="15.75" customHeight="1">
      <c r="B206" s="8"/>
      <c r="C206" s="8"/>
      <c r="D206" s="8"/>
      <c r="E206" s="8"/>
      <c r="F206" s="8"/>
      <c r="G206" s="8"/>
    </row>
    <row r="207" ht="15.75" customHeight="1">
      <c r="B207" s="8"/>
      <c r="C207" s="8"/>
      <c r="D207" s="8"/>
      <c r="E207" s="8"/>
      <c r="F207" s="8"/>
      <c r="G207" s="8"/>
    </row>
    <row r="208" ht="15.75" customHeight="1">
      <c r="B208" s="8"/>
      <c r="C208" s="8"/>
      <c r="D208" s="8"/>
      <c r="E208" s="8"/>
      <c r="F208" s="8"/>
      <c r="G208" s="8"/>
    </row>
    <row r="209" ht="15.75" customHeight="1">
      <c r="B209" s="8"/>
      <c r="C209" s="8"/>
      <c r="D209" s="8"/>
      <c r="E209" s="8"/>
      <c r="F209" s="8"/>
      <c r="G209" s="8"/>
    </row>
    <row r="210" ht="15.75" customHeight="1">
      <c r="B210" s="8"/>
      <c r="C210" s="8"/>
      <c r="D210" s="8"/>
      <c r="E210" s="8"/>
      <c r="F210" s="8"/>
      <c r="G210" s="8"/>
    </row>
    <row r="211" ht="15.75" customHeight="1">
      <c r="B211" s="8"/>
      <c r="C211" s="8"/>
      <c r="D211" s="8"/>
      <c r="E211" s="8"/>
      <c r="F211" s="8"/>
      <c r="G211" s="8"/>
    </row>
    <row r="212" ht="15.75" customHeight="1">
      <c r="B212" s="8"/>
      <c r="C212" s="8"/>
      <c r="D212" s="8"/>
      <c r="E212" s="8"/>
      <c r="F212" s="8"/>
      <c r="G212" s="8"/>
    </row>
    <row r="213" ht="15.75" customHeight="1">
      <c r="B213" s="8"/>
      <c r="C213" s="8"/>
      <c r="D213" s="8"/>
      <c r="E213" s="8"/>
      <c r="F213" s="8"/>
      <c r="G213" s="8"/>
    </row>
    <row r="214" ht="15.75" customHeight="1">
      <c r="B214" s="8"/>
      <c r="C214" s="8"/>
      <c r="D214" s="8"/>
      <c r="E214" s="8"/>
      <c r="F214" s="8"/>
      <c r="G214" s="8"/>
    </row>
    <row r="215" ht="15.75" customHeight="1">
      <c r="B215" s="8"/>
      <c r="C215" s="8"/>
      <c r="D215" s="8"/>
      <c r="E215" s="8"/>
      <c r="F215" s="8"/>
      <c r="G215" s="8"/>
    </row>
    <row r="216" ht="15.75" customHeight="1">
      <c r="B216" s="8"/>
      <c r="C216" s="8"/>
      <c r="D216" s="8"/>
      <c r="E216" s="8"/>
      <c r="F216" s="8"/>
      <c r="G216" s="8"/>
    </row>
    <row r="217" ht="15.75" customHeight="1">
      <c r="B217" s="8"/>
      <c r="C217" s="8"/>
      <c r="D217" s="8"/>
      <c r="E217" s="8"/>
      <c r="F217" s="8"/>
      <c r="G217" s="8"/>
    </row>
    <row r="218" ht="15.75" customHeight="1">
      <c r="B218" s="8"/>
      <c r="C218" s="8"/>
      <c r="D218" s="8"/>
      <c r="E218" s="8"/>
      <c r="F218" s="8"/>
      <c r="G218" s="8"/>
    </row>
    <row r="219" ht="15.75" customHeight="1">
      <c r="B219" s="8"/>
      <c r="C219" s="8"/>
      <c r="D219" s="8"/>
      <c r="E219" s="8"/>
      <c r="F219" s="8"/>
      <c r="G219" s="8"/>
    </row>
    <row r="220" ht="15.75" customHeight="1">
      <c r="B220" s="8"/>
      <c r="C220" s="8"/>
      <c r="D220" s="8"/>
      <c r="E220" s="8"/>
      <c r="F220" s="8"/>
      <c r="G220" s="8"/>
    </row>
    <row r="221" ht="15.75" customHeight="1">
      <c r="B221" s="8"/>
      <c r="C221" s="8"/>
      <c r="D221" s="8"/>
      <c r="E221" s="8"/>
      <c r="F221" s="8"/>
      <c r="G221" s="8"/>
    </row>
    <row r="222" ht="15.75" customHeight="1">
      <c r="B222" s="8"/>
      <c r="C222" s="8"/>
      <c r="D222" s="8"/>
      <c r="E222" s="8"/>
      <c r="F222" s="8"/>
      <c r="G222" s="8"/>
    </row>
    <row r="223" ht="15.75" customHeight="1">
      <c r="B223" s="8"/>
      <c r="C223" s="8"/>
      <c r="D223" s="8"/>
      <c r="E223" s="8"/>
      <c r="F223" s="8"/>
      <c r="G223" s="8"/>
    </row>
    <row r="224" ht="15.75" customHeight="1">
      <c r="B224" s="8"/>
      <c r="C224" s="8"/>
      <c r="D224" s="8"/>
      <c r="E224" s="8"/>
      <c r="F224" s="8"/>
      <c r="G224" s="8"/>
    </row>
    <row r="225" ht="15.75" customHeight="1">
      <c r="B225" s="8"/>
      <c r="C225" s="8"/>
      <c r="D225" s="8"/>
      <c r="E225" s="8"/>
      <c r="F225" s="8"/>
      <c r="G225" s="8"/>
    </row>
    <row r="226" ht="15.75" customHeight="1">
      <c r="B226" s="8"/>
      <c r="C226" s="8"/>
      <c r="D226" s="8"/>
      <c r="E226" s="8"/>
      <c r="F226" s="8"/>
      <c r="G226" s="8"/>
    </row>
    <row r="227" ht="15.75" customHeight="1">
      <c r="B227" s="8"/>
      <c r="C227" s="8"/>
      <c r="D227" s="8"/>
      <c r="E227" s="8"/>
      <c r="F227" s="8"/>
      <c r="G227" s="8"/>
    </row>
    <row r="228" ht="15.75" customHeight="1">
      <c r="B228" s="8"/>
      <c r="C228" s="8"/>
      <c r="D228" s="8"/>
      <c r="E228" s="8"/>
      <c r="F228" s="8"/>
      <c r="G228" s="8"/>
    </row>
    <row r="229" ht="15.75" customHeight="1">
      <c r="B229" s="8"/>
      <c r="C229" s="8"/>
      <c r="D229" s="8"/>
      <c r="E229" s="8"/>
      <c r="F229" s="8"/>
      <c r="G229" s="8"/>
    </row>
    <row r="230" ht="15.75" customHeight="1">
      <c r="B230" s="8"/>
      <c r="C230" s="8"/>
      <c r="D230" s="8"/>
      <c r="E230" s="8"/>
      <c r="F230" s="8"/>
      <c r="G230" s="8"/>
    </row>
    <row r="231" ht="15.75" customHeight="1">
      <c r="B231" s="8"/>
      <c r="C231" s="8"/>
      <c r="D231" s="8"/>
      <c r="E231" s="8"/>
      <c r="F231" s="8"/>
      <c r="G231" s="8"/>
    </row>
    <row r="232" ht="15.75" customHeight="1">
      <c r="B232" s="8"/>
      <c r="C232" s="8"/>
      <c r="D232" s="8"/>
      <c r="E232" s="8"/>
      <c r="F232" s="8"/>
      <c r="G232" s="8"/>
    </row>
    <row r="233" ht="15.75" customHeight="1">
      <c r="B233" s="8"/>
      <c r="C233" s="8"/>
      <c r="D233" s="8"/>
      <c r="E233" s="8"/>
      <c r="F233" s="8"/>
      <c r="G233" s="8"/>
    </row>
    <row r="234" ht="15.75" customHeight="1">
      <c r="B234" s="8"/>
      <c r="C234" s="8"/>
      <c r="D234" s="8"/>
      <c r="E234" s="8"/>
      <c r="F234" s="8"/>
      <c r="G234" s="8"/>
    </row>
    <row r="235" ht="15.75" customHeight="1">
      <c r="B235" s="8"/>
      <c r="C235" s="8"/>
      <c r="D235" s="8"/>
      <c r="E235" s="8"/>
      <c r="F235" s="8"/>
      <c r="G235" s="8"/>
    </row>
    <row r="236" ht="15.75" customHeight="1">
      <c r="B236" s="8"/>
      <c r="C236" s="8"/>
      <c r="D236" s="8"/>
      <c r="E236" s="8"/>
      <c r="F236" s="8"/>
      <c r="G236" s="8"/>
    </row>
    <row r="237" ht="15.75" customHeight="1">
      <c r="B237" s="8"/>
      <c r="C237" s="8"/>
      <c r="D237" s="8"/>
      <c r="E237" s="8"/>
      <c r="F237" s="8"/>
      <c r="G237" s="8"/>
    </row>
    <row r="238" ht="15.75" customHeight="1">
      <c r="B238" s="8"/>
      <c r="C238" s="8"/>
      <c r="D238" s="8"/>
      <c r="E238" s="8"/>
      <c r="F238" s="8"/>
      <c r="G238" s="8"/>
    </row>
    <row r="239" ht="15.75" customHeight="1">
      <c r="B239" s="8"/>
      <c r="C239" s="8"/>
      <c r="D239" s="8"/>
      <c r="E239" s="8"/>
      <c r="F239" s="8"/>
      <c r="G239" s="8"/>
    </row>
    <row r="240" ht="15.75" customHeight="1">
      <c r="B240" s="8"/>
      <c r="C240" s="8"/>
      <c r="D240" s="8"/>
      <c r="E240" s="8"/>
      <c r="F240" s="8"/>
      <c r="G240" s="8"/>
    </row>
    <row r="241" ht="15.75" customHeight="1">
      <c r="B241" s="8"/>
      <c r="C241" s="8"/>
      <c r="D241" s="8"/>
      <c r="E241" s="8"/>
      <c r="F241" s="8"/>
      <c r="G241" s="8"/>
    </row>
    <row r="242" ht="15.75" customHeight="1">
      <c r="B242" s="8"/>
      <c r="C242" s="8"/>
      <c r="D242" s="8"/>
      <c r="E242" s="8"/>
      <c r="F242" s="8"/>
      <c r="G242" s="8"/>
    </row>
    <row r="243" ht="15.75" customHeight="1">
      <c r="B243" s="8"/>
      <c r="C243" s="8"/>
      <c r="D243" s="8"/>
      <c r="E243" s="8"/>
      <c r="F243" s="8"/>
      <c r="G243" s="8"/>
    </row>
    <row r="244" ht="15.75" customHeight="1">
      <c r="B244" s="8"/>
      <c r="C244" s="8"/>
      <c r="D244" s="8"/>
      <c r="E244" s="8"/>
      <c r="F244" s="8"/>
      <c r="G244" s="8"/>
    </row>
    <row r="245" ht="15.75" customHeight="1">
      <c r="B245" s="8"/>
      <c r="C245" s="8"/>
      <c r="D245" s="8"/>
      <c r="E245" s="8"/>
      <c r="F245" s="8"/>
      <c r="G245" s="8"/>
    </row>
    <row r="246" ht="15.75" customHeight="1">
      <c r="B246" s="8"/>
      <c r="C246" s="8"/>
      <c r="D246" s="8"/>
      <c r="E246" s="8"/>
      <c r="F246" s="8"/>
      <c r="G246" s="8"/>
    </row>
    <row r="247" ht="15.75" customHeight="1">
      <c r="B247" s="8"/>
      <c r="C247" s="8"/>
      <c r="D247" s="8"/>
      <c r="E247" s="8"/>
      <c r="F247" s="8"/>
      <c r="G247" s="8"/>
    </row>
    <row r="248" ht="15.75" customHeight="1">
      <c r="B248" s="8"/>
      <c r="C248" s="8"/>
      <c r="D248" s="8"/>
      <c r="E248" s="8"/>
      <c r="F248" s="8"/>
      <c r="G248" s="8"/>
    </row>
    <row r="249" ht="15.75" customHeight="1">
      <c r="B249" s="8"/>
      <c r="C249" s="8"/>
      <c r="D249" s="8"/>
      <c r="E249" s="8"/>
      <c r="F249" s="8"/>
      <c r="G249" s="8"/>
    </row>
    <row r="250" ht="15.75" customHeight="1">
      <c r="B250" s="8"/>
      <c r="C250" s="8"/>
      <c r="D250" s="8"/>
      <c r="E250" s="8"/>
      <c r="F250" s="8"/>
      <c r="G250" s="8"/>
    </row>
    <row r="251" ht="15.75" customHeight="1">
      <c r="B251" s="8"/>
      <c r="C251" s="8"/>
      <c r="D251" s="8"/>
      <c r="E251" s="8"/>
      <c r="F251" s="8"/>
      <c r="G251" s="8"/>
    </row>
    <row r="252" ht="15.75" customHeight="1">
      <c r="B252" s="8"/>
      <c r="C252" s="8"/>
      <c r="D252" s="8"/>
      <c r="E252" s="8"/>
      <c r="F252" s="8"/>
      <c r="G252" s="8"/>
    </row>
    <row r="253" ht="15.75" customHeight="1">
      <c r="B253" s="8"/>
      <c r="C253" s="8"/>
      <c r="D253" s="8"/>
      <c r="E253" s="8"/>
      <c r="F253" s="8"/>
      <c r="G253" s="8"/>
    </row>
    <row r="254" ht="15.75" customHeight="1">
      <c r="B254" s="8"/>
      <c r="C254" s="8"/>
      <c r="D254" s="8"/>
      <c r="E254" s="8"/>
      <c r="F254" s="8"/>
      <c r="G254" s="8"/>
    </row>
    <row r="255" ht="15.75" customHeight="1">
      <c r="B255" s="8"/>
      <c r="C255" s="8"/>
      <c r="D255" s="8"/>
      <c r="E255" s="8"/>
      <c r="F255" s="8"/>
      <c r="G255" s="8"/>
    </row>
    <row r="256" ht="15.75" customHeight="1">
      <c r="B256" s="8"/>
      <c r="C256" s="8"/>
      <c r="D256" s="8"/>
      <c r="E256" s="8"/>
      <c r="F256" s="8"/>
      <c r="G256" s="8"/>
    </row>
    <row r="257" ht="15.75" customHeight="1">
      <c r="B257" s="8"/>
      <c r="C257" s="8"/>
      <c r="D257" s="8"/>
      <c r="E257" s="8"/>
      <c r="F257" s="8"/>
      <c r="G257" s="8"/>
    </row>
    <row r="258" ht="15.75" customHeight="1">
      <c r="B258" s="8"/>
      <c r="C258" s="8"/>
      <c r="D258" s="8"/>
      <c r="E258" s="8"/>
      <c r="F258" s="8"/>
      <c r="G258" s="8"/>
    </row>
    <row r="259" ht="15.75" customHeight="1">
      <c r="B259" s="8"/>
      <c r="C259" s="8"/>
      <c r="D259" s="8"/>
      <c r="E259" s="8"/>
      <c r="F259" s="8"/>
      <c r="G259" s="8"/>
    </row>
    <row r="260" ht="15.75" customHeight="1">
      <c r="B260" s="8"/>
      <c r="C260" s="8"/>
      <c r="D260" s="8"/>
      <c r="E260" s="8"/>
      <c r="F260" s="8"/>
      <c r="G260" s="8"/>
    </row>
    <row r="261" ht="15.75" customHeight="1">
      <c r="B261" s="8"/>
      <c r="C261" s="8"/>
      <c r="D261" s="8"/>
      <c r="E261" s="8"/>
      <c r="F261" s="8"/>
      <c r="G261" s="8"/>
    </row>
    <row r="262" ht="15.75" customHeight="1">
      <c r="B262" s="8"/>
      <c r="C262" s="8"/>
      <c r="D262" s="8"/>
      <c r="E262" s="8"/>
      <c r="F262" s="8"/>
      <c r="G262" s="8"/>
    </row>
    <row r="263" ht="15.75" customHeight="1">
      <c r="B263" s="8"/>
      <c r="C263" s="8"/>
      <c r="D263" s="8"/>
      <c r="E263" s="8"/>
      <c r="F263" s="8"/>
      <c r="G263" s="8"/>
    </row>
    <row r="264" ht="15.75" customHeight="1">
      <c r="B264" s="8"/>
      <c r="C264" s="8"/>
      <c r="D264" s="8"/>
      <c r="E264" s="8"/>
      <c r="F264" s="8"/>
      <c r="G264" s="8"/>
    </row>
    <row r="265" ht="15.75" customHeight="1">
      <c r="B265" s="8"/>
      <c r="C265" s="8"/>
      <c r="D265" s="8"/>
      <c r="E265" s="8"/>
      <c r="F265" s="8"/>
      <c r="G265" s="8"/>
    </row>
    <row r="266" ht="15.75" customHeight="1">
      <c r="B266" s="8"/>
      <c r="C266" s="8"/>
      <c r="D266" s="8"/>
      <c r="E266" s="8"/>
      <c r="F266" s="8"/>
      <c r="G266" s="8"/>
    </row>
    <row r="267" ht="15.75" customHeight="1">
      <c r="B267" s="8"/>
      <c r="C267" s="8"/>
      <c r="D267" s="8"/>
      <c r="E267" s="8"/>
      <c r="F267" s="8"/>
      <c r="G267" s="8"/>
    </row>
    <row r="268" ht="15.75" customHeight="1">
      <c r="B268" s="8"/>
      <c r="C268" s="8"/>
      <c r="D268" s="8"/>
      <c r="E268" s="8"/>
      <c r="F268" s="8"/>
      <c r="G268" s="8"/>
    </row>
    <row r="269" ht="15.75" customHeight="1">
      <c r="B269" s="8"/>
      <c r="C269" s="8"/>
      <c r="D269" s="8"/>
      <c r="E269" s="8"/>
      <c r="F269" s="8"/>
      <c r="G269" s="8"/>
    </row>
    <row r="270" ht="15.75" customHeight="1">
      <c r="B270" s="8"/>
      <c r="C270" s="8"/>
      <c r="D270" s="8"/>
      <c r="E270" s="8"/>
      <c r="F270" s="8"/>
      <c r="G270" s="8"/>
    </row>
    <row r="271" ht="15.75" customHeight="1">
      <c r="B271" s="8"/>
      <c r="C271" s="8"/>
      <c r="D271" s="8"/>
      <c r="E271" s="8"/>
      <c r="F271" s="8"/>
      <c r="G271" s="8"/>
    </row>
    <row r="272" ht="15.75" customHeight="1">
      <c r="B272" s="8"/>
      <c r="C272" s="8"/>
      <c r="D272" s="8"/>
      <c r="E272" s="8"/>
      <c r="F272" s="8"/>
      <c r="G272" s="8"/>
    </row>
    <row r="273" ht="15.75" customHeight="1">
      <c r="B273" s="8"/>
      <c r="C273" s="8"/>
      <c r="D273" s="8"/>
      <c r="E273" s="8"/>
      <c r="F273" s="8"/>
      <c r="G273" s="8"/>
    </row>
    <row r="274" ht="15.75" customHeight="1">
      <c r="B274" s="8"/>
      <c r="C274" s="8"/>
      <c r="D274" s="8"/>
      <c r="E274" s="8"/>
      <c r="F274" s="8"/>
      <c r="G274" s="8"/>
    </row>
    <row r="275" ht="15.75" customHeight="1">
      <c r="B275" s="8"/>
      <c r="C275" s="8"/>
      <c r="D275" s="8"/>
      <c r="E275" s="8"/>
      <c r="F275" s="8"/>
      <c r="G275" s="8"/>
    </row>
    <row r="276" ht="15.75" customHeight="1">
      <c r="B276" s="8"/>
      <c r="C276" s="8"/>
      <c r="D276" s="8"/>
      <c r="E276" s="8"/>
      <c r="F276" s="8"/>
      <c r="G276" s="8"/>
    </row>
    <row r="277" ht="15.75" customHeight="1">
      <c r="B277" s="8"/>
      <c r="C277" s="8"/>
      <c r="D277" s="8"/>
      <c r="E277" s="8"/>
      <c r="F277" s="8"/>
      <c r="G277" s="8"/>
    </row>
    <row r="278" ht="15.75" customHeight="1">
      <c r="B278" s="8"/>
      <c r="C278" s="8"/>
      <c r="D278" s="8"/>
      <c r="E278" s="8"/>
      <c r="F278" s="8"/>
      <c r="G278" s="8"/>
    </row>
    <row r="279" ht="15.75" customHeight="1">
      <c r="B279" s="8"/>
      <c r="C279" s="8"/>
      <c r="D279" s="8"/>
      <c r="E279" s="8"/>
      <c r="F279" s="8"/>
      <c r="G279" s="8"/>
    </row>
    <row r="280" ht="15.75" customHeight="1">
      <c r="B280" s="8"/>
      <c r="C280" s="8"/>
      <c r="D280" s="8"/>
      <c r="E280" s="8"/>
      <c r="F280" s="8"/>
      <c r="G280" s="8"/>
    </row>
    <row r="281" ht="15.75" customHeight="1">
      <c r="B281" s="8"/>
      <c r="C281" s="8"/>
      <c r="D281" s="8"/>
      <c r="E281" s="8"/>
      <c r="F281" s="8"/>
      <c r="G281" s="8"/>
    </row>
    <row r="282" ht="15.75" customHeight="1">
      <c r="B282" s="8"/>
      <c r="C282" s="8"/>
      <c r="D282" s="8"/>
      <c r="E282" s="8"/>
      <c r="F282" s="8"/>
      <c r="G282" s="8"/>
    </row>
    <row r="283" ht="15.75" customHeight="1">
      <c r="B283" s="8"/>
      <c r="C283" s="8"/>
      <c r="D283" s="8"/>
      <c r="E283" s="8"/>
      <c r="F283" s="8"/>
      <c r="G283" s="8"/>
    </row>
    <row r="284" ht="15.75" customHeight="1">
      <c r="B284" s="8"/>
      <c r="C284" s="8"/>
      <c r="D284" s="8"/>
      <c r="E284" s="8"/>
      <c r="F284" s="8"/>
      <c r="G284" s="8"/>
    </row>
    <row r="285" ht="15.75" customHeight="1">
      <c r="B285" s="8"/>
      <c r="C285" s="8"/>
      <c r="D285" s="8"/>
      <c r="E285" s="8"/>
      <c r="F285" s="8"/>
      <c r="G285" s="8"/>
    </row>
    <row r="286" ht="15.75" customHeight="1">
      <c r="B286" s="8"/>
      <c r="C286" s="8"/>
      <c r="D286" s="8"/>
      <c r="E286" s="8"/>
      <c r="F286" s="8"/>
      <c r="G286" s="8"/>
    </row>
    <row r="287" ht="15.75" customHeight="1">
      <c r="B287" s="8"/>
      <c r="C287" s="8"/>
      <c r="D287" s="8"/>
      <c r="E287" s="8"/>
      <c r="F287" s="8"/>
      <c r="G287" s="8"/>
    </row>
    <row r="288" ht="15.75" customHeight="1">
      <c r="B288" s="8"/>
      <c r="C288" s="8"/>
      <c r="D288" s="8"/>
      <c r="E288" s="8"/>
      <c r="F288" s="8"/>
      <c r="G288" s="8"/>
    </row>
    <row r="289" ht="15.75" customHeight="1">
      <c r="B289" s="8"/>
      <c r="C289" s="8"/>
      <c r="D289" s="8"/>
      <c r="E289" s="8"/>
      <c r="F289" s="8"/>
      <c r="G289" s="8"/>
    </row>
    <row r="290" ht="15.75" customHeight="1">
      <c r="B290" s="8"/>
      <c r="C290" s="8"/>
      <c r="D290" s="8"/>
      <c r="E290" s="8"/>
      <c r="F290" s="8"/>
      <c r="G290" s="8"/>
    </row>
    <row r="291" ht="15.75" customHeight="1">
      <c r="B291" s="8"/>
      <c r="C291" s="8"/>
      <c r="D291" s="8"/>
      <c r="E291" s="8"/>
      <c r="F291" s="8"/>
      <c r="G291" s="8"/>
    </row>
    <row r="292" ht="15.75" customHeight="1">
      <c r="B292" s="8"/>
      <c r="C292" s="8"/>
      <c r="D292" s="8"/>
      <c r="E292" s="8"/>
      <c r="F292" s="8"/>
      <c r="G292" s="8"/>
    </row>
    <row r="293" ht="15.75" customHeight="1">
      <c r="B293" s="8"/>
      <c r="C293" s="8"/>
      <c r="D293" s="8"/>
      <c r="E293" s="8"/>
      <c r="F293" s="8"/>
      <c r="G293" s="8"/>
    </row>
    <row r="294" ht="15.75" customHeight="1">
      <c r="B294" s="8"/>
      <c r="C294" s="8"/>
      <c r="D294" s="8"/>
      <c r="E294" s="8"/>
      <c r="F294" s="8"/>
      <c r="G294" s="8"/>
    </row>
    <row r="295" ht="15.75" customHeight="1">
      <c r="B295" s="8"/>
      <c r="C295" s="8"/>
      <c r="D295" s="8"/>
      <c r="E295" s="8"/>
      <c r="F295" s="8"/>
      <c r="G295" s="8"/>
    </row>
    <row r="296" ht="15.75" customHeight="1">
      <c r="B296" s="8"/>
      <c r="C296" s="8"/>
      <c r="D296" s="8"/>
      <c r="E296" s="8"/>
      <c r="F296" s="8"/>
      <c r="G296" s="8"/>
    </row>
    <row r="297" ht="15.75" customHeight="1">
      <c r="B297" s="8"/>
      <c r="C297" s="8"/>
      <c r="D297" s="8"/>
      <c r="E297" s="8"/>
      <c r="F297" s="8"/>
      <c r="G297" s="8"/>
    </row>
    <row r="298" ht="15.75" customHeight="1">
      <c r="B298" s="8"/>
      <c r="C298" s="8"/>
      <c r="D298" s="8"/>
      <c r="E298" s="8"/>
      <c r="F298" s="8"/>
      <c r="G298" s="8"/>
    </row>
    <row r="299" ht="15.75" customHeight="1">
      <c r="B299" s="8"/>
      <c r="C299" s="8"/>
      <c r="D299" s="8"/>
      <c r="E299" s="8"/>
      <c r="F299" s="8"/>
      <c r="G299" s="8"/>
    </row>
    <row r="300" ht="15.75" customHeight="1">
      <c r="B300" s="8"/>
      <c r="C300" s="8"/>
      <c r="D300" s="8"/>
      <c r="E300" s="8"/>
      <c r="F300" s="8"/>
      <c r="G300" s="8"/>
    </row>
    <row r="301" ht="15.75" customHeight="1">
      <c r="B301" s="8"/>
      <c r="C301" s="8"/>
      <c r="D301" s="8"/>
      <c r="E301" s="8"/>
      <c r="F301" s="8"/>
      <c r="G301" s="8"/>
    </row>
    <row r="302" ht="15.75" customHeight="1">
      <c r="B302" s="8"/>
      <c r="C302" s="8"/>
      <c r="D302" s="8"/>
      <c r="E302" s="8"/>
      <c r="F302" s="8"/>
      <c r="G302" s="8"/>
    </row>
    <row r="303" ht="15.75" customHeight="1">
      <c r="B303" s="8"/>
      <c r="C303" s="8"/>
      <c r="D303" s="8"/>
      <c r="E303" s="8"/>
      <c r="F303" s="8"/>
      <c r="G303" s="8"/>
    </row>
    <row r="304" ht="15.75" customHeight="1">
      <c r="B304" s="8"/>
      <c r="C304" s="8"/>
      <c r="D304" s="8"/>
      <c r="E304" s="8"/>
      <c r="F304" s="8"/>
      <c r="G304" s="8"/>
    </row>
    <row r="305" ht="15.75" customHeight="1">
      <c r="B305" s="8"/>
      <c r="C305" s="8"/>
      <c r="D305" s="8"/>
      <c r="E305" s="8"/>
      <c r="F305" s="8"/>
      <c r="G305" s="8"/>
    </row>
    <row r="306" ht="15.75" customHeight="1">
      <c r="B306" s="8"/>
      <c r="C306" s="8"/>
      <c r="D306" s="8"/>
      <c r="E306" s="8"/>
      <c r="F306" s="8"/>
      <c r="G306" s="8"/>
    </row>
    <row r="307" ht="15.75" customHeight="1">
      <c r="B307" s="8"/>
      <c r="C307" s="8"/>
      <c r="D307" s="8"/>
      <c r="E307" s="8"/>
      <c r="F307" s="8"/>
      <c r="G307" s="8"/>
    </row>
    <row r="308" ht="15.75" customHeight="1">
      <c r="B308" s="8"/>
      <c r="C308" s="8"/>
      <c r="D308" s="8"/>
      <c r="E308" s="8"/>
      <c r="F308" s="8"/>
      <c r="G308" s="8"/>
    </row>
    <row r="309" ht="15.75" customHeight="1">
      <c r="B309" s="8"/>
      <c r="C309" s="8"/>
      <c r="D309" s="8"/>
      <c r="E309" s="8"/>
      <c r="F309" s="8"/>
      <c r="G309" s="8"/>
    </row>
    <row r="310" ht="15.75" customHeight="1">
      <c r="B310" s="8"/>
      <c r="C310" s="8"/>
      <c r="D310" s="8"/>
      <c r="E310" s="8"/>
      <c r="F310" s="8"/>
      <c r="G310" s="8"/>
    </row>
    <row r="311" ht="15.75" customHeight="1">
      <c r="B311" s="8"/>
      <c r="C311" s="8"/>
      <c r="D311" s="8"/>
      <c r="E311" s="8"/>
      <c r="F311" s="8"/>
      <c r="G311" s="8"/>
    </row>
    <row r="312" ht="15.75" customHeight="1">
      <c r="B312" s="8"/>
      <c r="C312" s="8"/>
      <c r="D312" s="8"/>
      <c r="E312" s="8"/>
      <c r="F312" s="8"/>
      <c r="G312" s="8"/>
    </row>
    <row r="313" ht="15.75" customHeight="1">
      <c r="B313" s="8"/>
      <c r="C313" s="8"/>
      <c r="D313" s="8"/>
      <c r="E313" s="8"/>
      <c r="F313" s="8"/>
      <c r="G313" s="8"/>
    </row>
    <row r="314" ht="15.75" customHeight="1">
      <c r="B314" s="8"/>
      <c r="C314" s="8"/>
      <c r="D314" s="8"/>
      <c r="E314" s="8"/>
      <c r="F314" s="8"/>
      <c r="G314" s="8"/>
    </row>
    <row r="315" ht="15.75" customHeight="1">
      <c r="B315" s="8"/>
      <c r="C315" s="8"/>
      <c r="D315" s="8"/>
      <c r="E315" s="8"/>
      <c r="F315" s="8"/>
      <c r="G315" s="8"/>
    </row>
    <row r="316" ht="15.75" customHeight="1">
      <c r="B316" s="8"/>
      <c r="C316" s="8"/>
      <c r="D316" s="8"/>
      <c r="E316" s="8"/>
      <c r="F316" s="8"/>
      <c r="G316" s="8"/>
    </row>
    <row r="317" ht="15.75" customHeight="1">
      <c r="B317" s="8"/>
      <c r="C317" s="8"/>
      <c r="D317" s="8"/>
      <c r="E317" s="8"/>
      <c r="F317" s="8"/>
      <c r="G317" s="8"/>
    </row>
    <row r="318" ht="15.75" customHeight="1">
      <c r="B318" s="8"/>
      <c r="C318" s="8"/>
      <c r="D318" s="8"/>
      <c r="E318" s="8"/>
      <c r="F318" s="8"/>
      <c r="G318" s="8"/>
    </row>
    <row r="319" ht="15.75" customHeight="1">
      <c r="B319" s="8"/>
      <c r="C319" s="8"/>
      <c r="D319" s="8"/>
      <c r="E319" s="8"/>
      <c r="F319" s="8"/>
      <c r="G319" s="8"/>
    </row>
    <row r="320" ht="15.75" customHeight="1">
      <c r="B320" s="8"/>
      <c r="C320" s="8"/>
      <c r="D320" s="8"/>
      <c r="E320" s="8"/>
      <c r="F320" s="8"/>
      <c r="G320" s="8"/>
    </row>
    <row r="321" ht="15.75" customHeight="1">
      <c r="B321" s="8"/>
      <c r="C321" s="8"/>
      <c r="D321" s="8"/>
      <c r="E321" s="8"/>
      <c r="F321" s="8"/>
      <c r="G321" s="8"/>
    </row>
    <row r="322" ht="15.75" customHeight="1">
      <c r="B322" s="8"/>
      <c r="C322" s="8"/>
      <c r="D322" s="8"/>
      <c r="E322" s="8"/>
      <c r="F322" s="8"/>
      <c r="G322" s="8"/>
    </row>
    <row r="323" ht="15.75" customHeight="1">
      <c r="B323" s="8"/>
      <c r="C323" s="8"/>
      <c r="D323" s="8"/>
      <c r="E323" s="8"/>
      <c r="F323" s="8"/>
      <c r="G323" s="8"/>
    </row>
    <row r="324" ht="15.75" customHeight="1">
      <c r="B324" s="8"/>
      <c r="C324" s="8"/>
      <c r="D324" s="8"/>
      <c r="E324" s="8"/>
      <c r="F324" s="8"/>
      <c r="G324" s="8"/>
    </row>
    <row r="325" ht="15.75" customHeight="1">
      <c r="B325" s="8"/>
      <c r="C325" s="8"/>
      <c r="D325" s="8"/>
      <c r="E325" s="8"/>
      <c r="F325" s="8"/>
      <c r="G325" s="8"/>
    </row>
    <row r="326" ht="15.75" customHeight="1">
      <c r="B326" s="8"/>
      <c r="C326" s="8"/>
      <c r="D326" s="8"/>
      <c r="E326" s="8"/>
      <c r="F326" s="8"/>
      <c r="G326" s="8"/>
    </row>
    <row r="327" ht="15.75" customHeight="1">
      <c r="B327" s="8"/>
      <c r="C327" s="8"/>
      <c r="D327" s="8"/>
      <c r="E327" s="8"/>
      <c r="F327" s="8"/>
      <c r="G327" s="8"/>
    </row>
    <row r="328" ht="15.75" customHeight="1">
      <c r="B328" s="8"/>
      <c r="C328" s="8"/>
      <c r="D328" s="8"/>
      <c r="E328" s="8"/>
      <c r="F328" s="8"/>
      <c r="G328" s="8"/>
    </row>
    <row r="329" ht="15.75" customHeight="1">
      <c r="B329" s="8"/>
      <c r="C329" s="8"/>
      <c r="D329" s="8"/>
      <c r="E329" s="8"/>
      <c r="F329" s="8"/>
      <c r="G329" s="8"/>
    </row>
    <row r="330" ht="15.75" customHeight="1">
      <c r="B330" s="8"/>
      <c r="C330" s="8"/>
      <c r="D330" s="8"/>
      <c r="E330" s="8"/>
      <c r="F330" s="8"/>
      <c r="G330" s="8"/>
    </row>
    <row r="331" ht="15.75" customHeight="1">
      <c r="B331" s="8"/>
      <c r="C331" s="8"/>
      <c r="D331" s="8"/>
      <c r="E331" s="8"/>
      <c r="F331" s="8"/>
      <c r="G331" s="8"/>
    </row>
    <row r="332" ht="15.75" customHeight="1">
      <c r="B332" s="8"/>
      <c r="C332" s="8"/>
      <c r="D332" s="8"/>
      <c r="E332" s="8"/>
      <c r="F332" s="8"/>
      <c r="G332" s="8"/>
    </row>
    <row r="333" ht="15.75" customHeight="1">
      <c r="B333" s="8"/>
      <c r="C333" s="8"/>
      <c r="D333" s="8"/>
      <c r="E333" s="8"/>
      <c r="F333" s="8"/>
      <c r="G333" s="8"/>
    </row>
    <row r="334" ht="15.75" customHeight="1">
      <c r="B334" s="8"/>
      <c r="C334" s="8"/>
      <c r="D334" s="8"/>
      <c r="E334" s="8"/>
      <c r="F334" s="8"/>
      <c r="G334" s="8"/>
    </row>
    <row r="335" ht="15.75" customHeight="1">
      <c r="B335" s="8"/>
      <c r="C335" s="8"/>
      <c r="D335" s="8"/>
      <c r="E335" s="8"/>
      <c r="F335" s="8"/>
      <c r="G335" s="8"/>
    </row>
    <row r="336" ht="15.75" customHeight="1">
      <c r="B336" s="8"/>
      <c r="C336" s="8"/>
      <c r="D336" s="8"/>
      <c r="E336" s="8"/>
      <c r="F336" s="8"/>
      <c r="G336" s="8"/>
    </row>
    <row r="337" ht="15.75" customHeight="1">
      <c r="B337" s="8"/>
      <c r="C337" s="8"/>
      <c r="D337" s="8"/>
      <c r="E337" s="8"/>
      <c r="F337" s="8"/>
      <c r="G337" s="8"/>
    </row>
    <row r="338" ht="15.75" customHeight="1">
      <c r="B338" s="8"/>
      <c r="C338" s="8"/>
      <c r="D338" s="8"/>
      <c r="E338" s="8"/>
      <c r="F338" s="8"/>
      <c r="G338" s="8"/>
    </row>
    <row r="339" ht="15.75" customHeight="1">
      <c r="B339" s="8"/>
      <c r="C339" s="8"/>
      <c r="D339" s="8"/>
      <c r="E339" s="8"/>
      <c r="F339" s="8"/>
      <c r="G339" s="8"/>
    </row>
    <row r="340" ht="15.75" customHeight="1">
      <c r="B340" s="8"/>
      <c r="C340" s="8"/>
      <c r="D340" s="8"/>
      <c r="E340" s="8"/>
      <c r="F340" s="8"/>
      <c r="G340" s="8"/>
    </row>
    <row r="341" ht="15.75" customHeight="1">
      <c r="B341" s="8"/>
      <c r="C341" s="8"/>
      <c r="D341" s="8"/>
      <c r="E341" s="8"/>
      <c r="F341" s="8"/>
      <c r="G341" s="8"/>
    </row>
    <row r="342" ht="15.75" customHeight="1">
      <c r="B342" s="8"/>
      <c r="C342" s="8"/>
      <c r="D342" s="8"/>
      <c r="E342" s="8"/>
      <c r="F342" s="8"/>
      <c r="G342" s="8"/>
    </row>
    <row r="343" ht="15.75" customHeight="1">
      <c r="B343" s="8"/>
      <c r="C343" s="8"/>
      <c r="D343" s="8"/>
      <c r="E343" s="8"/>
      <c r="F343" s="8"/>
      <c r="G343" s="8"/>
    </row>
    <row r="344" ht="15.75" customHeight="1">
      <c r="B344" s="8"/>
      <c r="C344" s="8"/>
      <c r="D344" s="8"/>
      <c r="E344" s="8"/>
      <c r="F344" s="8"/>
      <c r="G344" s="8"/>
    </row>
    <row r="345" ht="15.75" customHeight="1">
      <c r="B345" s="8"/>
      <c r="C345" s="8"/>
      <c r="D345" s="8"/>
      <c r="E345" s="8"/>
      <c r="F345" s="8"/>
      <c r="G345" s="8"/>
    </row>
    <row r="346" ht="15.75" customHeight="1">
      <c r="B346" s="8"/>
      <c r="C346" s="8"/>
      <c r="D346" s="8"/>
      <c r="E346" s="8"/>
      <c r="F346" s="8"/>
      <c r="G346" s="8"/>
    </row>
    <row r="347" ht="15.75" customHeight="1">
      <c r="B347" s="8"/>
      <c r="C347" s="8"/>
      <c r="D347" s="8"/>
      <c r="E347" s="8"/>
      <c r="F347" s="8"/>
      <c r="G347" s="8"/>
    </row>
    <row r="348" ht="15.75" customHeight="1">
      <c r="B348" s="8"/>
      <c r="C348" s="8"/>
      <c r="D348" s="8"/>
      <c r="E348" s="8"/>
      <c r="F348" s="8"/>
      <c r="G348" s="8"/>
    </row>
    <row r="349" ht="15.75" customHeight="1">
      <c r="B349" s="8"/>
      <c r="C349" s="8"/>
      <c r="D349" s="8"/>
      <c r="E349" s="8"/>
      <c r="F349" s="8"/>
      <c r="G349" s="8"/>
    </row>
    <row r="350" ht="15.75" customHeight="1">
      <c r="B350" s="8"/>
      <c r="C350" s="8"/>
      <c r="D350" s="8"/>
      <c r="E350" s="8"/>
      <c r="F350" s="8"/>
      <c r="G350" s="8"/>
    </row>
    <row r="351" ht="15.75" customHeight="1">
      <c r="B351" s="8"/>
      <c r="C351" s="8"/>
      <c r="D351" s="8"/>
      <c r="E351" s="8"/>
      <c r="F351" s="8"/>
      <c r="G351" s="8"/>
    </row>
    <row r="352" ht="15.75" customHeight="1">
      <c r="B352" s="8"/>
      <c r="C352" s="8"/>
      <c r="D352" s="8"/>
      <c r="E352" s="8"/>
      <c r="F352" s="8"/>
      <c r="G352" s="8"/>
    </row>
    <row r="353" ht="15.75" customHeight="1">
      <c r="B353" s="8"/>
      <c r="C353" s="8"/>
      <c r="D353" s="8"/>
      <c r="E353" s="8"/>
      <c r="F353" s="8"/>
      <c r="G353" s="8"/>
    </row>
    <row r="354" ht="15.75" customHeight="1">
      <c r="B354" s="8"/>
      <c r="C354" s="8"/>
      <c r="D354" s="8"/>
      <c r="E354" s="8"/>
      <c r="F354" s="8"/>
      <c r="G354" s="8"/>
    </row>
    <row r="355" ht="15.75" customHeight="1">
      <c r="B355" s="8"/>
      <c r="C355" s="8"/>
      <c r="D355" s="8"/>
      <c r="E355" s="8"/>
      <c r="F355" s="8"/>
      <c r="G355" s="8"/>
    </row>
    <row r="356" ht="15.75" customHeight="1">
      <c r="B356" s="8"/>
      <c r="C356" s="8"/>
      <c r="D356" s="8"/>
      <c r="E356" s="8"/>
      <c r="F356" s="8"/>
      <c r="G356" s="8"/>
    </row>
    <row r="357" ht="15.75" customHeight="1">
      <c r="B357" s="8"/>
      <c r="C357" s="8"/>
      <c r="D357" s="8"/>
      <c r="E357" s="8"/>
      <c r="F357" s="8"/>
      <c r="G357" s="8"/>
    </row>
    <row r="358" ht="15.75" customHeight="1">
      <c r="B358" s="8"/>
      <c r="C358" s="8"/>
      <c r="D358" s="8"/>
      <c r="E358" s="8"/>
      <c r="F358" s="8"/>
      <c r="G358" s="8"/>
    </row>
    <row r="359" ht="15.75" customHeight="1">
      <c r="B359" s="8"/>
      <c r="C359" s="8"/>
      <c r="D359" s="8"/>
      <c r="E359" s="8"/>
      <c r="F359" s="8"/>
      <c r="G359" s="8"/>
    </row>
    <row r="360" ht="15.75" customHeight="1">
      <c r="B360" s="8"/>
      <c r="C360" s="8"/>
      <c r="D360" s="8"/>
      <c r="E360" s="8"/>
      <c r="F360" s="8"/>
      <c r="G360" s="8"/>
    </row>
    <row r="361" ht="15.75" customHeight="1">
      <c r="B361" s="8"/>
      <c r="C361" s="8"/>
      <c r="D361" s="8"/>
      <c r="E361" s="8"/>
      <c r="F361" s="8"/>
      <c r="G361" s="8"/>
    </row>
    <row r="362" ht="15.75" customHeight="1">
      <c r="B362" s="8"/>
      <c r="C362" s="8"/>
      <c r="D362" s="8"/>
      <c r="E362" s="8"/>
      <c r="F362" s="8"/>
      <c r="G362" s="8"/>
    </row>
    <row r="363" ht="15.75" customHeight="1">
      <c r="B363" s="8"/>
      <c r="C363" s="8"/>
      <c r="D363" s="8"/>
      <c r="E363" s="8"/>
      <c r="F363" s="8"/>
      <c r="G363" s="8"/>
    </row>
    <row r="364" ht="15.75" customHeight="1">
      <c r="B364" s="8"/>
      <c r="C364" s="8"/>
      <c r="D364" s="8"/>
      <c r="E364" s="8"/>
      <c r="F364" s="8"/>
      <c r="G364" s="8"/>
    </row>
    <row r="365" ht="15.75" customHeight="1">
      <c r="B365" s="8"/>
      <c r="C365" s="8"/>
      <c r="D365" s="8"/>
      <c r="E365" s="8"/>
      <c r="F365" s="8"/>
      <c r="G365" s="8"/>
    </row>
    <row r="366" ht="15.75" customHeight="1">
      <c r="B366" s="8"/>
      <c r="C366" s="8"/>
      <c r="D366" s="8"/>
      <c r="E366" s="8"/>
      <c r="F366" s="8"/>
      <c r="G366" s="8"/>
    </row>
    <row r="367" ht="15.75" customHeight="1">
      <c r="B367" s="8"/>
      <c r="C367" s="8"/>
      <c r="D367" s="8"/>
      <c r="E367" s="8"/>
      <c r="F367" s="8"/>
      <c r="G367" s="8"/>
    </row>
    <row r="368" ht="15.75" customHeight="1">
      <c r="B368" s="8"/>
      <c r="C368" s="8"/>
      <c r="D368" s="8"/>
      <c r="E368" s="8"/>
      <c r="F368" s="8"/>
      <c r="G368" s="8"/>
    </row>
    <row r="369" ht="15.75" customHeight="1">
      <c r="B369" s="8"/>
      <c r="C369" s="8"/>
      <c r="D369" s="8"/>
      <c r="E369" s="8"/>
      <c r="F369" s="8"/>
      <c r="G369" s="8"/>
    </row>
    <row r="370" ht="15.75" customHeight="1">
      <c r="B370" s="8"/>
      <c r="C370" s="8"/>
      <c r="D370" s="8"/>
      <c r="E370" s="8"/>
      <c r="F370" s="8"/>
      <c r="G370" s="8"/>
    </row>
    <row r="371" ht="15.75" customHeight="1">
      <c r="B371" s="8"/>
      <c r="C371" s="8"/>
      <c r="D371" s="8"/>
      <c r="E371" s="8"/>
      <c r="F371" s="8"/>
      <c r="G371" s="8"/>
    </row>
    <row r="372" ht="15.75" customHeight="1">
      <c r="B372" s="8"/>
      <c r="C372" s="8"/>
      <c r="D372" s="8"/>
      <c r="E372" s="8"/>
      <c r="F372" s="8"/>
      <c r="G372" s="8"/>
    </row>
    <row r="373" ht="15.75" customHeight="1">
      <c r="B373" s="8"/>
      <c r="C373" s="8"/>
      <c r="D373" s="8"/>
      <c r="E373" s="8"/>
      <c r="F373" s="8"/>
      <c r="G373" s="8"/>
    </row>
    <row r="374" ht="15.75" customHeight="1">
      <c r="B374" s="8"/>
      <c r="C374" s="8"/>
      <c r="D374" s="8"/>
      <c r="E374" s="8"/>
      <c r="F374" s="8"/>
      <c r="G374" s="8"/>
    </row>
    <row r="375" ht="15.75" customHeight="1">
      <c r="B375" s="8"/>
      <c r="C375" s="8"/>
      <c r="D375" s="8"/>
      <c r="E375" s="8"/>
      <c r="F375" s="8"/>
      <c r="G375" s="8"/>
    </row>
    <row r="376" ht="15.75" customHeight="1">
      <c r="B376" s="8"/>
      <c r="C376" s="8"/>
      <c r="D376" s="8"/>
      <c r="E376" s="8"/>
      <c r="F376" s="8"/>
      <c r="G376" s="8"/>
    </row>
    <row r="377" ht="15.75" customHeight="1">
      <c r="B377" s="8"/>
      <c r="C377" s="8"/>
      <c r="D377" s="8"/>
      <c r="E377" s="8"/>
      <c r="F377" s="8"/>
      <c r="G377" s="8"/>
    </row>
    <row r="378" ht="15.75" customHeight="1">
      <c r="B378" s="8"/>
      <c r="C378" s="8"/>
      <c r="D378" s="8"/>
      <c r="E378" s="8"/>
      <c r="F378" s="8"/>
      <c r="G378" s="8"/>
    </row>
    <row r="379" ht="15.75" customHeight="1">
      <c r="B379" s="8"/>
      <c r="C379" s="8"/>
      <c r="D379" s="8"/>
      <c r="E379" s="8"/>
      <c r="F379" s="8"/>
      <c r="G379" s="8"/>
    </row>
    <row r="380" ht="15.75" customHeight="1">
      <c r="B380" s="8"/>
      <c r="C380" s="8"/>
      <c r="D380" s="8"/>
      <c r="E380" s="8"/>
      <c r="F380" s="8"/>
      <c r="G380" s="8"/>
    </row>
    <row r="381" ht="15.75" customHeight="1">
      <c r="B381" s="8"/>
      <c r="C381" s="8"/>
      <c r="D381" s="8"/>
      <c r="E381" s="8"/>
      <c r="F381" s="8"/>
      <c r="G381" s="8"/>
    </row>
    <row r="382" ht="15.75" customHeight="1">
      <c r="B382" s="8"/>
      <c r="C382" s="8"/>
      <c r="D382" s="8"/>
      <c r="E382" s="8"/>
      <c r="F382" s="8"/>
      <c r="G382" s="8"/>
    </row>
    <row r="383" ht="15.75" customHeight="1">
      <c r="B383" s="8"/>
      <c r="C383" s="8"/>
      <c r="D383" s="8"/>
      <c r="E383" s="8"/>
      <c r="F383" s="8"/>
      <c r="G383" s="8"/>
    </row>
    <row r="384" ht="15.75" customHeight="1">
      <c r="B384" s="8"/>
      <c r="C384" s="8"/>
      <c r="D384" s="8"/>
      <c r="E384" s="8"/>
      <c r="F384" s="8"/>
      <c r="G384" s="8"/>
    </row>
    <row r="385" ht="15.75" customHeight="1">
      <c r="B385" s="8"/>
      <c r="C385" s="8"/>
      <c r="D385" s="8"/>
      <c r="E385" s="8"/>
      <c r="F385" s="8"/>
      <c r="G385" s="8"/>
    </row>
    <row r="386" ht="15.75" customHeight="1">
      <c r="B386" s="8"/>
      <c r="C386" s="8"/>
      <c r="D386" s="8"/>
      <c r="E386" s="8"/>
      <c r="F386" s="8"/>
      <c r="G386" s="8"/>
    </row>
    <row r="387" ht="15.75" customHeight="1">
      <c r="B387" s="8"/>
      <c r="C387" s="8"/>
      <c r="D387" s="8"/>
      <c r="E387" s="8"/>
      <c r="F387" s="8"/>
      <c r="G387" s="8"/>
    </row>
    <row r="388" ht="15.75" customHeight="1">
      <c r="B388" s="8"/>
      <c r="C388" s="8"/>
      <c r="D388" s="8"/>
      <c r="E388" s="8"/>
      <c r="F388" s="8"/>
      <c r="G388" s="8"/>
    </row>
    <row r="389" ht="15.75" customHeight="1">
      <c r="B389" s="8"/>
      <c r="C389" s="8"/>
      <c r="D389" s="8"/>
      <c r="E389" s="8"/>
      <c r="F389" s="8"/>
      <c r="G389" s="8"/>
    </row>
    <row r="390" ht="15.75" customHeight="1">
      <c r="B390" s="8"/>
      <c r="C390" s="8"/>
      <c r="D390" s="8"/>
      <c r="E390" s="8"/>
      <c r="F390" s="8"/>
      <c r="G390" s="8"/>
    </row>
    <row r="391" ht="15.75" customHeight="1">
      <c r="B391" s="8"/>
      <c r="C391" s="8"/>
      <c r="D391" s="8"/>
      <c r="E391" s="8"/>
      <c r="F391" s="8"/>
      <c r="G391" s="8"/>
    </row>
    <row r="392" ht="15.75" customHeight="1">
      <c r="B392" s="8"/>
      <c r="C392" s="8"/>
      <c r="D392" s="8"/>
      <c r="E392" s="8"/>
      <c r="F392" s="8"/>
      <c r="G392" s="8"/>
    </row>
    <row r="393" ht="15.75" customHeight="1">
      <c r="B393" s="8"/>
      <c r="C393" s="8"/>
      <c r="D393" s="8"/>
      <c r="E393" s="8"/>
      <c r="F393" s="8"/>
      <c r="G393" s="8"/>
    </row>
    <row r="394" ht="15.75" customHeight="1">
      <c r="B394" s="8"/>
      <c r="C394" s="8"/>
      <c r="D394" s="8"/>
      <c r="E394" s="8"/>
      <c r="F394" s="8"/>
      <c r="G394" s="8"/>
    </row>
    <row r="395" ht="15.75" customHeight="1">
      <c r="B395" s="8"/>
      <c r="C395" s="8"/>
      <c r="D395" s="8"/>
      <c r="E395" s="8"/>
      <c r="F395" s="8"/>
      <c r="G395" s="8"/>
    </row>
    <row r="396" ht="15.75" customHeight="1">
      <c r="B396" s="8"/>
      <c r="C396" s="8"/>
      <c r="D396" s="8"/>
      <c r="E396" s="8"/>
      <c r="F396" s="8"/>
      <c r="G396" s="8"/>
    </row>
    <row r="397" ht="15.75" customHeight="1">
      <c r="B397" s="8"/>
      <c r="C397" s="8"/>
      <c r="D397" s="8"/>
      <c r="E397" s="8"/>
      <c r="F397" s="8"/>
      <c r="G397" s="8"/>
    </row>
    <row r="398" ht="15.75" customHeight="1">
      <c r="B398" s="8"/>
      <c r="C398" s="8"/>
      <c r="D398" s="8"/>
      <c r="E398" s="8"/>
      <c r="F398" s="8"/>
      <c r="G398" s="8"/>
    </row>
    <row r="399" ht="15.75" customHeight="1">
      <c r="B399" s="8"/>
      <c r="C399" s="8"/>
      <c r="D399" s="8"/>
      <c r="E399" s="8"/>
      <c r="F399" s="8"/>
      <c r="G399" s="8"/>
    </row>
    <row r="400" ht="15.75" customHeight="1">
      <c r="B400" s="8"/>
      <c r="C400" s="8"/>
      <c r="D400" s="8"/>
      <c r="E400" s="8"/>
      <c r="F400" s="8"/>
      <c r="G400" s="8"/>
    </row>
    <row r="401" ht="15.75" customHeight="1">
      <c r="B401" s="8"/>
      <c r="C401" s="8"/>
      <c r="D401" s="8"/>
      <c r="E401" s="8"/>
      <c r="F401" s="8"/>
      <c r="G401" s="8"/>
    </row>
    <row r="402" ht="15.75" customHeight="1">
      <c r="B402" s="8"/>
      <c r="C402" s="8"/>
      <c r="D402" s="8"/>
      <c r="E402" s="8"/>
      <c r="F402" s="8"/>
      <c r="G402" s="8"/>
    </row>
    <row r="403" ht="15.75" customHeight="1">
      <c r="B403" s="8"/>
      <c r="C403" s="8"/>
      <c r="D403" s="8"/>
      <c r="E403" s="8"/>
      <c r="F403" s="8"/>
      <c r="G403" s="8"/>
    </row>
    <row r="404" ht="15.75" customHeight="1">
      <c r="B404" s="8"/>
      <c r="C404" s="8"/>
      <c r="D404" s="8"/>
      <c r="E404" s="8"/>
      <c r="F404" s="8"/>
      <c r="G404" s="8"/>
    </row>
    <row r="405" ht="15.75" customHeight="1">
      <c r="B405" s="8"/>
      <c r="C405" s="8"/>
      <c r="D405" s="8"/>
      <c r="E405" s="8"/>
      <c r="F405" s="8"/>
      <c r="G405" s="8"/>
    </row>
    <row r="406" ht="15.75" customHeight="1">
      <c r="B406" s="8"/>
      <c r="C406" s="8"/>
      <c r="D406" s="8"/>
      <c r="E406" s="8"/>
      <c r="F406" s="8"/>
      <c r="G406" s="8"/>
    </row>
    <row r="407" ht="15.75" customHeight="1">
      <c r="B407" s="8"/>
      <c r="C407" s="8"/>
      <c r="D407" s="8"/>
      <c r="E407" s="8"/>
      <c r="F407" s="8"/>
      <c r="G407" s="8"/>
    </row>
    <row r="408" ht="15.75" customHeight="1">
      <c r="B408" s="8"/>
      <c r="C408" s="8"/>
      <c r="D408" s="8"/>
      <c r="E408" s="8"/>
      <c r="F408" s="8"/>
      <c r="G408" s="8"/>
    </row>
    <row r="409" ht="15.75" customHeight="1">
      <c r="B409" s="8"/>
      <c r="C409" s="8"/>
      <c r="D409" s="8"/>
      <c r="E409" s="8"/>
      <c r="F409" s="8"/>
      <c r="G409" s="8"/>
    </row>
    <row r="410" ht="15.75" customHeight="1">
      <c r="B410" s="8"/>
      <c r="C410" s="8"/>
      <c r="D410" s="8"/>
      <c r="E410" s="8"/>
      <c r="F410" s="8"/>
      <c r="G410" s="8"/>
    </row>
    <row r="411" ht="15.75" customHeight="1">
      <c r="B411" s="8"/>
      <c r="C411" s="8"/>
      <c r="D411" s="8"/>
      <c r="E411" s="8"/>
      <c r="F411" s="8"/>
      <c r="G411" s="8"/>
    </row>
    <row r="412" ht="15.75" customHeight="1">
      <c r="B412" s="8"/>
      <c r="C412" s="8"/>
      <c r="D412" s="8"/>
      <c r="E412" s="8"/>
      <c r="F412" s="8"/>
      <c r="G412" s="8"/>
    </row>
    <row r="413" ht="15.75" customHeight="1">
      <c r="B413" s="8"/>
      <c r="C413" s="8"/>
      <c r="D413" s="8"/>
      <c r="E413" s="8"/>
      <c r="F413" s="8"/>
      <c r="G413" s="8"/>
    </row>
    <row r="414" ht="15.75" customHeight="1">
      <c r="B414" s="8"/>
      <c r="C414" s="8"/>
      <c r="D414" s="8"/>
      <c r="E414" s="8"/>
      <c r="F414" s="8"/>
      <c r="G414" s="8"/>
    </row>
    <row r="415" ht="15.75" customHeight="1">
      <c r="B415" s="8"/>
      <c r="C415" s="8"/>
      <c r="D415" s="8"/>
      <c r="E415" s="8"/>
      <c r="F415" s="8"/>
      <c r="G415" s="8"/>
    </row>
    <row r="416" ht="15.75" customHeight="1">
      <c r="B416" s="8"/>
      <c r="C416" s="8"/>
      <c r="D416" s="8"/>
      <c r="E416" s="8"/>
      <c r="F416" s="8"/>
      <c r="G416" s="8"/>
    </row>
    <row r="417" ht="15.75" customHeight="1">
      <c r="B417" s="8"/>
      <c r="C417" s="8"/>
      <c r="D417" s="8"/>
      <c r="E417" s="8"/>
      <c r="F417" s="8"/>
      <c r="G417" s="8"/>
    </row>
    <row r="418" ht="15.75" customHeight="1">
      <c r="B418" s="8"/>
      <c r="C418" s="8"/>
      <c r="D418" s="8"/>
      <c r="E418" s="8"/>
      <c r="F418" s="8"/>
      <c r="G418" s="8"/>
    </row>
    <row r="419" ht="15.75" customHeight="1">
      <c r="B419" s="8"/>
      <c r="C419" s="8"/>
      <c r="D419" s="8"/>
      <c r="E419" s="8"/>
      <c r="F419" s="8"/>
      <c r="G419" s="8"/>
    </row>
    <row r="420" ht="15.75" customHeight="1">
      <c r="B420" s="8"/>
      <c r="C420" s="8"/>
      <c r="D420" s="8"/>
      <c r="E420" s="8"/>
      <c r="F420" s="8"/>
      <c r="G420" s="8"/>
    </row>
    <row r="421" ht="15.75" customHeight="1">
      <c r="B421" s="8"/>
      <c r="C421" s="8"/>
      <c r="D421" s="8"/>
      <c r="E421" s="8"/>
      <c r="F421" s="8"/>
      <c r="G421" s="8"/>
    </row>
    <row r="422" ht="15.75" customHeight="1">
      <c r="B422" s="8"/>
      <c r="C422" s="8"/>
      <c r="D422" s="8"/>
      <c r="E422" s="8"/>
      <c r="F422" s="8"/>
      <c r="G422" s="8"/>
    </row>
    <row r="423" ht="15.75" customHeight="1">
      <c r="B423" s="8"/>
      <c r="C423" s="8"/>
      <c r="D423" s="8"/>
      <c r="E423" s="8"/>
      <c r="F423" s="8"/>
      <c r="G423" s="8"/>
    </row>
    <row r="424" ht="15.75" customHeight="1">
      <c r="B424" s="8"/>
      <c r="C424" s="8"/>
      <c r="D424" s="8"/>
      <c r="E424" s="8"/>
      <c r="F424" s="8"/>
      <c r="G424" s="8"/>
    </row>
    <row r="425" ht="15.75" customHeight="1">
      <c r="B425" s="8"/>
      <c r="C425" s="8"/>
      <c r="D425" s="8"/>
      <c r="E425" s="8"/>
      <c r="F425" s="8"/>
      <c r="G425" s="8"/>
    </row>
    <row r="426" ht="15.75" customHeight="1">
      <c r="B426" s="8"/>
      <c r="C426" s="8"/>
      <c r="D426" s="8"/>
      <c r="E426" s="8"/>
      <c r="F426" s="8"/>
      <c r="G426" s="8"/>
    </row>
    <row r="427" ht="15.75" customHeight="1">
      <c r="B427" s="8"/>
      <c r="C427" s="8"/>
      <c r="D427" s="8"/>
      <c r="E427" s="8"/>
      <c r="F427" s="8"/>
      <c r="G427" s="8"/>
    </row>
    <row r="428" ht="15.75" customHeight="1">
      <c r="B428" s="8"/>
      <c r="C428" s="8"/>
      <c r="D428" s="8"/>
      <c r="E428" s="8"/>
      <c r="F428" s="8"/>
      <c r="G428" s="8"/>
    </row>
    <row r="429" ht="15.75" customHeight="1">
      <c r="B429" s="8"/>
      <c r="C429" s="8"/>
      <c r="D429" s="8"/>
      <c r="E429" s="8"/>
      <c r="F429" s="8"/>
      <c r="G429" s="8"/>
    </row>
    <row r="430" ht="15.75" customHeight="1">
      <c r="B430" s="8"/>
      <c r="C430" s="8"/>
      <c r="D430" s="8"/>
      <c r="E430" s="8"/>
      <c r="F430" s="8"/>
      <c r="G430" s="8"/>
    </row>
    <row r="431" ht="15.75" customHeight="1">
      <c r="B431" s="8"/>
      <c r="C431" s="8"/>
      <c r="D431" s="8"/>
      <c r="E431" s="8"/>
      <c r="F431" s="8"/>
      <c r="G431" s="8"/>
    </row>
    <row r="432" ht="15.75" customHeight="1">
      <c r="B432" s="8"/>
      <c r="C432" s="8"/>
      <c r="D432" s="8"/>
      <c r="E432" s="8"/>
      <c r="F432" s="8"/>
      <c r="G432" s="8"/>
    </row>
    <row r="433" ht="15.75" customHeight="1">
      <c r="B433" s="8"/>
      <c r="C433" s="8"/>
      <c r="D433" s="8"/>
      <c r="E433" s="8"/>
      <c r="F433" s="8"/>
      <c r="G433" s="8"/>
    </row>
    <row r="434" ht="15.75" customHeight="1">
      <c r="B434" s="8"/>
      <c r="C434" s="8"/>
      <c r="D434" s="8"/>
      <c r="E434" s="8"/>
      <c r="F434" s="8"/>
      <c r="G434" s="8"/>
    </row>
    <row r="435" ht="15.75" customHeight="1">
      <c r="B435" s="8"/>
      <c r="C435" s="8"/>
      <c r="D435" s="8"/>
      <c r="E435" s="8"/>
      <c r="F435" s="8"/>
      <c r="G435" s="8"/>
    </row>
    <row r="436" ht="15.75" customHeight="1">
      <c r="B436" s="8"/>
      <c r="C436" s="8"/>
      <c r="D436" s="8"/>
      <c r="E436" s="8"/>
      <c r="F436" s="8"/>
      <c r="G436" s="8"/>
    </row>
    <row r="437" ht="15.75" customHeight="1">
      <c r="B437" s="8"/>
      <c r="C437" s="8"/>
      <c r="D437" s="8"/>
      <c r="E437" s="8"/>
      <c r="F437" s="8"/>
      <c r="G437" s="8"/>
    </row>
    <row r="438" ht="15.75" customHeight="1">
      <c r="B438" s="8"/>
      <c r="C438" s="8"/>
      <c r="D438" s="8"/>
      <c r="E438" s="8"/>
      <c r="F438" s="8"/>
      <c r="G438" s="8"/>
    </row>
    <row r="439" ht="15.75" customHeight="1">
      <c r="B439" s="8"/>
      <c r="C439" s="8"/>
      <c r="D439" s="8"/>
      <c r="E439" s="8"/>
      <c r="F439" s="8"/>
      <c r="G439" s="8"/>
    </row>
    <row r="440" ht="15.75" customHeight="1">
      <c r="B440" s="8"/>
      <c r="C440" s="8"/>
      <c r="D440" s="8"/>
      <c r="E440" s="8"/>
      <c r="F440" s="8"/>
      <c r="G440" s="8"/>
    </row>
    <row r="441" ht="15.75" customHeight="1">
      <c r="B441" s="8"/>
      <c r="C441" s="8"/>
      <c r="D441" s="8"/>
      <c r="E441" s="8"/>
      <c r="F441" s="8"/>
      <c r="G441" s="8"/>
    </row>
    <row r="442" ht="15.75" customHeight="1">
      <c r="B442" s="8"/>
      <c r="C442" s="8"/>
      <c r="D442" s="8"/>
      <c r="E442" s="8"/>
      <c r="F442" s="8"/>
      <c r="G442" s="8"/>
    </row>
    <row r="443" ht="15.75" customHeight="1">
      <c r="B443" s="8"/>
      <c r="C443" s="8"/>
      <c r="D443" s="8"/>
      <c r="E443" s="8"/>
      <c r="F443" s="8"/>
      <c r="G443" s="8"/>
    </row>
    <row r="444" ht="15.75" customHeight="1">
      <c r="B444" s="8"/>
      <c r="C444" s="8"/>
      <c r="D444" s="8"/>
      <c r="E444" s="8"/>
      <c r="F444" s="8"/>
      <c r="G444" s="8"/>
    </row>
    <row r="445" ht="15.75" customHeight="1">
      <c r="B445" s="8"/>
      <c r="C445" s="8"/>
      <c r="D445" s="8"/>
      <c r="E445" s="8"/>
      <c r="F445" s="8"/>
      <c r="G445" s="8"/>
    </row>
    <row r="446" ht="15.75" customHeight="1">
      <c r="B446" s="8"/>
      <c r="C446" s="8"/>
      <c r="D446" s="8"/>
      <c r="E446" s="8"/>
      <c r="F446" s="8"/>
      <c r="G446" s="8"/>
    </row>
    <row r="447" ht="15.75" customHeight="1">
      <c r="B447" s="8"/>
      <c r="C447" s="8"/>
      <c r="D447" s="8"/>
      <c r="E447" s="8"/>
      <c r="F447" s="8"/>
      <c r="G447" s="8"/>
    </row>
    <row r="448" ht="15.75" customHeight="1">
      <c r="B448" s="8"/>
      <c r="C448" s="8"/>
      <c r="D448" s="8"/>
      <c r="E448" s="8"/>
      <c r="F448" s="8"/>
      <c r="G448" s="8"/>
    </row>
    <row r="449" ht="15.75" customHeight="1">
      <c r="B449" s="8"/>
      <c r="C449" s="8"/>
      <c r="D449" s="8"/>
      <c r="E449" s="8"/>
      <c r="F449" s="8"/>
      <c r="G449" s="8"/>
    </row>
    <row r="450" ht="15.75" customHeight="1">
      <c r="B450" s="8"/>
      <c r="C450" s="8"/>
      <c r="D450" s="8"/>
      <c r="E450" s="8"/>
      <c r="F450" s="8"/>
      <c r="G450" s="8"/>
    </row>
    <row r="451" ht="15.75" customHeight="1">
      <c r="B451" s="8"/>
      <c r="C451" s="8"/>
      <c r="D451" s="8"/>
      <c r="E451" s="8"/>
      <c r="F451" s="8"/>
      <c r="G451" s="8"/>
    </row>
    <row r="452" ht="15.75" customHeight="1">
      <c r="B452" s="8"/>
      <c r="C452" s="8"/>
      <c r="D452" s="8"/>
      <c r="E452" s="8"/>
      <c r="F452" s="8"/>
      <c r="G452" s="8"/>
    </row>
    <row r="453" ht="15.75" customHeight="1">
      <c r="B453" s="8"/>
      <c r="C453" s="8"/>
      <c r="D453" s="8"/>
      <c r="E453" s="8"/>
      <c r="F453" s="8"/>
      <c r="G453" s="8"/>
    </row>
    <row r="454" ht="15.75" customHeight="1">
      <c r="B454" s="8"/>
      <c r="C454" s="8"/>
      <c r="D454" s="8"/>
      <c r="E454" s="8"/>
      <c r="F454" s="8"/>
      <c r="G454" s="8"/>
    </row>
    <row r="455" ht="15.75" customHeight="1">
      <c r="B455" s="8"/>
      <c r="C455" s="8"/>
      <c r="D455" s="8"/>
      <c r="E455" s="8"/>
      <c r="F455" s="8"/>
      <c r="G455" s="8"/>
    </row>
    <row r="456" ht="15.75" customHeight="1">
      <c r="B456" s="8"/>
      <c r="C456" s="8"/>
      <c r="D456" s="8"/>
      <c r="E456" s="8"/>
      <c r="F456" s="8"/>
      <c r="G456" s="8"/>
    </row>
    <row r="457" ht="15.75" customHeight="1">
      <c r="B457" s="8"/>
      <c r="C457" s="8"/>
      <c r="D457" s="8"/>
      <c r="E457" s="8"/>
      <c r="F457" s="8"/>
      <c r="G457" s="8"/>
    </row>
    <row r="458" ht="15.75" customHeight="1">
      <c r="B458" s="8"/>
      <c r="C458" s="8"/>
      <c r="D458" s="8"/>
      <c r="E458" s="8"/>
      <c r="F458" s="8"/>
      <c r="G458" s="8"/>
    </row>
    <row r="459" ht="15.75" customHeight="1">
      <c r="B459" s="8"/>
      <c r="C459" s="8"/>
      <c r="D459" s="8"/>
      <c r="E459" s="8"/>
      <c r="F459" s="8"/>
      <c r="G459" s="8"/>
    </row>
    <row r="460" ht="15.75" customHeight="1">
      <c r="B460" s="8"/>
      <c r="C460" s="8"/>
      <c r="D460" s="8"/>
      <c r="E460" s="8"/>
      <c r="F460" s="8"/>
      <c r="G460" s="8"/>
    </row>
    <row r="461" ht="15.75" customHeight="1">
      <c r="B461" s="8"/>
      <c r="C461" s="8"/>
      <c r="D461" s="8"/>
      <c r="E461" s="8"/>
      <c r="F461" s="8"/>
      <c r="G461" s="8"/>
    </row>
    <row r="462" ht="15.75" customHeight="1">
      <c r="B462" s="8"/>
      <c r="C462" s="8"/>
      <c r="D462" s="8"/>
      <c r="E462" s="8"/>
      <c r="F462" s="8"/>
      <c r="G462" s="8"/>
    </row>
    <row r="463" ht="15.75" customHeight="1">
      <c r="B463" s="8"/>
      <c r="C463" s="8"/>
      <c r="D463" s="8"/>
      <c r="E463" s="8"/>
      <c r="F463" s="8"/>
      <c r="G463" s="8"/>
    </row>
    <row r="464" ht="15.75" customHeight="1">
      <c r="B464" s="8"/>
      <c r="C464" s="8"/>
      <c r="D464" s="8"/>
      <c r="E464" s="8"/>
      <c r="F464" s="8"/>
      <c r="G464" s="8"/>
    </row>
    <row r="465" ht="15.75" customHeight="1">
      <c r="B465" s="8"/>
      <c r="C465" s="8"/>
      <c r="D465" s="8"/>
      <c r="E465" s="8"/>
      <c r="F465" s="8"/>
      <c r="G465" s="8"/>
    </row>
    <row r="466" ht="15.75" customHeight="1">
      <c r="B466" s="8"/>
      <c r="C466" s="8"/>
      <c r="D466" s="8"/>
      <c r="E466" s="8"/>
      <c r="F466" s="8"/>
      <c r="G466" s="8"/>
    </row>
    <row r="467" ht="15.75" customHeight="1">
      <c r="B467" s="8"/>
      <c r="C467" s="8"/>
      <c r="D467" s="8"/>
      <c r="E467" s="8"/>
      <c r="F467" s="8"/>
      <c r="G467" s="8"/>
    </row>
    <row r="468" ht="15.75" customHeight="1">
      <c r="B468" s="8"/>
      <c r="C468" s="8"/>
      <c r="D468" s="8"/>
      <c r="E468" s="8"/>
      <c r="F468" s="8"/>
      <c r="G468" s="8"/>
    </row>
    <row r="469" ht="15.75" customHeight="1">
      <c r="B469" s="8"/>
      <c r="C469" s="8"/>
      <c r="D469" s="8"/>
      <c r="E469" s="8"/>
      <c r="F469" s="8"/>
      <c r="G469" s="8"/>
    </row>
    <row r="470" ht="15.75" customHeight="1">
      <c r="B470" s="8"/>
      <c r="C470" s="8"/>
      <c r="D470" s="8"/>
      <c r="E470" s="8"/>
      <c r="F470" s="8"/>
      <c r="G470" s="8"/>
    </row>
    <row r="471" ht="15.75" customHeight="1">
      <c r="B471" s="8"/>
      <c r="C471" s="8"/>
      <c r="D471" s="8"/>
      <c r="E471" s="8"/>
      <c r="F471" s="8"/>
      <c r="G471" s="8"/>
    </row>
    <row r="472" ht="15.75" customHeight="1">
      <c r="B472" s="8"/>
      <c r="C472" s="8"/>
      <c r="D472" s="8"/>
      <c r="E472" s="8"/>
      <c r="F472" s="8"/>
      <c r="G472" s="8"/>
    </row>
    <row r="473" ht="15.75" customHeight="1">
      <c r="B473" s="8"/>
      <c r="C473" s="8"/>
      <c r="D473" s="8"/>
      <c r="E473" s="8"/>
      <c r="F473" s="8"/>
      <c r="G473" s="8"/>
    </row>
    <row r="474" ht="15.75" customHeight="1">
      <c r="B474" s="8"/>
      <c r="C474" s="8"/>
      <c r="D474" s="8"/>
      <c r="E474" s="8"/>
      <c r="F474" s="8"/>
      <c r="G474" s="8"/>
    </row>
    <row r="475" ht="15.75" customHeight="1">
      <c r="B475" s="8"/>
      <c r="C475" s="8"/>
      <c r="D475" s="8"/>
      <c r="E475" s="8"/>
      <c r="F475" s="8"/>
      <c r="G475" s="8"/>
    </row>
    <row r="476" ht="15.75" customHeight="1">
      <c r="B476" s="8"/>
      <c r="C476" s="8"/>
      <c r="D476" s="8"/>
      <c r="E476" s="8"/>
      <c r="F476" s="8"/>
      <c r="G476" s="8"/>
    </row>
    <row r="477" ht="15.75" customHeight="1">
      <c r="B477" s="8"/>
      <c r="C477" s="8"/>
      <c r="D477" s="8"/>
      <c r="E477" s="8"/>
      <c r="F477" s="8"/>
      <c r="G477" s="8"/>
    </row>
    <row r="478" ht="15.75" customHeight="1">
      <c r="B478" s="8"/>
      <c r="C478" s="8"/>
      <c r="D478" s="8"/>
      <c r="E478" s="8"/>
      <c r="F478" s="8"/>
      <c r="G478" s="8"/>
    </row>
    <row r="479" ht="15.75" customHeight="1">
      <c r="B479" s="8"/>
      <c r="C479" s="8"/>
      <c r="D479" s="8"/>
      <c r="E479" s="8"/>
      <c r="F479" s="8"/>
      <c r="G479" s="8"/>
    </row>
    <row r="480" ht="15.75" customHeight="1">
      <c r="B480" s="8"/>
      <c r="C480" s="8"/>
      <c r="D480" s="8"/>
      <c r="E480" s="8"/>
      <c r="F480" s="8"/>
      <c r="G480" s="8"/>
    </row>
    <row r="481" ht="15.75" customHeight="1">
      <c r="B481" s="8"/>
      <c r="C481" s="8"/>
      <c r="D481" s="8"/>
      <c r="E481" s="8"/>
      <c r="F481" s="8"/>
      <c r="G481" s="8"/>
    </row>
    <row r="482" ht="15.75" customHeight="1">
      <c r="B482" s="8"/>
      <c r="C482" s="8"/>
      <c r="D482" s="8"/>
      <c r="E482" s="8"/>
      <c r="F482" s="8"/>
      <c r="G482" s="8"/>
    </row>
    <row r="483" ht="15.75" customHeight="1">
      <c r="B483" s="8"/>
      <c r="C483" s="8"/>
      <c r="D483" s="8"/>
      <c r="E483" s="8"/>
      <c r="F483" s="8"/>
      <c r="G483" s="8"/>
    </row>
    <row r="484" ht="15.75" customHeight="1">
      <c r="B484" s="8"/>
      <c r="C484" s="8"/>
      <c r="D484" s="8"/>
      <c r="E484" s="8"/>
      <c r="F484" s="8"/>
      <c r="G484" s="8"/>
    </row>
    <row r="485" ht="15.75" customHeight="1">
      <c r="B485" s="8"/>
      <c r="C485" s="8"/>
      <c r="D485" s="8"/>
      <c r="E485" s="8"/>
      <c r="F485" s="8"/>
      <c r="G485" s="8"/>
    </row>
    <row r="486" ht="15.75" customHeight="1">
      <c r="B486" s="8"/>
      <c r="C486" s="8"/>
      <c r="D486" s="8"/>
      <c r="E486" s="8"/>
      <c r="F486" s="8"/>
      <c r="G486" s="8"/>
    </row>
    <row r="487" ht="15.75" customHeight="1">
      <c r="B487" s="8"/>
      <c r="C487" s="8"/>
      <c r="D487" s="8"/>
      <c r="E487" s="8"/>
      <c r="F487" s="8"/>
      <c r="G487" s="8"/>
    </row>
    <row r="488" ht="15.75" customHeight="1">
      <c r="B488" s="8"/>
      <c r="C488" s="8"/>
      <c r="D488" s="8"/>
      <c r="E488" s="8"/>
      <c r="F488" s="8"/>
      <c r="G488" s="8"/>
    </row>
    <row r="489" ht="15.75" customHeight="1">
      <c r="B489" s="8"/>
      <c r="C489" s="8"/>
      <c r="D489" s="8"/>
      <c r="E489" s="8"/>
      <c r="F489" s="8"/>
      <c r="G489" s="8"/>
    </row>
    <row r="490" ht="15.75" customHeight="1">
      <c r="B490" s="8"/>
      <c r="C490" s="8"/>
      <c r="D490" s="8"/>
      <c r="E490" s="8"/>
      <c r="F490" s="8"/>
      <c r="G490" s="8"/>
    </row>
    <row r="491" ht="15.75" customHeight="1">
      <c r="B491" s="8"/>
      <c r="C491" s="8"/>
      <c r="D491" s="8"/>
      <c r="E491" s="8"/>
      <c r="F491" s="8"/>
      <c r="G491" s="8"/>
    </row>
    <row r="492" ht="15.75" customHeight="1">
      <c r="B492" s="8"/>
      <c r="C492" s="8"/>
      <c r="D492" s="8"/>
      <c r="E492" s="8"/>
      <c r="F492" s="8"/>
      <c r="G492" s="8"/>
    </row>
    <row r="493" ht="15.75" customHeight="1">
      <c r="B493" s="8"/>
      <c r="C493" s="8"/>
      <c r="D493" s="8"/>
      <c r="E493" s="8"/>
      <c r="F493" s="8"/>
      <c r="G493" s="8"/>
    </row>
    <row r="494" ht="15.75" customHeight="1">
      <c r="B494" s="8"/>
      <c r="C494" s="8"/>
      <c r="D494" s="8"/>
      <c r="E494" s="8"/>
      <c r="F494" s="8"/>
      <c r="G494" s="8"/>
    </row>
    <row r="495" ht="15.75" customHeight="1">
      <c r="B495" s="8"/>
      <c r="C495" s="8"/>
      <c r="D495" s="8"/>
      <c r="E495" s="8"/>
      <c r="F495" s="8"/>
      <c r="G495" s="8"/>
    </row>
    <row r="496" ht="15.75" customHeight="1">
      <c r="B496" s="8"/>
      <c r="C496" s="8"/>
      <c r="D496" s="8"/>
      <c r="E496" s="8"/>
      <c r="F496" s="8"/>
      <c r="G496" s="8"/>
    </row>
    <row r="497" ht="15.75" customHeight="1">
      <c r="B497" s="8"/>
      <c r="C497" s="8"/>
      <c r="D497" s="8"/>
      <c r="E497" s="8"/>
      <c r="F497" s="8"/>
      <c r="G497" s="8"/>
    </row>
    <row r="498" ht="15.75" customHeight="1">
      <c r="B498" s="8"/>
      <c r="C498" s="8"/>
      <c r="D498" s="8"/>
      <c r="E498" s="8"/>
      <c r="F498" s="8"/>
      <c r="G498" s="8"/>
    </row>
    <row r="499" ht="15.75" customHeight="1">
      <c r="B499" s="8"/>
      <c r="C499" s="8"/>
      <c r="D499" s="8"/>
      <c r="E499" s="8"/>
      <c r="F499" s="8"/>
      <c r="G499" s="8"/>
    </row>
    <row r="500" ht="15.75" customHeight="1">
      <c r="B500" s="8"/>
      <c r="C500" s="8"/>
      <c r="D500" s="8"/>
      <c r="E500" s="8"/>
      <c r="F500" s="8"/>
      <c r="G500" s="8"/>
    </row>
    <row r="501" ht="15.75" customHeight="1">
      <c r="B501" s="8"/>
      <c r="C501" s="8"/>
      <c r="D501" s="8"/>
      <c r="E501" s="8"/>
      <c r="F501" s="8"/>
      <c r="G501" s="8"/>
    </row>
    <row r="502" ht="15.75" customHeight="1">
      <c r="B502" s="8"/>
      <c r="C502" s="8"/>
      <c r="D502" s="8"/>
      <c r="E502" s="8"/>
      <c r="F502" s="8"/>
      <c r="G502" s="8"/>
    </row>
    <row r="503" ht="15.75" customHeight="1">
      <c r="B503" s="8"/>
      <c r="C503" s="8"/>
      <c r="D503" s="8"/>
      <c r="E503" s="8"/>
      <c r="F503" s="8"/>
      <c r="G503" s="8"/>
    </row>
    <row r="504" ht="15.75" customHeight="1">
      <c r="B504" s="8"/>
      <c r="C504" s="8"/>
      <c r="D504" s="8"/>
      <c r="E504" s="8"/>
      <c r="F504" s="8"/>
      <c r="G504" s="8"/>
    </row>
    <row r="505" ht="15.75" customHeight="1">
      <c r="B505" s="8"/>
      <c r="C505" s="8"/>
      <c r="D505" s="8"/>
      <c r="E505" s="8"/>
      <c r="F505" s="8"/>
      <c r="G505" s="8"/>
    </row>
    <row r="506" ht="15.75" customHeight="1">
      <c r="B506" s="8"/>
      <c r="C506" s="8"/>
      <c r="D506" s="8"/>
      <c r="E506" s="8"/>
      <c r="F506" s="8"/>
      <c r="G506" s="8"/>
    </row>
    <row r="507" ht="15.75" customHeight="1">
      <c r="B507" s="8"/>
      <c r="C507" s="8"/>
      <c r="D507" s="8"/>
      <c r="E507" s="8"/>
      <c r="F507" s="8"/>
      <c r="G507" s="8"/>
    </row>
    <row r="508" ht="15.75" customHeight="1">
      <c r="B508" s="8"/>
      <c r="C508" s="8"/>
      <c r="D508" s="8"/>
      <c r="E508" s="8"/>
      <c r="F508" s="8"/>
      <c r="G508" s="8"/>
    </row>
    <row r="509" ht="15.75" customHeight="1">
      <c r="B509" s="8"/>
      <c r="C509" s="8"/>
      <c r="D509" s="8"/>
      <c r="E509" s="8"/>
      <c r="F509" s="8"/>
      <c r="G509" s="8"/>
    </row>
    <row r="510" ht="15.75" customHeight="1">
      <c r="B510" s="8"/>
      <c r="C510" s="8"/>
      <c r="D510" s="8"/>
      <c r="E510" s="8"/>
      <c r="F510" s="8"/>
      <c r="G510" s="8"/>
    </row>
    <row r="511" ht="15.75" customHeight="1">
      <c r="B511" s="8"/>
      <c r="C511" s="8"/>
      <c r="D511" s="8"/>
      <c r="E511" s="8"/>
      <c r="F511" s="8"/>
      <c r="G511" s="8"/>
    </row>
    <row r="512" ht="15.75" customHeight="1">
      <c r="B512" s="8"/>
      <c r="C512" s="8"/>
      <c r="D512" s="8"/>
      <c r="E512" s="8"/>
      <c r="F512" s="8"/>
      <c r="G512" s="8"/>
    </row>
    <row r="513" ht="15.75" customHeight="1">
      <c r="B513" s="8"/>
      <c r="C513" s="8"/>
      <c r="D513" s="8"/>
      <c r="E513" s="8"/>
      <c r="F513" s="8"/>
      <c r="G513" s="8"/>
    </row>
    <row r="514" ht="15.75" customHeight="1">
      <c r="B514" s="8"/>
      <c r="C514" s="8"/>
      <c r="D514" s="8"/>
      <c r="E514" s="8"/>
      <c r="F514" s="8"/>
      <c r="G514" s="8"/>
    </row>
    <row r="515" ht="15.75" customHeight="1">
      <c r="B515" s="8"/>
      <c r="C515" s="8"/>
      <c r="D515" s="8"/>
      <c r="E515" s="8"/>
      <c r="F515" s="8"/>
      <c r="G515" s="8"/>
    </row>
    <row r="516" ht="15.75" customHeight="1">
      <c r="B516" s="8"/>
      <c r="C516" s="8"/>
      <c r="D516" s="8"/>
      <c r="E516" s="8"/>
      <c r="F516" s="8"/>
      <c r="G516" s="8"/>
    </row>
    <row r="517" ht="15.75" customHeight="1">
      <c r="B517" s="8"/>
      <c r="C517" s="8"/>
      <c r="D517" s="8"/>
      <c r="E517" s="8"/>
      <c r="F517" s="8"/>
      <c r="G517" s="8"/>
    </row>
    <row r="518" ht="15.75" customHeight="1">
      <c r="B518" s="8"/>
      <c r="C518" s="8"/>
      <c r="D518" s="8"/>
      <c r="E518" s="8"/>
      <c r="F518" s="8"/>
      <c r="G518" s="8"/>
    </row>
    <row r="519" ht="15.75" customHeight="1">
      <c r="B519" s="8"/>
      <c r="C519" s="8"/>
      <c r="D519" s="8"/>
      <c r="E519" s="8"/>
      <c r="F519" s="8"/>
      <c r="G519" s="8"/>
    </row>
    <row r="520" ht="15.75" customHeight="1">
      <c r="B520" s="8"/>
      <c r="C520" s="8"/>
      <c r="D520" s="8"/>
      <c r="E520" s="8"/>
      <c r="F520" s="8"/>
      <c r="G520" s="8"/>
    </row>
    <row r="521" ht="15.75" customHeight="1">
      <c r="B521" s="8"/>
      <c r="C521" s="8"/>
      <c r="D521" s="8"/>
      <c r="E521" s="8"/>
      <c r="F521" s="8"/>
      <c r="G521" s="8"/>
    </row>
    <row r="522" ht="15.75" customHeight="1">
      <c r="B522" s="8"/>
      <c r="C522" s="8"/>
      <c r="D522" s="8"/>
      <c r="E522" s="8"/>
      <c r="F522" s="8"/>
      <c r="G522" s="8"/>
    </row>
    <row r="523" ht="15.75" customHeight="1">
      <c r="B523" s="8"/>
      <c r="C523" s="8"/>
      <c r="D523" s="8"/>
      <c r="E523" s="8"/>
      <c r="F523" s="8"/>
      <c r="G523" s="8"/>
    </row>
    <row r="524" ht="15.75" customHeight="1">
      <c r="B524" s="8"/>
      <c r="C524" s="8"/>
      <c r="D524" s="8"/>
      <c r="E524" s="8"/>
      <c r="F524" s="8"/>
      <c r="G524" s="8"/>
    </row>
    <row r="525" ht="15.75" customHeight="1">
      <c r="B525" s="8"/>
      <c r="C525" s="8"/>
      <c r="D525" s="8"/>
      <c r="E525" s="8"/>
      <c r="F525" s="8"/>
      <c r="G525" s="8"/>
    </row>
    <row r="526" ht="15.75" customHeight="1">
      <c r="B526" s="8"/>
      <c r="C526" s="8"/>
      <c r="D526" s="8"/>
      <c r="E526" s="8"/>
      <c r="F526" s="8"/>
      <c r="G526" s="8"/>
    </row>
    <row r="527" ht="15.75" customHeight="1">
      <c r="B527" s="8"/>
      <c r="C527" s="8"/>
      <c r="D527" s="8"/>
      <c r="E527" s="8"/>
      <c r="F527" s="8"/>
      <c r="G527" s="8"/>
    </row>
    <row r="528" ht="15.75" customHeight="1">
      <c r="B528" s="8"/>
      <c r="C528" s="8"/>
      <c r="D528" s="8"/>
      <c r="E528" s="8"/>
      <c r="F528" s="8"/>
      <c r="G528" s="8"/>
    </row>
    <row r="529" ht="15.75" customHeight="1">
      <c r="B529" s="8"/>
      <c r="C529" s="8"/>
      <c r="D529" s="8"/>
      <c r="E529" s="8"/>
      <c r="F529" s="8"/>
      <c r="G529" s="8"/>
    </row>
    <row r="530" ht="15.75" customHeight="1">
      <c r="B530" s="8"/>
      <c r="C530" s="8"/>
      <c r="D530" s="8"/>
      <c r="E530" s="8"/>
      <c r="F530" s="8"/>
      <c r="G530" s="8"/>
    </row>
    <row r="531" ht="15.75" customHeight="1">
      <c r="B531" s="8"/>
      <c r="C531" s="8"/>
      <c r="D531" s="8"/>
      <c r="E531" s="8"/>
      <c r="F531" s="8"/>
      <c r="G531" s="8"/>
    </row>
    <row r="532" ht="15.75" customHeight="1">
      <c r="B532" s="8"/>
      <c r="C532" s="8"/>
      <c r="D532" s="8"/>
      <c r="E532" s="8"/>
      <c r="F532" s="8"/>
      <c r="G532" s="8"/>
    </row>
    <row r="533" ht="15.75" customHeight="1">
      <c r="B533" s="8"/>
      <c r="C533" s="8"/>
      <c r="D533" s="8"/>
      <c r="E533" s="8"/>
      <c r="F533" s="8"/>
      <c r="G533" s="8"/>
    </row>
    <row r="534" ht="15.75" customHeight="1">
      <c r="B534" s="8"/>
      <c r="C534" s="8"/>
      <c r="D534" s="8"/>
      <c r="E534" s="8"/>
      <c r="F534" s="8"/>
      <c r="G534" s="8"/>
    </row>
    <row r="535" ht="15.75" customHeight="1">
      <c r="B535" s="8"/>
      <c r="C535" s="8"/>
      <c r="D535" s="8"/>
      <c r="E535" s="8"/>
      <c r="F535" s="8"/>
      <c r="G535" s="8"/>
    </row>
    <row r="536" ht="15.75" customHeight="1">
      <c r="B536" s="8"/>
      <c r="C536" s="8"/>
      <c r="D536" s="8"/>
      <c r="E536" s="8"/>
      <c r="F536" s="8"/>
      <c r="G536" s="8"/>
    </row>
    <row r="537" ht="15.75" customHeight="1">
      <c r="B537" s="8"/>
      <c r="C537" s="8"/>
      <c r="D537" s="8"/>
      <c r="E537" s="8"/>
      <c r="F537" s="8"/>
      <c r="G537" s="8"/>
    </row>
    <row r="538" ht="15.75" customHeight="1">
      <c r="B538" s="8"/>
      <c r="C538" s="8"/>
      <c r="D538" s="8"/>
      <c r="E538" s="8"/>
      <c r="F538" s="8"/>
      <c r="G538" s="8"/>
    </row>
    <row r="539" ht="15.75" customHeight="1">
      <c r="B539" s="8"/>
      <c r="C539" s="8"/>
      <c r="D539" s="8"/>
      <c r="E539" s="8"/>
      <c r="F539" s="8"/>
      <c r="G539" s="8"/>
    </row>
    <row r="540" ht="15.75" customHeight="1">
      <c r="B540" s="8"/>
      <c r="C540" s="8"/>
      <c r="D540" s="8"/>
      <c r="E540" s="8"/>
      <c r="F540" s="8"/>
      <c r="G540" s="8"/>
    </row>
    <row r="541" ht="15.75" customHeight="1">
      <c r="B541" s="8"/>
      <c r="C541" s="8"/>
      <c r="D541" s="8"/>
      <c r="E541" s="8"/>
      <c r="F541" s="8"/>
      <c r="G541" s="8"/>
    </row>
    <row r="542" ht="15.75" customHeight="1">
      <c r="B542" s="8"/>
      <c r="C542" s="8"/>
      <c r="D542" s="8"/>
      <c r="E542" s="8"/>
      <c r="F542" s="8"/>
      <c r="G542" s="8"/>
    </row>
    <row r="543" ht="15.75" customHeight="1">
      <c r="B543" s="8"/>
      <c r="C543" s="8"/>
      <c r="D543" s="8"/>
      <c r="E543" s="8"/>
      <c r="F543" s="8"/>
      <c r="G543" s="8"/>
    </row>
    <row r="544" ht="15.75" customHeight="1">
      <c r="B544" s="8"/>
      <c r="C544" s="8"/>
      <c r="D544" s="8"/>
      <c r="E544" s="8"/>
      <c r="F544" s="8"/>
      <c r="G544" s="8"/>
    </row>
    <row r="545" ht="15.75" customHeight="1">
      <c r="B545" s="8"/>
      <c r="C545" s="8"/>
      <c r="D545" s="8"/>
      <c r="E545" s="8"/>
      <c r="F545" s="8"/>
      <c r="G545" s="8"/>
    </row>
    <row r="546" ht="15.75" customHeight="1">
      <c r="B546" s="8"/>
      <c r="C546" s="8"/>
      <c r="D546" s="8"/>
      <c r="E546" s="8"/>
      <c r="F546" s="8"/>
      <c r="G546" s="8"/>
    </row>
    <row r="547" ht="15.75" customHeight="1">
      <c r="B547" s="8"/>
      <c r="C547" s="8"/>
      <c r="D547" s="8"/>
      <c r="E547" s="8"/>
      <c r="F547" s="8"/>
      <c r="G547" s="8"/>
    </row>
    <row r="548" ht="15.75" customHeight="1">
      <c r="B548" s="8"/>
      <c r="C548" s="8"/>
      <c r="D548" s="8"/>
      <c r="E548" s="8"/>
      <c r="F548" s="8"/>
      <c r="G548" s="8"/>
    </row>
    <row r="549" ht="15.75" customHeight="1">
      <c r="B549" s="8"/>
      <c r="C549" s="8"/>
      <c r="D549" s="8"/>
      <c r="E549" s="8"/>
      <c r="F549" s="8"/>
      <c r="G549" s="8"/>
    </row>
    <row r="550" ht="15.75" customHeight="1">
      <c r="B550" s="8"/>
      <c r="C550" s="8"/>
      <c r="D550" s="8"/>
      <c r="E550" s="8"/>
      <c r="F550" s="8"/>
      <c r="G550" s="8"/>
    </row>
    <row r="551" ht="15.75" customHeight="1">
      <c r="B551" s="8"/>
      <c r="C551" s="8"/>
      <c r="D551" s="8"/>
      <c r="E551" s="8"/>
      <c r="F551" s="8"/>
      <c r="G551" s="8"/>
    </row>
    <row r="552" ht="15.75" customHeight="1">
      <c r="B552" s="8"/>
      <c r="C552" s="8"/>
      <c r="D552" s="8"/>
      <c r="E552" s="8"/>
      <c r="F552" s="8"/>
      <c r="G552" s="8"/>
    </row>
    <row r="553" ht="15.75" customHeight="1">
      <c r="B553" s="8"/>
      <c r="C553" s="8"/>
      <c r="D553" s="8"/>
      <c r="E553" s="8"/>
      <c r="F553" s="8"/>
      <c r="G553" s="8"/>
    </row>
    <row r="554" ht="15.75" customHeight="1">
      <c r="B554" s="8"/>
      <c r="C554" s="8"/>
      <c r="D554" s="8"/>
      <c r="E554" s="8"/>
      <c r="F554" s="8"/>
      <c r="G554" s="8"/>
    </row>
    <row r="555" ht="15.75" customHeight="1">
      <c r="B555" s="8"/>
      <c r="C555" s="8"/>
      <c r="D555" s="8"/>
      <c r="E555" s="8"/>
      <c r="F555" s="8"/>
      <c r="G555" s="8"/>
    </row>
    <row r="556" ht="15.75" customHeight="1">
      <c r="B556" s="8"/>
      <c r="C556" s="8"/>
      <c r="D556" s="8"/>
      <c r="E556" s="8"/>
      <c r="F556" s="8"/>
      <c r="G556" s="8"/>
    </row>
    <row r="557" ht="15.75" customHeight="1">
      <c r="B557" s="8"/>
      <c r="C557" s="8"/>
      <c r="D557" s="8"/>
      <c r="E557" s="8"/>
      <c r="F557" s="8"/>
      <c r="G557" s="8"/>
    </row>
    <row r="558" ht="15.75" customHeight="1">
      <c r="B558" s="8"/>
      <c r="C558" s="8"/>
      <c r="D558" s="8"/>
      <c r="E558" s="8"/>
      <c r="F558" s="8"/>
      <c r="G558" s="8"/>
    </row>
    <row r="559" ht="15.75" customHeight="1">
      <c r="B559" s="8"/>
      <c r="C559" s="8"/>
      <c r="D559" s="8"/>
      <c r="E559" s="8"/>
      <c r="F559" s="8"/>
      <c r="G559" s="8"/>
    </row>
    <row r="560" ht="15.75" customHeight="1">
      <c r="B560" s="8"/>
      <c r="C560" s="8"/>
      <c r="D560" s="8"/>
      <c r="E560" s="8"/>
      <c r="F560" s="8"/>
      <c r="G560" s="8"/>
    </row>
    <row r="561" ht="15.75" customHeight="1">
      <c r="B561" s="8"/>
      <c r="C561" s="8"/>
      <c r="D561" s="8"/>
      <c r="E561" s="8"/>
      <c r="F561" s="8"/>
      <c r="G561" s="8"/>
    </row>
    <row r="562" ht="15.75" customHeight="1">
      <c r="B562" s="8"/>
      <c r="C562" s="8"/>
      <c r="D562" s="8"/>
      <c r="E562" s="8"/>
      <c r="F562" s="8"/>
      <c r="G562" s="8"/>
    </row>
    <row r="563" ht="15.75" customHeight="1">
      <c r="B563" s="8"/>
      <c r="C563" s="8"/>
      <c r="D563" s="8"/>
      <c r="E563" s="8"/>
      <c r="F563" s="8"/>
      <c r="G563" s="8"/>
    </row>
    <row r="564" ht="15.75" customHeight="1">
      <c r="B564" s="8"/>
      <c r="C564" s="8"/>
      <c r="D564" s="8"/>
      <c r="E564" s="8"/>
      <c r="F564" s="8"/>
      <c r="G564" s="8"/>
    </row>
    <row r="565" ht="15.75" customHeight="1">
      <c r="B565" s="8"/>
      <c r="C565" s="8"/>
      <c r="D565" s="8"/>
      <c r="E565" s="8"/>
      <c r="F565" s="8"/>
      <c r="G565" s="8"/>
    </row>
    <row r="566" ht="15.75" customHeight="1">
      <c r="B566" s="8"/>
      <c r="C566" s="8"/>
      <c r="D566" s="8"/>
      <c r="E566" s="8"/>
      <c r="F566" s="8"/>
      <c r="G566" s="8"/>
    </row>
    <row r="567" ht="15.75" customHeight="1">
      <c r="B567" s="8"/>
      <c r="C567" s="8"/>
      <c r="D567" s="8"/>
      <c r="E567" s="8"/>
      <c r="F567" s="8"/>
      <c r="G567" s="8"/>
    </row>
    <row r="568" ht="15.75" customHeight="1">
      <c r="B568" s="8"/>
      <c r="C568" s="8"/>
      <c r="D568" s="8"/>
      <c r="E568" s="8"/>
      <c r="F568" s="8"/>
      <c r="G568" s="8"/>
    </row>
    <row r="569" ht="15.75" customHeight="1">
      <c r="B569" s="8"/>
      <c r="C569" s="8"/>
      <c r="D569" s="8"/>
      <c r="E569" s="8"/>
      <c r="F569" s="8"/>
      <c r="G569" s="8"/>
    </row>
    <row r="570" ht="15.75" customHeight="1">
      <c r="B570" s="8"/>
      <c r="C570" s="8"/>
      <c r="D570" s="8"/>
      <c r="E570" s="8"/>
      <c r="F570" s="8"/>
      <c r="G570" s="8"/>
    </row>
    <row r="571" ht="15.75" customHeight="1">
      <c r="B571" s="8"/>
      <c r="C571" s="8"/>
      <c r="D571" s="8"/>
      <c r="E571" s="8"/>
      <c r="F571" s="8"/>
      <c r="G571" s="8"/>
    </row>
    <row r="572" ht="15.75" customHeight="1">
      <c r="B572" s="8"/>
      <c r="C572" s="8"/>
      <c r="D572" s="8"/>
      <c r="E572" s="8"/>
      <c r="F572" s="8"/>
      <c r="G572" s="8"/>
    </row>
    <row r="573" ht="15.75" customHeight="1">
      <c r="B573" s="8"/>
      <c r="C573" s="8"/>
      <c r="D573" s="8"/>
      <c r="E573" s="8"/>
      <c r="F573" s="8"/>
      <c r="G573" s="8"/>
    </row>
    <row r="574" ht="15.75" customHeight="1">
      <c r="B574" s="8"/>
      <c r="C574" s="8"/>
      <c r="D574" s="8"/>
      <c r="E574" s="8"/>
      <c r="F574" s="8"/>
      <c r="G574" s="8"/>
    </row>
    <row r="575" ht="15.75" customHeight="1">
      <c r="B575" s="8"/>
      <c r="C575" s="8"/>
      <c r="D575" s="8"/>
      <c r="E575" s="8"/>
      <c r="F575" s="8"/>
      <c r="G575" s="8"/>
    </row>
    <row r="576" ht="15.75" customHeight="1">
      <c r="B576" s="8"/>
      <c r="C576" s="8"/>
      <c r="D576" s="8"/>
      <c r="E576" s="8"/>
      <c r="F576" s="8"/>
      <c r="G576" s="8"/>
    </row>
    <row r="577" ht="15.75" customHeight="1">
      <c r="B577" s="8"/>
      <c r="C577" s="8"/>
      <c r="D577" s="8"/>
      <c r="E577" s="8"/>
      <c r="F577" s="8"/>
      <c r="G577" s="8"/>
    </row>
    <row r="578" ht="15.75" customHeight="1">
      <c r="B578" s="8"/>
      <c r="C578" s="8"/>
      <c r="D578" s="8"/>
      <c r="E578" s="8"/>
      <c r="F578" s="8"/>
      <c r="G578" s="8"/>
    </row>
    <row r="579" ht="15.75" customHeight="1">
      <c r="B579" s="8"/>
      <c r="C579" s="8"/>
      <c r="D579" s="8"/>
      <c r="E579" s="8"/>
      <c r="F579" s="8"/>
      <c r="G579" s="8"/>
    </row>
    <row r="580" ht="15.75" customHeight="1">
      <c r="B580" s="8"/>
      <c r="C580" s="8"/>
      <c r="D580" s="8"/>
      <c r="E580" s="8"/>
      <c r="F580" s="8"/>
      <c r="G580" s="8"/>
    </row>
    <row r="581" ht="15.75" customHeight="1">
      <c r="B581" s="8"/>
      <c r="C581" s="8"/>
      <c r="D581" s="8"/>
      <c r="E581" s="8"/>
      <c r="F581" s="8"/>
      <c r="G581" s="8"/>
    </row>
    <row r="582" ht="15.75" customHeight="1">
      <c r="B582" s="8"/>
      <c r="C582" s="8"/>
      <c r="D582" s="8"/>
      <c r="E582" s="8"/>
      <c r="F582" s="8"/>
      <c r="G582" s="8"/>
    </row>
    <row r="583" ht="15.75" customHeight="1">
      <c r="B583" s="8"/>
      <c r="C583" s="8"/>
      <c r="D583" s="8"/>
      <c r="E583" s="8"/>
      <c r="F583" s="8"/>
      <c r="G583" s="8"/>
    </row>
    <row r="584" ht="15.75" customHeight="1">
      <c r="B584" s="8"/>
      <c r="C584" s="8"/>
      <c r="D584" s="8"/>
      <c r="E584" s="8"/>
      <c r="F584" s="8"/>
      <c r="G584" s="8"/>
    </row>
    <row r="585" ht="15.75" customHeight="1">
      <c r="B585" s="8"/>
      <c r="C585" s="8"/>
      <c r="D585" s="8"/>
      <c r="E585" s="8"/>
      <c r="F585" s="8"/>
      <c r="G585" s="8"/>
    </row>
    <row r="586" ht="15.75" customHeight="1">
      <c r="B586" s="8"/>
      <c r="C586" s="8"/>
      <c r="D586" s="8"/>
      <c r="E586" s="8"/>
      <c r="F586" s="8"/>
      <c r="G586" s="8"/>
    </row>
    <row r="587" ht="15.75" customHeight="1">
      <c r="B587" s="8"/>
      <c r="C587" s="8"/>
      <c r="D587" s="8"/>
      <c r="E587" s="8"/>
      <c r="F587" s="8"/>
      <c r="G587" s="8"/>
    </row>
    <row r="588" ht="15.75" customHeight="1">
      <c r="B588" s="8"/>
      <c r="C588" s="8"/>
      <c r="D588" s="8"/>
      <c r="E588" s="8"/>
      <c r="F588" s="8"/>
      <c r="G588" s="8"/>
    </row>
    <row r="589" ht="15.75" customHeight="1">
      <c r="B589" s="8"/>
      <c r="C589" s="8"/>
      <c r="D589" s="8"/>
      <c r="E589" s="8"/>
      <c r="F589" s="8"/>
      <c r="G589" s="8"/>
    </row>
    <row r="590" ht="15.75" customHeight="1">
      <c r="B590" s="8"/>
      <c r="C590" s="8"/>
      <c r="D590" s="8"/>
      <c r="E590" s="8"/>
      <c r="F590" s="8"/>
      <c r="G590" s="8"/>
    </row>
    <row r="591" ht="15.75" customHeight="1">
      <c r="B591" s="8"/>
      <c r="C591" s="8"/>
      <c r="D591" s="8"/>
      <c r="E591" s="8"/>
      <c r="F591" s="8"/>
      <c r="G591" s="8"/>
    </row>
    <row r="592" ht="15.75" customHeight="1">
      <c r="B592" s="8"/>
      <c r="C592" s="8"/>
      <c r="D592" s="8"/>
      <c r="E592" s="8"/>
      <c r="F592" s="8"/>
      <c r="G592" s="8"/>
    </row>
    <row r="593" ht="15.75" customHeight="1">
      <c r="B593" s="8"/>
      <c r="C593" s="8"/>
      <c r="D593" s="8"/>
      <c r="E593" s="8"/>
      <c r="F593" s="8"/>
      <c r="G593" s="8"/>
    </row>
    <row r="594" ht="15.75" customHeight="1">
      <c r="B594" s="8"/>
      <c r="C594" s="8"/>
      <c r="D594" s="8"/>
      <c r="E594" s="8"/>
      <c r="F594" s="8"/>
      <c r="G594" s="8"/>
    </row>
    <row r="595" ht="15.75" customHeight="1">
      <c r="B595" s="8"/>
      <c r="C595" s="8"/>
      <c r="D595" s="8"/>
      <c r="E595" s="8"/>
      <c r="F595" s="8"/>
      <c r="G595" s="8"/>
    </row>
    <row r="596" ht="15.75" customHeight="1">
      <c r="B596" s="8"/>
      <c r="C596" s="8"/>
      <c r="D596" s="8"/>
      <c r="E596" s="8"/>
      <c r="F596" s="8"/>
      <c r="G596" s="8"/>
    </row>
    <row r="597" ht="15.75" customHeight="1">
      <c r="B597" s="8"/>
      <c r="C597" s="8"/>
      <c r="D597" s="8"/>
      <c r="E597" s="8"/>
      <c r="F597" s="8"/>
      <c r="G597" s="8"/>
    </row>
    <row r="598" ht="15.75" customHeight="1">
      <c r="B598" s="8"/>
      <c r="C598" s="8"/>
      <c r="D598" s="8"/>
      <c r="E598" s="8"/>
      <c r="F598" s="8"/>
      <c r="G598" s="8"/>
    </row>
    <row r="599" ht="15.75" customHeight="1">
      <c r="B599" s="8"/>
      <c r="C599" s="8"/>
      <c r="D599" s="8"/>
      <c r="E599" s="8"/>
      <c r="F599" s="8"/>
      <c r="G599" s="8"/>
    </row>
    <row r="600" ht="15.75" customHeight="1">
      <c r="B600" s="8"/>
      <c r="C600" s="8"/>
      <c r="D600" s="8"/>
      <c r="E600" s="8"/>
      <c r="F600" s="8"/>
      <c r="G600" s="8"/>
    </row>
    <row r="601" ht="15.75" customHeight="1">
      <c r="B601" s="8"/>
      <c r="C601" s="8"/>
      <c r="D601" s="8"/>
      <c r="E601" s="8"/>
      <c r="F601" s="8"/>
      <c r="G601" s="8"/>
    </row>
    <row r="602" ht="15.75" customHeight="1">
      <c r="B602" s="8"/>
      <c r="C602" s="8"/>
      <c r="D602" s="8"/>
      <c r="E602" s="8"/>
      <c r="F602" s="8"/>
      <c r="G602" s="8"/>
    </row>
    <row r="603" ht="15.75" customHeight="1">
      <c r="B603" s="8"/>
      <c r="C603" s="8"/>
      <c r="D603" s="8"/>
      <c r="E603" s="8"/>
      <c r="F603" s="8"/>
      <c r="G603" s="8"/>
    </row>
    <row r="604" ht="15.75" customHeight="1">
      <c r="B604" s="8"/>
      <c r="C604" s="8"/>
      <c r="D604" s="8"/>
      <c r="E604" s="8"/>
      <c r="F604" s="8"/>
      <c r="G604" s="8"/>
    </row>
    <row r="605" ht="15.75" customHeight="1">
      <c r="B605" s="8"/>
      <c r="C605" s="8"/>
      <c r="D605" s="8"/>
      <c r="E605" s="8"/>
      <c r="F605" s="8"/>
      <c r="G605" s="8"/>
    </row>
    <row r="606" ht="15.75" customHeight="1">
      <c r="B606" s="8"/>
      <c r="C606" s="8"/>
      <c r="D606" s="8"/>
      <c r="E606" s="8"/>
      <c r="F606" s="8"/>
      <c r="G606" s="8"/>
    </row>
    <row r="607" ht="15.75" customHeight="1">
      <c r="B607" s="8"/>
      <c r="C607" s="8"/>
      <c r="D607" s="8"/>
      <c r="E607" s="8"/>
      <c r="F607" s="8"/>
      <c r="G607" s="8"/>
    </row>
    <row r="608" ht="15.75" customHeight="1">
      <c r="B608" s="8"/>
      <c r="C608" s="8"/>
      <c r="D608" s="8"/>
      <c r="E608" s="8"/>
      <c r="F608" s="8"/>
      <c r="G608" s="8"/>
    </row>
    <row r="609" ht="15.75" customHeight="1">
      <c r="B609" s="8"/>
      <c r="C609" s="8"/>
      <c r="D609" s="8"/>
      <c r="E609" s="8"/>
      <c r="F609" s="8"/>
      <c r="G609" s="8"/>
    </row>
    <row r="610" ht="15.75" customHeight="1">
      <c r="B610" s="8"/>
      <c r="C610" s="8"/>
      <c r="D610" s="8"/>
      <c r="E610" s="8"/>
      <c r="F610" s="8"/>
      <c r="G610" s="8"/>
    </row>
    <row r="611" ht="15.75" customHeight="1">
      <c r="B611" s="8"/>
      <c r="C611" s="8"/>
      <c r="D611" s="8"/>
      <c r="E611" s="8"/>
      <c r="F611" s="8"/>
      <c r="G611" s="8"/>
    </row>
    <row r="612" ht="15.75" customHeight="1">
      <c r="B612" s="8"/>
      <c r="C612" s="8"/>
      <c r="D612" s="8"/>
      <c r="E612" s="8"/>
      <c r="F612" s="8"/>
      <c r="G612" s="8"/>
    </row>
    <row r="613" ht="15.75" customHeight="1">
      <c r="B613" s="8"/>
      <c r="C613" s="8"/>
      <c r="D613" s="8"/>
      <c r="E613" s="8"/>
      <c r="F613" s="8"/>
      <c r="G613" s="8"/>
    </row>
    <row r="614" ht="15.75" customHeight="1">
      <c r="B614" s="8"/>
      <c r="C614" s="8"/>
      <c r="D614" s="8"/>
      <c r="E614" s="8"/>
      <c r="F614" s="8"/>
      <c r="G614" s="8"/>
    </row>
    <row r="615" ht="15.75" customHeight="1">
      <c r="B615" s="8"/>
      <c r="C615" s="8"/>
      <c r="D615" s="8"/>
      <c r="E615" s="8"/>
      <c r="F615" s="8"/>
      <c r="G615" s="8"/>
    </row>
    <row r="616" ht="15.75" customHeight="1">
      <c r="B616" s="8"/>
      <c r="C616" s="8"/>
      <c r="D616" s="8"/>
      <c r="E616" s="8"/>
      <c r="F616" s="8"/>
      <c r="G616" s="8"/>
    </row>
    <row r="617" ht="15.75" customHeight="1">
      <c r="B617" s="8"/>
      <c r="C617" s="8"/>
      <c r="D617" s="8"/>
      <c r="E617" s="8"/>
      <c r="F617" s="8"/>
      <c r="G617" s="8"/>
    </row>
    <row r="618" ht="15.75" customHeight="1">
      <c r="B618" s="8"/>
      <c r="C618" s="8"/>
      <c r="D618" s="8"/>
      <c r="E618" s="8"/>
      <c r="F618" s="8"/>
      <c r="G618" s="8"/>
    </row>
    <row r="619" ht="15.75" customHeight="1">
      <c r="B619" s="8"/>
      <c r="C619" s="8"/>
      <c r="D619" s="8"/>
      <c r="E619" s="8"/>
      <c r="F619" s="8"/>
      <c r="G619" s="8"/>
    </row>
    <row r="620" ht="15.75" customHeight="1">
      <c r="B620" s="8"/>
      <c r="C620" s="8"/>
      <c r="D620" s="8"/>
      <c r="E620" s="8"/>
      <c r="F620" s="8"/>
      <c r="G620" s="8"/>
    </row>
    <row r="621" ht="15.75" customHeight="1">
      <c r="B621" s="8"/>
      <c r="C621" s="8"/>
      <c r="D621" s="8"/>
      <c r="E621" s="8"/>
      <c r="F621" s="8"/>
      <c r="G621" s="8"/>
    </row>
    <row r="622" ht="15.75" customHeight="1">
      <c r="B622" s="8"/>
      <c r="C622" s="8"/>
      <c r="D622" s="8"/>
      <c r="E622" s="8"/>
      <c r="F622" s="8"/>
      <c r="G622" s="8"/>
    </row>
    <row r="623" ht="15.75" customHeight="1">
      <c r="B623" s="8"/>
      <c r="C623" s="8"/>
      <c r="D623" s="8"/>
      <c r="E623" s="8"/>
      <c r="F623" s="8"/>
      <c r="G623" s="8"/>
    </row>
    <row r="624" ht="15.75" customHeight="1">
      <c r="B624" s="8"/>
      <c r="C624" s="8"/>
      <c r="D624" s="8"/>
      <c r="E624" s="8"/>
      <c r="F624" s="8"/>
      <c r="G624" s="8"/>
    </row>
    <row r="625" ht="15.75" customHeight="1">
      <c r="B625" s="8"/>
      <c r="C625" s="8"/>
      <c r="D625" s="8"/>
      <c r="E625" s="8"/>
      <c r="F625" s="8"/>
      <c r="G625" s="8"/>
    </row>
    <row r="626" ht="15.75" customHeight="1">
      <c r="B626" s="8"/>
      <c r="C626" s="8"/>
      <c r="D626" s="8"/>
      <c r="E626" s="8"/>
      <c r="F626" s="8"/>
      <c r="G626" s="8"/>
    </row>
    <row r="627" ht="15.75" customHeight="1">
      <c r="B627" s="8"/>
      <c r="C627" s="8"/>
      <c r="D627" s="8"/>
      <c r="E627" s="8"/>
      <c r="F627" s="8"/>
      <c r="G627" s="8"/>
    </row>
    <row r="628" ht="15.75" customHeight="1">
      <c r="B628" s="8"/>
      <c r="C628" s="8"/>
      <c r="D628" s="8"/>
      <c r="E628" s="8"/>
      <c r="F628" s="8"/>
      <c r="G628" s="8"/>
    </row>
    <row r="629" ht="15.75" customHeight="1">
      <c r="B629" s="8"/>
      <c r="C629" s="8"/>
      <c r="D629" s="8"/>
      <c r="E629" s="8"/>
      <c r="F629" s="8"/>
      <c r="G629" s="8"/>
    </row>
    <row r="630" ht="15.75" customHeight="1">
      <c r="B630" s="8"/>
      <c r="C630" s="8"/>
      <c r="D630" s="8"/>
      <c r="E630" s="8"/>
      <c r="F630" s="8"/>
      <c r="G630" s="8"/>
    </row>
    <row r="631" ht="15.75" customHeight="1">
      <c r="B631" s="8"/>
      <c r="C631" s="8"/>
      <c r="D631" s="8"/>
      <c r="E631" s="8"/>
      <c r="F631" s="8"/>
      <c r="G631" s="8"/>
    </row>
    <row r="632" ht="15.75" customHeight="1">
      <c r="B632" s="8"/>
      <c r="C632" s="8"/>
      <c r="D632" s="8"/>
      <c r="E632" s="8"/>
      <c r="F632" s="8"/>
      <c r="G632" s="8"/>
    </row>
    <row r="633" ht="15.75" customHeight="1">
      <c r="B633" s="8"/>
      <c r="C633" s="8"/>
      <c r="D633" s="8"/>
      <c r="E633" s="8"/>
      <c r="F633" s="8"/>
      <c r="G633" s="8"/>
    </row>
    <row r="634" ht="15.75" customHeight="1">
      <c r="B634" s="8"/>
      <c r="C634" s="8"/>
      <c r="D634" s="8"/>
      <c r="E634" s="8"/>
      <c r="F634" s="8"/>
      <c r="G634" s="8"/>
    </row>
    <row r="635" ht="15.75" customHeight="1">
      <c r="B635" s="8"/>
      <c r="C635" s="8"/>
      <c r="D635" s="8"/>
      <c r="E635" s="8"/>
      <c r="F635" s="8"/>
      <c r="G635" s="8"/>
    </row>
    <row r="636" ht="15.75" customHeight="1">
      <c r="B636" s="8"/>
      <c r="C636" s="8"/>
      <c r="D636" s="8"/>
      <c r="E636" s="8"/>
      <c r="F636" s="8"/>
      <c r="G636" s="8"/>
    </row>
    <row r="637" ht="15.75" customHeight="1">
      <c r="B637" s="8"/>
      <c r="C637" s="8"/>
      <c r="D637" s="8"/>
      <c r="E637" s="8"/>
      <c r="F637" s="8"/>
      <c r="G637" s="8"/>
    </row>
    <row r="638" ht="15.75" customHeight="1">
      <c r="B638" s="8"/>
      <c r="C638" s="8"/>
      <c r="D638" s="8"/>
      <c r="E638" s="8"/>
      <c r="F638" s="8"/>
      <c r="G638" s="8"/>
    </row>
    <row r="639" ht="15.75" customHeight="1">
      <c r="B639" s="8"/>
      <c r="C639" s="8"/>
      <c r="D639" s="8"/>
      <c r="E639" s="8"/>
      <c r="F639" s="8"/>
      <c r="G639" s="8"/>
    </row>
    <row r="640" ht="15.75" customHeight="1">
      <c r="B640" s="8"/>
      <c r="C640" s="8"/>
      <c r="D640" s="8"/>
      <c r="E640" s="8"/>
      <c r="F640" s="8"/>
      <c r="G640" s="8"/>
    </row>
    <row r="641" ht="15.75" customHeight="1">
      <c r="B641" s="8"/>
      <c r="C641" s="8"/>
      <c r="D641" s="8"/>
      <c r="E641" s="8"/>
      <c r="F641" s="8"/>
      <c r="G641" s="8"/>
    </row>
    <row r="642" ht="15.75" customHeight="1">
      <c r="B642" s="8"/>
      <c r="C642" s="8"/>
      <c r="D642" s="8"/>
      <c r="E642" s="8"/>
      <c r="F642" s="8"/>
      <c r="G642" s="8"/>
    </row>
    <row r="643" ht="15.75" customHeight="1">
      <c r="B643" s="8"/>
      <c r="C643" s="8"/>
      <c r="D643" s="8"/>
      <c r="E643" s="8"/>
      <c r="F643" s="8"/>
      <c r="G643" s="8"/>
    </row>
    <row r="644" ht="15.75" customHeight="1">
      <c r="B644" s="8"/>
      <c r="C644" s="8"/>
      <c r="D644" s="8"/>
      <c r="E644" s="8"/>
      <c r="F644" s="8"/>
      <c r="G644" s="8"/>
    </row>
    <row r="645" ht="15.75" customHeight="1">
      <c r="B645" s="8"/>
      <c r="C645" s="8"/>
      <c r="D645" s="8"/>
      <c r="E645" s="8"/>
      <c r="F645" s="8"/>
      <c r="G645" s="8"/>
    </row>
    <row r="646" ht="15.75" customHeight="1">
      <c r="B646" s="8"/>
      <c r="C646" s="8"/>
      <c r="D646" s="8"/>
      <c r="E646" s="8"/>
      <c r="F646" s="8"/>
      <c r="G646" s="8"/>
    </row>
    <row r="647" ht="15.75" customHeight="1">
      <c r="B647" s="8"/>
      <c r="C647" s="8"/>
      <c r="D647" s="8"/>
      <c r="E647" s="8"/>
      <c r="F647" s="8"/>
      <c r="G647" s="8"/>
    </row>
    <row r="648" ht="15.75" customHeight="1">
      <c r="B648" s="8"/>
      <c r="C648" s="8"/>
      <c r="D648" s="8"/>
      <c r="E648" s="8"/>
      <c r="F648" s="8"/>
      <c r="G648" s="8"/>
    </row>
    <row r="649" ht="15.75" customHeight="1">
      <c r="B649" s="8"/>
      <c r="C649" s="8"/>
      <c r="D649" s="8"/>
      <c r="E649" s="8"/>
      <c r="F649" s="8"/>
      <c r="G649" s="8"/>
    </row>
    <row r="650" ht="15.75" customHeight="1">
      <c r="B650" s="8"/>
      <c r="C650" s="8"/>
      <c r="D650" s="8"/>
      <c r="E650" s="8"/>
      <c r="F650" s="8"/>
      <c r="G650" s="8"/>
    </row>
    <row r="651" ht="15.75" customHeight="1">
      <c r="B651" s="8"/>
      <c r="C651" s="8"/>
      <c r="D651" s="8"/>
      <c r="E651" s="8"/>
      <c r="F651" s="8"/>
      <c r="G651" s="8"/>
    </row>
    <row r="652" ht="15.75" customHeight="1">
      <c r="B652" s="8"/>
      <c r="C652" s="8"/>
      <c r="D652" s="8"/>
      <c r="E652" s="8"/>
      <c r="F652" s="8"/>
      <c r="G652" s="8"/>
    </row>
    <row r="653" ht="15.75" customHeight="1">
      <c r="B653" s="8"/>
      <c r="C653" s="8"/>
      <c r="D653" s="8"/>
      <c r="E653" s="8"/>
      <c r="F653" s="8"/>
      <c r="G653" s="8"/>
    </row>
    <row r="654" ht="15.75" customHeight="1">
      <c r="B654" s="8"/>
      <c r="C654" s="8"/>
      <c r="D654" s="8"/>
      <c r="E654" s="8"/>
      <c r="F654" s="8"/>
      <c r="G654" s="8"/>
    </row>
    <row r="655" ht="15.75" customHeight="1">
      <c r="B655" s="8"/>
      <c r="C655" s="8"/>
      <c r="D655" s="8"/>
      <c r="E655" s="8"/>
      <c r="F655" s="8"/>
      <c r="G655" s="8"/>
    </row>
    <row r="656" ht="15.75" customHeight="1">
      <c r="B656" s="8"/>
      <c r="C656" s="8"/>
      <c r="D656" s="8"/>
      <c r="E656" s="8"/>
      <c r="F656" s="8"/>
      <c r="G656" s="8"/>
    </row>
    <row r="657" ht="15.75" customHeight="1">
      <c r="B657" s="8"/>
      <c r="C657" s="8"/>
      <c r="D657" s="8"/>
      <c r="E657" s="8"/>
      <c r="F657" s="8"/>
      <c r="G657" s="8"/>
    </row>
    <row r="658" ht="15.75" customHeight="1">
      <c r="B658" s="8"/>
      <c r="C658" s="8"/>
      <c r="D658" s="8"/>
      <c r="E658" s="8"/>
      <c r="F658" s="8"/>
      <c r="G658" s="8"/>
    </row>
    <row r="659" ht="15.75" customHeight="1">
      <c r="B659" s="8"/>
      <c r="C659" s="8"/>
      <c r="D659" s="8"/>
      <c r="E659" s="8"/>
      <c r="F659" s="8"/>
      <c r="G659" s="8"/>
    </row>
    <row r="660" ht="15.75" customHeight="1">
      <c r="B660" s="8"/>
      <c r="C660" s="8"/>
      <c r="D660" s="8"/>
      <c r="E660" s="8"/>
      <c r="F660" s="8"/>
      <c r="G660" s="8"/>
    </row>
    <row r="661" ht="15.75" customHeight="1">
      <c r="B661" s="8"/>
      <c r="C661" s="8"/>
      <c r="D661" s="8"/>
      <c r="E661" s="8"/>
      <c r="F661" s="8"/>
      <c r="G661" s="8"/>
    </row>
    <row r="662" ht="15.75" customHeight="1">
      <c r="B662" s="8"/>
      <c r="C662" s="8"/>
      <c r="D662" s="8"/>
      <c r="E662" s="8"/>
      <c r="F662" s="8"/>
      <c r="G662" s="8"/>
    </row>
    <row r="663" ht="15.75" customHeight="1">
      <c r="B663" s="8"/>
      <c r="C663" s="8"/>
      <c r="D663" s="8"/>
      <c r="E663" s="8"/>
      <c r="F663" s="8"/>
      <c r="G663" s="8"/>
    </row>
    <row r="664" ht="15.75" customHeight="1">
      <c r="B664" s="8"/>
      <c r="C664" s="8"/>
      <c r="D664" s="8"/>
      <c r="E664" s="8"/>
      <c r="F664" s="8"/>
      <c r="G664" s="8"/>
    </row>
    <row r="665" ht="15.75" customHeight="1">
      <c r="B665" s="8"/>
      <c r="C665" s="8"/>
      <c r="D665" s="8"/>
      <c r="E665" s="8"/>
      <c r="F665" s="8"/>
      <c r="G665" s="8"/>
    </row>
    <row r="666" ht="15.75" customHeight="1">
      <c r="B666" s="8"/>
      <c r="C666" s="8"/>
      <c r="D666" s="8"/>
      <c r="E666" s="8"/>
      <c r="F666" s="8"/>
      <c r="G666" s="8"/>
    </row>
    <row r="667" ht="15.75" customHeight="1">
      <c r="B667" s="8"/>
      <c r="C667" s="8"/>
      <c r="D667" s="8"/>
      <c r="E667" s="8"/>
      <c r="F667" s="8"/>
      <c r="G667" s="8"/>
    </row>
    <row r="668" ht="15.75" customHeight="1">
      <c r="B668" s="8"/>
      <c r="C668" s="8"/>
      <c r="D668" s="8"/>
      <c r="E668" s="8"/>
      <c r="F668" s="8"/>
      <c r="G668" s="8"/>
    </row>
    <row r="669" ht="15.75" customHeight="1">
      <c r="B669" s="8"/>
      <c r="C669" s="8"/>
      <c r="D669" s="8"/>
      <c r="E669" s="8"/>
      <c r="F669" s="8"/>
      <c r="G669" s="8"/>
    </row>
    <row r="670" ht="15.75" customHeight="1">
      <c r="B670" s="8"/>
      <c r="C670" s="8"/>
      <c r="D670" s="8"/>
      <c r="E670" s="8"/>
      <c r="F670" s="8"/>
      <c r="G670" s="8"/>
    </row>
    <row r="671" ht="15.75" customHeight="1">
      <c r="B671" s="8"/>
      <c r="C671" s="8"/>
      <c r="D671" s="8"/>
      <c r="E671" s="8"/>
      <c r="F671" s="8"/>
      <c r="G671" s="8"/>
    </row>
    <row r="672" ht="15.75" customHeight="1">
      <c r="B672" s="8"/>
      <c r="C672" s="8"/>
      <c r="D672" s="8"/>
      <c r="E672" s="8"/>
      <c r="F672" s="8"/>
      <c r="G672" s="8"/>
    </row>
    <row r="673" ht="15.75" customHeight="1">
      <c r="B673" s="8"/>
      <c r="C673" s="8"/>
      <c r="D673" s="8"/>
      <c r="E673" s="8"/>
      <c r="F673" s="8"/>
      <c r="G673" s="8"/>
    </row>
    <row r="674" ht="15.75" customHeight="1">
      <c r="B674" s="8"/>
      <c r="C674" s="8"/>
      <c r="D674" s="8"/>
      <c r="E674" s="8"/>
      <c r="F674" s="8"/>
      <c r="G674" s="8"/>
    </row>
    <row r="675" ht="15.75" customHeight="1">
      <c r="B675" s="8"/>
      <c r="C675" s="8"/>
      <c r="D675" s="8"/>
      <c r="E675" s="8"/>
      <c r="F675" s="8"/>
      <c r="G675" s="8"/>
    </row>
    <row r="676" ht="15.75" customHeight="1">
      <c r="B676" s="8"/>
      <c r="C676" s="8"/>
      <c r="D676" s="8"/>
      <c r="E676" s="8"/>
      <c r="F676" s="8"/>
      <c r="G676" s="8"/>
    </row>
    <row r="677" ht="15.75" customHeight="1">
      <c r="B677" s="8"/>
      <c r="C677" s="8"/>
      <c r="D677" s="8"/>
      <c r="E677" s="8"/>
      <c r="F677" s="8"/>
      <c r="G677" s="8"/>
    </row>
    <row r="678" ht="15.75" customHeight="1">
      <c r="B678" s="8"/>
      <c r="C678" s="8"/>
      <c r="D678" s="8"/>
      <c r="E678" s="8"/>
      <c r="F678" s="8"/>
      <c r="G678" s="8"/>
    </row>
    <row r="679" ht="15.75" customHeight="1">
      <c r="B679" s="8"/>
      <c r="C679" s="8"/>
      <c r="D679" s="8"/>
      <c r="E679" s="8"/>
      <c r="F679" s="8"/>
      <c r="G679" s="8"/>
    </row>
    <row r="680" ht="15.75" customHeight="1">
      <c r="B680" s="8"/>
      <c r="C680" s="8"/>
      <c r="D680" s="8"/>
      <c r="E680" s="8"/>
      <c r="F680" s="8"/>
      <c r="G680" s="8"/>
    </row>
    <row r="681" ht="15.75" customHeight="1">
      <c r="B681" s="8"/>
      <c r="C681" s="8"/>
      <c r="D681" s="8"/>
      <c r="E681" s="8"/>
      <c r="F681" s="8"/>
      <c r="G681" s="8"/>
    </row>
    <row r="682" ht="15.75" customHeight="1">
      <c r="B682" s="8"/>
      <c r="C682" s="8"/>
      <c r="D682" s="8"/>
      <c r="E682" s="8"/>
      <c r="F682" s="8"/>
      <c r="G682" s="8"/>
    </row>
    <row r="683" ht="15.75" customHeight="1">
      <c r="B683" s="8"/>
      <c r="C683" s="8"/>
      <c r="D683" s="8"/>
      <c r="E683" s="8"/>
      <c r="F683" s="8"/>
      <c r="G683" s="8"/>
    </row>
    <row r="684" ht="15.75" customHeight="1">
      <c r="B684" s="8"/>
      <c r="C684" s="8"/>
      <c r="D684" s="8"/>
      <c r="E684" s="8"/>
      <c r="F684" s="8"/>
      <c r="G684" s="8"/>
    </row>
    <row r="685" ht="15.75" customHeight="1">
      <c r="B685" s="8"/>
      <c r="C685" s="8"/>
      <c r="D685" s="8"/>
      <c r="E685" s="8"/>
      <c r="F685" s="8"/>
      <c r="G685" s="8"/>
    </row>
    <row r="686" ht="15.75" customHeight="1">
      <c r="B686" s="8"/>
      <c r="C686" s="8"/>
      <c r="D686" s="8"/>
      <c r="E686" s="8"/>
      <c r="F686" s="8"/>
      <c r="G686" s="8"/>
    </row>
    <row r="687" ht="15.75" customHeight="1">
      <c r="B687" s="8"/>
      <c r="C687" s="8"/>
      <c r="D687" s="8"/>
      <c r="E687" s="8"/>
      <c r="F687" s="8"/>
      <c r="G687" s="8"/>
    </row>
    <row r="688" ht="15.75" customHeight="1">
      <c r="B688" s="8"/>
      <c r="C688" s="8"/>
      <c r="D688" s="8"/>
      <c r="E688" s="8"/>
      <c r="F688" s="8"/>
      <c r="G688" s="8"/>
    </row>
    <row r="689" ht="15.75" customHeight="1">
      <c r="B689" s="8"/>
      <c r="C689" s="8"/>
      <c r="D689" s="8"/>
      <c r="E689" s="8"/>
      <c r="F689" s="8"/>
      <c r="G689" s="8"/>
    </row>
    <row r="690" ht="15.75" customHeight="1">
      <c r="B690" s="8"/>
      <c r="C690" s="8"/>
      <c r="D690" s="8"/>
      <c r="E690" s="8"/>
      <c r="F690" s="8"/>
      <c r="G690" s="8"/>
    </row>
    <row r="691" ht="15.75" customHeight="1">
      <c r="B691" s="8"/>
      <c r="C691" s="8"/>
      <c r="D691" s="8"/>
      <c r="E691" s="8"/>
      <c r="F691" s="8"/>
      <c r="G691" s="8"/>
    </row>
    <row r="692" ht="15.75" customHeight="1">
      <c r="B692" s="8"/>
      <c r="C692" s="8"/>
      <c r="D692" s="8"/>
      <c r="E692" s="8"/>
      <c r="F692" s="8"/>
      <c r="G692" s="8"/>
    </row>
    <row r="693" ht="15.75" customHeight="1">
      <c r="B693" s="8"/>
      <c r="C693" s="8"/>
      <c r="D693" s="8"/>
      <c r="E693" s="8"/>
      <c r="F693" s="8"/>
      <c r="G693" s="8"/>
    </row>
    <row r="694" ht="15.75" customHeight="1">
      <c r="B694" s="8"/>
      <c r="C694" s="8"/>
      <c r="D694" s="8"/>
      <c r="E694" s="8"/>
      <c r="F694" s="8"/>
      <c r="G694" s="8"/>
    </row>
    <row r="695" ht="15.75" customHeight="1">
      <c r="B695" s="8"/>
      <c r="C695" s="8"/>
      <c r="D695" s="8"/>
      <c r="E695" s="8"/>
      <c r="F695" s="8"/>
      <c r="G695" s="8"/>
    </row>
    <row r="696" ht="15.75" customHeight="1">
      <c r="B696" s="8"/>
      <c r="C696" s="8"/>
      <c r="D696" s="8"/>
      <c r="E696" s="8"/>
      <c r="F696" s="8"/>
      <c r="G696" s="8"/>
    </row>
    <row r="697" ht="15.75" customHeight="1">
      <c r="B697" s="8"/>
      <c r="C697" s="8"/>
      <c r="D697" s="8"/>
      <c r="E697" s="8"/>
      <c r="F697" s="8"/>
      <c r="G697" s="8"/>
    </row>
    <row r="698" ht="15.75" customHeight="1">
      <c r="B698" s="8"/>
      <c r="C698" s="8"/>
      <c r="D698" s="8"/>
      <c r="E698" s="8"/>
      <c r="F698" s="8"/>
      <c r="G698" s="8"/>
    </row>
    <row r="699" ht="15.75" customHeight="1">
      <c r="B699" s="8"/>
      <c r="C699" s="8"/>
      <c r="D699" s="8"/>
      <c r="E699" s="8"/>
      <c r="F699" s="8"/>
      <c r="G699" s="8"/>
    </row>
    <row r="700" ht="15.75" customHeight="1">
      <c r="B700" s="8"/>
      <c r="C700" s="8"/>
      <c r="D700" s="8"/>
      <c r="E700" s="8"/>
      <c r="F700" s="8"/>
      <c r="G700" s="8"/>
    </row>
    <row r="701" ht="15.75" customHeight="1">
      <c r="B701" s="8"/>
      <c r="C701" s="8"/>
      <c r="D701" s="8"/>
      <c r="E701" s="8"/>
      <c r="F701" s="8"/>
      <c r="G701" s="8"/>
    </row>
    <row r="702" ht="15.75" customHeight="1">
      <c r="B702" s="8"/>
      <c r="C702" s="8"/>
      <c r="D702" s="8"/>
      <c r="E702" s="8"/>
      <c r="F702" s="8"/>
      <c r="G702" s="8"/>
    </row>
    <row r="703" ht="15.75" customHeight="1">
      <c r="B703" s="8"/>
      <c r="C703" s="8"/>
      <c r="D703" s="8"/>
      <c r="E703" s="8"/>
      <c r="F703" s="8"/>
      <c r="G703" s="8"/>
    </row>
    <row r="704" ht="15.75" customHeight="1">
      <c r="B704" s="8"/>
      <c r="C704" s="8"/>
      <c r="D704" s="8"/>
      <c r="E704" s="8"/>
      <c r="F704" s="8"/>
      <c r="G704" s="8"/>
    </row>
    <row r="705" ht="15.75" customHeight="1">
      <c r="B705" s="8"/>
      <c r="C705" s="8"/>
      <c r="D705" s="8"/>
      <c r="E705" s="8"/>
      <c r="F705" s="8"/>
      <c r="G705" s="8"/>
    </row>
    <row r="706" ht="15.75" customHeight="1">
      <c r="B706" s="8"/>
      <c r="C706" s="8"/>
      <c r="D706" s="8"/>
      <c r="E706" s="8"/>
      <c r="F706" s="8"/>
      <c r="G706" s="8"/>
    </row>
    <row r="707" ht="15.75" customHeight="1">
      <c r="B707" s="8"/>
      <c r="C707" s="8"/>
      <c r="D707" s="8"/>
      <c r="E707" s="8"/>
      <c r="F707" s="8"/>
      <c r="G707" s="8"/>
    </row>
    <row r="708" ht="15.75" customHeight="1">
      <c r="B708" s="8"/>
      <c r="C708" s="8"/>
      <c r="D708" s="8"/>
      <c r="E708" s="8"/>
      <c r="F708" s="8"/>
      <c r="G708" s="8"/>
    </row>
    <row r="709" ht="15.75" customHeight="1">
      <c r="B709" s="8"/>
      <c r="C709" s="8"/>
      <c r="D709" s="8"/>
      <c r="E709" s="8"/>
      <c r="F709" s="8"/>
      <c r="G709" s="8"/>
    </row>
    <row r="710" ht="15.75" customHeight="1">
      <c r="B710" s="8"/>
      <c r="C710" s="8"/>
      <c r="D710" s="8"/>
      <c r="E710" s="8"/>
      <c r="F710" s="8"/>
      <c r="G710" s="8"/>
    </row>
    <row r="711" ht="15.75" customHeight="1">
      <c r="B711" s="8"/>
      <c r="C711" s="8"/>
      <c r="D711" s="8"/>
      <c r="E711" s="8"/>
      <c r="F711" s="8"/>
      <c r="G711" s="8"/>
    </row>
    <row r="712" ht="15.75" customHeight="1">
      <c r="B712" s="8"/>
      <c r="C712" s="8"/>
      <c r="D712" s="8"/>
      <c r="E712" s="8"/>
      <c r="F712" s="8"/>
      <c r="G712" s="8"/>
    </row>
    <row r="713" ht="15.75" customHeight="1">
      <c r="B713" s="8"/>
      <c r="C713" s="8"/>
      <c r="D713" s="8"/>
      <c r="E713" s="8"/>
      <c r="F713" s="8"/>
      <c r="G713" s="8"/>
    </row>
    <row r="714" ht="15.75" customHeight="1">
      <c r="B714" s="8"/>
      <c r="C714" s="8"/>
      <c r="D714" s="8"/>
      <c r="E714" s="8"/>
      <c r="F714" s="8"/>
      <c r="G714" s="8"/>
    </row>
    <row r="715" ht="15.75" customHeight="1">
      <c r="B715" s="8"/>
      <c r="C715" s="8"/>
      <c r="D715" s="8"/>
      <c r="E715" s="8"/>
      <c r="F715" s="8"/>
      <c r="G715" s="8"/>
    </row>
    <row r="716" ht="15.75" customHeight="1">
      <c r="B716" s="8"/>
      <c r="C716" s="8"/>
      <c r="D716" s="8"/>
      <c r="E716" s="8"/>
      <c r="F716" s="8"/>
      <c r="G716" s="8"/>
    </row>
    <row r="717" ht="15.75" customHeight="1">
      <c r="B717" s="8"/>
      <c r="C717" s="8"/>
      <c r="D717" s="8"/>
      <c r="E717" s="8"/>
      <c r="F717" s="8"/>
      <c r="G717" s="8"/>
    </row>
    <row r="718" ht="15.75" customHeight="1">
      <c r="B718" s="8"/>
      <c r="C718" s="8"/>
      <c r="D718" s="8"/>
      <c r="E718" s="8"/>
      <c r="F718" s="8"/>
      <c r="G718" s="8"/>
    </row>
    <row r="719" ht="15.75" customHeight="1">
      <c r="B719" s="8"/>
      <c r="C719" s="8"/>
      <c r="D719" s="8"/>
      <c r="E719" s="8"/>
      <c r="F719" s="8"/>
      <c r="G719" s="8"/>
    </row>
    <row r="720" ht="15.75" customHeight="1">
      <c r="B720" s="8"/>
      <c r="C720" s="8"/>
      <c r="D720" s="8"/>
      <c r="E720" s="8"/>
      <c r="F720" s="8"/>
      <c r="G720" s="8"/>
    </row>
    <row r="721" ht="15.75" customHeight="1">
      <c r="B721" s="8"/>
      <c r="C721" s="8"/>
      <c r="D721" s="8"/>
      <c r="E721" s="8"/>
      <c r="F721" s="8"/>
      <c r="G721" s="8"/>
    </row>
    <row r="722" ht="15.75" customHeight="1">
      <c r="B722" s="8"/>
      <c r="C722" s="8"/>
      <c r="D722" s="8"/>
      <c r="E722" s="8"/>
      <c r="F722" s="8"/>
      <c r="G722" s="8"/>
    </row>
    <row r="723" ht="15.75" customHeight="1">
      <c r="B723" s="8"/>
      <c r="C723" s="8"/>
      <c r="D723" s="8"/>
      <c r="E723" s="8"/>
      <c r="F723" s="8"/>
      <c r="G723" s="8"/>
    </row>
    <row r="724" ht="15.75" customHeight="1">
      <c r="B724" s="8"/>
      <c r="C724" s="8"/>
      <c r="D724" s="8"/>
      <c r="E724" s="8"/>
      <c r="F724" s="8"/>
      <c r="G724" s="8"/>
    </row>
    <row r="725" ht="15.75" customHeight="1">
      <c r="B725" s="8"/>
      <c r="C725" s="8"/>
      <c r="D725" s="8"/>
      <c r="E725" s="8"/>
      <c r="F725" s="8"/>
      <c r="G725" s="8"/>
    </row>
    <row r="726" ht="15.75" customHeight="1">
      <c r="B726" s="8"/>
      <c r="C726" s="8"/>
      <c r="D726" s="8"/>
      <c r="E726" s="8"/>
      <c r="F726" s="8"/>
      <c r="G726" s="8"/>
    </row>
    <row r="727" ht="15.75" customHeight="1">
      <c r="B727" s="8"/>
      <c r="C727" s="8"/>
      <c r="D727" s="8"/>
      <c r="E727" s="8"/>
      <c r="F727" s="8"/>
      <c r="G727" s="8"/>
    </row>
    <row r="728" ht="15.75" customHeight="1">
      <c r="B728" s="8"/>
      <c r="C728" s="8"/>
      <c r="D728" s="8"/>
      <c r="E728" s="8"/>
      <c r="F728" s="8"/>
      <c r="G728" s="8"/>
    </row>
    <row r="729" ht="15.75" customHeight="1">
      <c r="B729" s="8"/>
      <c r="C729" s="8"/>
      <c r="D729" s="8"/>
      <c r="E729" s="8"/>
      <c r="F729" s="8"/>
      <c r="G729" s="8"/>
    </row>
    <row r="730" ht="15.75" customHeight="1">
      <c r="B730" s="8"/>
      <c r="C730" s="8"/>
      <c r="D730" s="8"/>
      <c r="E730" s="8"/>
      <c r="F730" s="8"/>
      <c r="G730" s="8"/>
    </row>
    <row r="731" ht="15.75" customHeight="1">
      <c r="B731" s="8"/>
      <c r="C731" s="8"/>
      <c r="D731" s="8"/>
      <c r="E731" s="8"/>
      <c r="F731" s="8"/>
      <c r="G731" s="8"/>
    </row>
    <row r="732" ht="15.75" customHeight="1">
      <c r="B732" s="8"/>
      <c r="C732" s="8"/>
      <c r="D732" s="8"/>
      <c r="E732" s="8"/>
      <c r="F732" s="8"/>
      <c r="G732" s="8"/>
    </row>
    <row r="733" ht="15.75" customHeight="1">
      <c r="B733" s="8"/>
      <c r="C733" s="8"/>
      <c r="D733" s="8"/>
      <c r="E733" s="8"/>
      <c r="F733" s="8"/>
      <c r="G733" s="8"/>
    </row>
    <row r="734" ht="15.75" customHeight="1">
      <c r="B734" s="8"/>
      <c r="C734" s="8"/>
      <c r="D734" s="8"/>
      <c r="E734" s="8"/>
      <c r="F734" s="8"/>
      <c r="G734" s="8"/>
    </row>
    <row r="735" ht="15.75" customHeight="1">
      <c r="B735" s="8"/>
      <c r="C735" s="8"/>
      <c r="D735" s="8"/>
      <c r="E735" s="8"/>
      <c r="F735" s="8"/>
      <c r="G735" s="8"/>
    </row>
    <row r="736" ht="15.75" customHeight="1">
      <c r="B736" s="8"/>
      <c r="C736" s="8"/>
      <c r="D736" s="8"/>
      <c r="E736" s="8"/>
      <c r="F736" s="8"/>
      <c r="G736" s="8"/>
    </row>
    <row r="737" ht="15.75" customHeight="1">
      <c r="B737" s="8"/>
      <c r="C737" s="8"/>
      <c r="D737" s="8"/>
      <c r="E737" s="8"/>
      <c r="F737" s="8"/>
      <c r="G737" s="8"/>
    </row>
    <row r="738" ht="15.75" customHeight="1">
      <c r="B738" s="8"/>
      <c r="C738" s="8"/>
      <c r="D738" s="8"/>
      <c r="E738" s="8"/>
      <c r="F738" s="8"/>
      <c r="G738" s="8"/>
    </row>
    <row r="739" ht="15.75" customHeight="1">
      <c r="B739" s="8"/>
      <c r="C739" s="8"/>
      <c r="D739" s="8"/>
      <c r="E739" s="8"/>
      <c r="F739" s="8"/>
      <c r="G739" s="8"/>
    </row>
    <row r="740" ht="15.75" customHeight="1">
      <c r="B740" s="8"/>
      <c r="C740" s="8"/>
      <c r="D740" s="8"/>
      <c r="E740" s="8"/>
      <c r="F740" s="8"/>
      <c r="G740" s="8"/>
    </row>
    <row r="741" ht="15.75" customHeight="1">
      <c r="B741" s="8"/>
      <c r="C741" s="8"/>
      <c r="D741" s="8"/>
      <c r="E741" s="8"/>
      <c r="F741" s="8"/>
      <c r="G741" s="8"/>
    </row>
    <row r="742" ht="15.75" customHeight="1">
      <c r="B742" s="8"/>
      <c r="C742" s="8"/>
      <c r="D742" s="8"/>
      <c r="E742" s="8"/>
      <c r="F742" s="8"/>
      <c r="G742" s="8"/>
    </row>
    <row r="743" ht="15.75" customHeight="1">
      <c r="B743" s="8"/>
      <c r="C743" s="8"/>
      <c r="D743" s="8"/>
      <c r="E743" s="8"/>
      <c r="F743" s="8"/>
      <c r="G743" s="8"/>
    </row>
    <row r="744" ht="15.75" customHeight="1">
      <c r="B744" s="8"/>
      <c r="C744" s="8"/>
      <c r="D744" s="8"/>
      <c r="E744" s="8"/>
      <c r="F744" s="8"/>
      <c r="G744" s="8"/>
    </row>
    <row r="745" ht="15.75" customHeight="1">
      <c r="B745" s="8"/>
      <c r="C745" s="8"/>
      <c r="D745" s="8"/>
      <c r="E745" s="8"/>
      <c r="F745" s="8"/>
      <c r="G745" s="8"/>
    </row>
    <row r="746" ht="15.75" customHeight="1">
      <c r="B746" s="8"/>
      <c r="C746" s="8"/>
      <c r="D746" s="8"/>
      <c r="E746" s="8"/>
      <c r="F746" s="8"/>
      <c r="G746" s="8"/>
    </row>
    <row r="747" ht="15.75" customHeight="1">
      <c r="B747" s="8"/>
      <c r="C747" s="8"/>
      <c r="D747" s="8"/>
      <c r="E747" s="8"/>
      <c r="F747" s="8"/>
      <c r="G747" s="8"/>
    </row>
    <row r="748" ht="15.75" customHeight="1">
      <c r="B748" s="8"/>
      <c r="C748" s="8"/>
      <c r="D748" s="8"/>
      <c r="E748" s="8"/>
      <c r="F748" s="8"/>
      <c r="G748" s="8"/>
    </row>
    <row r="749" ht="15.75" customHeight="1">
      <c r="B749" s="8"/>
      <c r="C749" s="8"/>
      <c r="D749" s="8"/>
      <c r="E749" s="8"/>
      <c r="F749" s="8"/>
      <c r="G749" s="8"/>
    </row>
    <row r="750" ht="15.75" customHeight="1">
      <c r="B750" s="8"/>
      <c r="C750" s="8"/>
      <c r="D750" s="8"/>
      <c r="E750" s="8"/>
      <c r="F750" s="8"/>
      <c r="G750" s="8"/>
    </row>
    <row r="751" ht="15.75" customHeight="1">
      <c r="B751" s="8"/>
      <c r="C751" s="8"/>
      <c r="D751" s="8"/>
      <c r="E751" s="8"/>
      <c r="F751" s="8"/>
      <c r="G751" s="8"/>
    </row>
    <row r="752" ht="15.75" customHeight="1">
      <c r="B752" s="8"/>
      <c r="C752" s="8"/>
      <c r="D752" s="8"/>
      <c r="E752" s="8"/>
      <c r="F752" s="8"/>
      <c r="G752" s="8"/>
    </row>
    <row r="753" ht="15.75" customHeight="1">
      <c r="B753" s="8"/>
      <c r="C753" s="8"/>
      <c r="D753" s="8"/>
      <c r="E753" s="8"/>
      <c r="F753" s="8"/>
      <c r="G753" s="8"/>
    </row>
    <row r="754" ht="15.75" customHeight="1">
      <c r="B754" s="8"/>
      <c r="C754" s="8"/>
      <c r="D754" s="8"/>
      <c r="E754" s="8"/>
      <c r="F754" s="8"/>
      <c r="G754" s="8"/>
    </row>
    <row r="755" ht="15.75" customHeight="1">
      <c r="B755" s="8"/>
      <c r="C755" s="8"/>
      <c r="D755" s="8"/>
      <c r="E755" s="8"/>
      <c r="F755" s="8"/>
      <c r="G755" s="8"/>
    </row>
    <row r="756" ht="15.75" customHeight="1">
      <c r="B756" s="8"/>
      <c r="C756" s="8"/>
      <c r="D756" s="8"/>
      <c r="E756" s="8"/>
      <c r="F756" s="8"/>
      <c r="G756" s="8"/>
    </row>
    <row r="757" ht="15.75" customHeight="1">
      <c r="B757" s="8"/>
      <c r="C757" s="8"/>
      <c r="D757" s="8"/>
      <c r="E757" s="8"/>
      <c r="F757" s="8"/>
      <c r="G757" s="8"/>
    </row>
    <row r="758" ht="15.75" customHeight="1">
      <c r="B758" s="8"/>
      <c r="C758" s="8"/>
      <c r="D758" s="8"/>
      <c r="E758" s="8"/>
      <c r="F758" s="8"/>
      <c r="G758" s="8"/>
    </row>
    <row r="759" ht="15.75" customHeight="1">
      <c r="B759" s="8"/>
      <c r="C759" s="8"/>
      <c r="D759" s="8"/>
      <c r="E759" s="8"/>
      <c r="F759" s="8"/>
      <c r="G759" s="8"/>
    </row>
    <row r="760" ht="15.75" customHeight="1">
      <c r="B760" s="8"/>
      <c r="C760" s="8"/>
      <c r="D760" s="8"/>
      <c r="E760" s="8"/>
      <c r="F760" s="8"/>
      <c r="G760" s="8"/>
    </row>
    <row r="761" ht="15.75" customHeight="1">
      <c r="B761" s="8"/>
      <c r="C761" s="8"/>
      <c r="D761" s="8"/>
      <c r="E761" s="8"/>
      <c r="F761" s="8"/>
      <c r="G761" s="8"/>
    </row>
    <row r="762" ht="15.75" customHeight="1">
      <c r="B762" s="8"/>
      <c r="C762" s="8"/>
      <c r="D762" s="8"/>
      <c r="E762" s="8"/>
      <c r="F762" s="8"/>
      <c r="G762" s="8"/>
    </row>
    <row r="763" ht="15.75" customHeight="1">
      <c r="B763" s="8"/>
      <c r="C763" s="8"/>
      <c r="D763" s="8"/>
      <c r="E763" s="8"/>
      <c r="F763" s="8"/>
      <c r="G763" s="8"/>
    </row>
    <row r="764" ht="15.75" customHeight="1">
      <c r="B764" s="8"/>
      <c r="C764" s="8"/>
      <c r="D764" s="8"/>
      <c r="E764" s="8"/>
      <c r="F764" s="8"/>
      <c r="G764" s="8"/>
    </row>
    <row r="765" ht="15.75" customHeight="1">
      <c r="B765" s="8"/>
      <c r="C765" s="8"/>
      <c r="D765" s="8"/>
      <c r="E765" s="8"/>
      <c r="F765" s="8"/>
      <c r="G765" s="8"/>
    </row>
    <row r="766" ht="15.75" customHeight="1">
      <c r="B766" s="8"/>
      <c r="C766" s="8"/>
      <c r="D766" s="8"/>
      <c r="E766" s="8"/>
      <c r="F766" s="8"/>
      <c r="G766" s="8"/>
    </row>
    <row r="767" ht="15.75" customHeight="1">
      <c r="B767" s="8"/>
      <c r="C767" s="8"/>
      <c r="D767" s="8"/>
      <c r="E767" s="8"/>
      <c r="F767" s="8"/>
      <c r="G767" s="8"/>
    </row>
    <row r="768" ht="15.75" customHeight="1">
      <c r="B768" s="8"/>
      <c r="C768" s="8"/>
      <c r="D768" s="8"/>
      <c r="E768" s="8"/>
      <c r="F768" s="8"/>
      <c r="G768" s="8"/>
    </row>
    <row r="769" ht="15.75" customHeight="1">
      <c r="B769" s="8"/>
      <c r="C769" s="8"/>
      <c r="D769" s="8"/>
      <c r="E769" s="8"/>
      <c r="F769" s="8"/>
      <c r="G769" s="8"/>
    </row>
    <row r="770" ht="15.75" customHeight="1">
      <c r="B770" s="8"/>
      <c r="C770" s="8"/>
      <c r="D770" s="8"/>
      <c r="E770" s="8"/>
      <c r="F770" s="8"/>
      <c r="G770" s="8"/>
    </row>
    <row r="771" ht="15.75" customHeight="1">
      <c r="B771" s="8"/>
      <c r="C771" s="8"/>
      <c r="D771" s="8"/>
      <c r="E771" s="8"/>
      <c r="F771" s="8"/>
      <c r="G771" s="8"/>
    </row>
    <row r="772" ht="15.75" customHeight="1">
      <c r="B772" s="8"/>
      <c r="C772" s="8"/>
      <c r="D772" s="8"/>
      <c r="E772" s="8"/>
      <c r="F772" s="8"/>
      <c r="G772" s="8"/>
    </row>
    <row r="773" ht="15.75" customHeight="1">
      <c r="B773" s="8"/>
      <c r="C773" s="8"/>
      <c r="D773" s="8"/>
      <c r="E773" s="8"/>
      <c r="F773" s="8"/>
      <c r="G773" s="8"/>
    </row>
    <row r="774" ht="15.75" customHeight="1">
      <c r="B774" s="8"/>
      <c r="C774" s="8"/>
      <c r="D774" s="8"/>
      <c r="E774" s="8"/>
      <c r="F774" s="8"/>
      <c r="G774" s="8"/>
    </row>
    <row r="775" ht="15.75" customHeight="1">
      <c r="B775" s="8"/>
      <c r="C775" s="8"/>
      <c r="D775" s="8"/>
      <c r="E775" s="8"/>
      <c r="F775" s="8"/>
      <c r="G775" s="8"/>
    </row>
    <row r="776" ht="15.75" customHeight="1">
      <c r="B776" s="8"/>
      <c r="C776" s="8"/>
      <c r="D776" s="8"/>
      <c r="E776" s="8"/>
      <c r="F776" s="8"/>
      <c r="G776" s="8"/>
    </row>
    <row r="777" ht="15.75" customHeight="1">
      <c r="B777" s="8"/>
      <c r="C777" s="8"/>
      <c r="D777" s="8"/>
      <c r="E777" s="8"/>
      <c r="F777" s="8"/>
      <c r="G777" s="8"/>
    </row>
    <row r="778" ht="15.75" customHeight="1">
      <c r="B778" s="8"/>
      <c r="C778" s="8"/>
      <c r="D778" s="8"/>
      <c r="E778" s="8"/>
      <c r="F778" s="8"/>
      <c r="G778" s="8"/>
    </row>
    <row r="779" ht="15.75" customHeight="1">
      <c r="B779" s="8"/>
      <c r="C779" s="8"/>
      <c r="D779" s="8"/>
      <c r="E779" s="8"/>
      <c r="F779" s="8"/>
      <c r="G779" s="8"/>
    </row>
    <row r="780" ht="15.75" customHeight="1">
      <c r="B780" s="8"/>
      <c r="C780" s="8"/>
      <c r="D780" s="8"/>
      <c r="E780" s="8"/>
      <c r="F780" s="8"/>
      <c r="G780" s="8"/>
    </row>
    <row r="781" ht="15.75" customHeight="1">
      <c r="B781" s="8"/>
      <c r="C781" s="8"/>
      <c r="D781" s="8"/>
      <c r="E781" s="8"/>
      <c r="F781" s="8"/>
      <c r="G781" s="8"/>
    </row>
    <row r="782" ht="15.75" customHeight="1">
      <c r="B782" s="8"/>
      <c r="C782" s="8"/>
      <c r="D782" s="8"/>
      <c r="E782" s="8"/>
      <c r="F782" s="8"/>
      <c r="G782" s="8"/>
    </row>
    <row r="783" ht="15.75" customHeight="1">
      <c r="B783" s="8"/>
      <c r="C783" s="8"/>
      <c r="D783" s="8"/>
      <c r="E783" s="8"/>
      <c r="F783" s="8"/>
      <c r="G783" s="8"/>
    </row>
    <row r="784" ht="15.75" customHeight="1">
      <c r="B784" s="8"/>
      <c r="C784" s="8"/>
      <c r="D784" s="8"/>
      <c r="E784" s="8"/>
      <c r="F784" s="8"/>
      <c r="G784" s="8"/>
    </row>
    <row r="785" ht="15.75" customHeight="1">
      <c r="B785" s="8"/>
      <c r="C785" s="8"/>
      <c r="D785" s="8"/>
      <c r="E785" s="8"/>
      <c r="F785" s="8"/>
      <c r="G785" s="8"/>
    </row>
    <row r="786" ht="15.75" customHeight="1">
      <c r="B786" s="8"/>
      <c r="C786" s="8"/>
      <c r="D786" s="8"/>
      <c r="E786" s="8"/>
      <c r="F786" s="8"/>
      <c r="G786" s="8"/>
    </row>
    <row r="787" ht="15.75" customHeight="1">
      <c r="B787" s="8"/>
      <c r="C787" s="8"/>
      <c r="D787" s="8"/>
      <c r="E787" s="8"/>
      <c r="F787" s="8"/>
      <c r="G787" s="8"/>
    </row>
    <row r="788" ht="15.75" customHeight="1">
      <c r="B788" s="8"/>
      <c r="C788" s="8"/>
      <c r="D788" s="8"/>
      <c r="E788" s="8"/>
      <c r="F788" s="8"/>
      <c r="G788" s="8"/>
    </row>
    <row r="789" ht="15.75" customHeight="1">
      <c r="B789" s="8"/>
      <c r="C789" s="8"/>
      <c r="D789" s="8"/>
      <c r="E789" s="8"/>
      <c r="F789" s="8"/>
      <c r="G789" s="8"/>
    </row>
    <row r="790" ht="15.75" customHeight="1">
      <c r="B790" s="8"/>
      <c r="C790" s="8"/>
      <c r="D790" s="8"/>
      <c r="E790" s="8"/>
      <c r="F790" s="8"/>
      <c r="G790" s="8"/>
    </row>
    <row r="791" ht="15.75" customHeight="1">
      <c r="B791" s="8"/>
      <c r="C791" s="8"/>
      <c r="D791" s="8"/>
      <c r="E791" s="8"/>
      <c r="F791" s="8"/>
      <c r="G791" s="8"/>
    </row>
    <row r="792" ht="15.75" customHeight="1">
      <c r="B792" s="8"/>
      <c r="C792" s="8"/>
      <c r="D792" s="8"/>
      <c r="E792" s="8"/>
      <c r="F792" s="8"/>
      <c r="G792" s="8"/>
    </row>
    <row r="793" ht="15.75" customHeight="1">
      <c r="B793" s="8"/>
      <c r="C793" s="8"/>
      <c r="D793" s="8"/>
      <c r="E793" s="8"/>
      <c r="F793" s="8"/>
      <c r="G793" s="8"/>
    </row>
    <row r="794" ht="15.75" customHeight="1">
      <c r="B794" s="8"/>
      <c r="C794" s="8"/>
      <c r="D794" s="8"/>
      <c r="E794" s="8"/>
      <c r="F794" s="8"/>
      <c r="G794" s="8"/>
    </row>
    <row r="795" ht="15.75" customHeight="1">
      <c r="B795" s="8"/>
      <c r="C795" s="8"/>
      <c r="D795" s="8"/>
      <c r="E795" s="8"/>
      <c r="F795" s="8"/>
      <c r="G795" s="8"/>
    </row>
    <row r="796" ht="15.75" customHeight="1">
      <c r="B796" s="8"/>
      <c r="C796" s="8"/>
      <c r="D796" s="8"/>
      <c r="E796" s="8"/>
      <c r="F796" s="8"/>
      <c r="G796" s="8"/>
    </row>
    <row r="797" ht="15.75" customHeight="1">
      <c r="B797" s="8"/>
      <c r="C797" s="8"/>
      <c r="D797" s="8"/>
      <c r="E797" s="8"/>
      <c r="F797" s="8"/>
      <c r="G797" s="8"/>
    </row>
    <row r="798" ht="15.75" customHeight="1">
      <c r="B798" s="8"/>
      <c r="C798" s="8"/>
      <c r="D798" s="8"/>
      <c r="E798" s="8"/>
      <c r="F798" s="8"/>
      <c r="G798" s="8"/>
    </row>
    <row r="799" ht="15.75" customHeight="1">
      <c r="B799" s="8"/>
      <c r="C799" s="8"/>
      <c r="D799" s="8"/>
      <c r="E799" s="8"/>
      <c r="F799" s="8"/>
      <c r="G799" s="8"/>
    </row>
    <row r="800" ht="15.75" customHeight="1">
      <c r="B800" s="8"/>
      <c r="C800" s="8"/>
      <c r="D800" s="8"/>
      <c r="E800" s="8"/>
      <c r="F800" s="8"/>
      <c r="G800" s="8"/>
    </row>
    <row r="801" ht="15.75" customHeight="1">
      <c r="B801" s="8"/>
      <c r="C801" s="8"/>
      <c r="D801" s="8"/>
      <c r="E801" s="8"/>
      <c r="F801" s="8"/>
      <c r="G801" s="8"/>
    </row>
    <row r="802" ht="15.75" customHeight="1">
      <c r="B802" s="8"/>
      <c r="C802" s="8"/>
      <c r="D802" s="8"/>
      <c r="E802" s="8"/>
      <c r="F802" s="8"/>
      <c r="G802" s="8"/>
    </row>
    <row r="803" ht="15.75" customHeight="1">
      <c r="B803" s="8"/>
      <c r="C803" s="8"/>
      <c r="D803" s="8"/>
      <c r="E803" s="8"/>
      <c r="F803" s="8"/>
      <c r="G803" s="8"/>
    </row>
    <row r="804" ht="15.75" customHeight="1">
      <c r="B804" s="8"/>
      <c r="C804" s="8"/>
      <c r="D804" s="8"/>
      <c r="E804" s="8"/>
      <c r="F804" s="8"/>
      <c r="G804" s="8"/>
    </row>
    <row r="805" ht="15.75" customHeight="1">
      <c r="B805" s="8"/>
      <c r="C805" s="8"/>
      <c r="D805" s="8"/>
      <c r="E805" s="8"/>
      <c r="F805" s="8"/>
      <c r="G805" s="8"/>
    </row>
    <row r="806" ht="15.75" customHeight="1">
      <c r="B806" s="8"/>
      <c r="C806" s="8"/>
      <c r="D806" s="8"/>
      <c r="E806" s="8"/>
      <c r="F806" s="8"/>
      <c r="G806" s="8"/>
    </row>
    <row r="807" ht="15.75" customHeight="1">
      <c r="B807" s="8"/>
      <c r="C807" s="8"/>
      <c r="D807" s="8"/>
      <c r="E807" s="8"/>
      <c r="F807" s="8"/>
      <c r="G807" s="8"/>
    </row>
    <row r="808" ht="15.75" customHeight="1">
      <c r="B808" s="8"/>
      <c r="C808" s="8"/>
      <c r="D808" s="8"/>
      <c r="E808" s="8"/>
      <c r="F808" s="8"/>
      <c r="G808" s="8"/>
    </row>
    <row r="809" ht="15.75" customHeight="1">
      <c r="B809" s="8"/>
      <c r="C809" s="8"/>
      <c r="D809" s="8"/>
      <c r="E809" s="8"/>
      <c r="F809" s="8"/>
      <c r="G809" s="8"/>
    </row>
    <row r="810" ht="15.75" customHeight="1">
      <c r="B810" s="8"/>
      <c r="C810" s="8"/>
      <c r="D810" s="8"/>
      <c r="E810" s="8"/>
      <c r="F810" s="8"/>
      <c r="G810" s="8"/>
    </row>
    <row r="811" ht="15.75" customHeight="1">
      <c r="B811" s="8"/>
      <c r="C811" s="8"/>
      <c r="D811" s="8"/>
      <c r="E811" s="8"/>
      <c r="F811" s="8"/>
      <c r="G811" s="8"/>
    </row>
    <row r="812" ht="15.75" customHeight="1">
      <c r="B812" s="8"/>
      <c r="C812" s="8"/>
      <c r="D812" s="8"/>
      <c r="E812" s="8"/>
      <c r="F812" s="8"/>
      <c r="G812" s="8"/>
    </row>
    <row r="813" ht="15.75" customHeight="1">
      <c r="B813" s="8"/>
      <c r="C813" s="8"/>
      <c r="D813" s="8"/>
      <c r="E813" s="8"/>
      <c r="F813" s="8"/>
      <c r="G813" s="8"/>
    </row>
    <row r="814" ht="15.75" customHeight="1">
      <c r="B814" s="8"/>
      <c r="C814" s="8"/>
      <c r="D814" s="8"/>
      <c r="E814" s="8"/>
      <c r="F814" s="8"/>
      <c r="G814" s="8"/>
    </row>
    <row r="815" ht="15.75" customHeight="1">
      <c r="B815" s="8"/>
      <c r="C815" s="8"/>
      <c r="D815" s="8"/>
      <c r="E815" s="8"/>
      <c r="F815" s="8"/>
      <c r="G815" s="8"/>
    </row>
    <row r="816" ht="15.75" customHeight="1">
      <c r="B816" s="8"/>
      <c r="C816" s="8"/>
      <c r="D816" s="8"/>
      <c r="E816" s="8"/>
      <c r="F816" s="8"/>
      <c r="G816" s="8"/>
    </row>
    <row r="817" ht="15.75" customHeight="1">
      <c r="B817" s="8"/>
      <c r="C817" s="8"/>
      <c r="D817" s="8"/>
      <c r="E817" s="8"/>
      <c r="F817" s="8"/>
      <c r="G817" s="8"/>
    </row>
    <row r="818" ht="15.75" customHeight="1">
      <c r="B818" s="8"/>
      <c r="C818" s="8"/>
      <c r="D818" s="8"/>
      <c r="E818" s="8"/>
      <c r="F818" s="8"/>
      <c r="G818" s="8"/>
    </row>
    <row r="819" ht="15.75" customHeight="1">
      <c r="B819" s="8"/>
      <c r="C819" s="8"/>
      <c r="D819" s="8"/>
      <c r="E819" s="8"/>
      <c r="F819" s="8"/>
      <c r="G819" s="8"/>
    </row>
    <row r="820" ht="15.75" customHeight="1">
      <c r="B820" s="8"/>
      <c r="C820" s="8"/>
      <c r="D820" s="8"/>
      <c r="E820" s="8"/>
      <c r="F820" s="8"/>
      <c r="G820" s="8"/>
    </row>
    <row r="821" ht="15.75" customHeight="1">
      <c r="B821" s="8"/>
      <c r="C821" s="8"/>
      <c r="D821" s="8"/>
      <c r="E821" s="8"/>
      <c r="F821" s="8"/>
      <c r="G821" s="8"/>
    </row>
    <row r="822" ht="15.75" customHeight="1">
      <c r="B822" s="8"/>
      <c r="C822" s="8"/>
      <c r="D822" s="8"/>
      <c r="E822" s="8"/>
      <c r="F822" s="8"/>
      <c r="G822" s="8"/>
    </row>
    <row r="823" ht="15.75" customHeight="1">
      <c r="B823" s="8"/>
      <c r="C823" s="8"/>
      <c r="D823" s="8"/>
      <c r="E823" s="8"/>
      <c r="F823" s="8"/>
      <c r="G823" s="8"/>
    </row>
    <row r="824" ht="15.75" customHeight="1">
      <c r="B824" s="8"/>
      <c r="C824" s="8"/>
      <c r="D824" s="8"/>
      <c r="E824" s="8"/>
      <c r="F824" s="8"/>
      <c r="G824" s="8"/>
    </row>
    <row r="825" ht="15.75" customHeight="1">
      <c r="B825" s="8"/>
      <c r="C825" s="8"/>
      <c r="D825" s="8"/>
      <c r="E825" s="8"/>
      <c r="F825" s="8"/>
      <c r="G825" s="8"/>
    </row>
    <row r="826" ht="15.75" customHeight="1">
      <c r="B826" s="8"/>
      <c r="C826" s="8"/>
      <c r="D826" s="8"/>
      <c r="E826" s="8"/>
      <c r="F826" s="8"/>
      <c r="G826" s="8"/>
    </row>
    <row r="827" ht="15.75" customHeight="1">
      <c r="B827" s="8"/>
      <c r="C827" s="8"/>
      <c r="D827" s="8"/>
      <c r="E827" s="8"/>
      <c r="F827" s="8"/>
      <c r="G827" s="8"/>
    </row>
    <row r="828" ht="15.75" customHeight="1">
      <c r="B828" s="8"/>
      <c r="C828" s="8"/>
      <c r="D828" s="8"/>
      <c r="E828" s="8"/>
      <c r="F828" s="8"/>
      <c r="G828" s="8"/>
    </row>
    <row r="829" ht="15.75" customHeight="1">
      <c r="B829" s="8"/>
      <c r="C829" s="8"/>
      <c r="D829" s="8"/>
      <c r="E829" s="8"/>
      <c r="F829" s="8"/>
      <c r="G829" s="8"/>
    </row>
    <row r="830" ht="15.75" customHeight="1">
      <c r="B830" s="8"/>
      <c r="C830" s="8"/>
      <c r="D830" s="8"/>
      <c r="E830" s="8"/>
      <c r="F830" s="8"/>
      <c r="G830" s="8"/>
    </row>
    <row r="831" ht="15.75" customHeight="1">
      <c r="B831" s="8"/>
      <c r="C831" s="8"/>
      <c r="D831" s="8"/>
      <c r="E831" s="8"/>
      <c r="F831" s="8"/>
      <c r="G831" s="8"/>
    </row>
    <row r="832" ht="15.75" customHeight="1">
      <c r="B832" s="8"/>
      <c r="C832" s="8"/>
      <c r="D832" s="8"/>
      <c r="E832" s="8"/>
      <c r="F832" s="8"/>
      <c r="G832" s="8"/>
    </row>
    <row r="833" ht="15.75" customHeight="1">
      <c r="B833" s="8"/>
      <c r="C833" s="8"/>
      <c r="D833" s="8"/>
      <c r="E833" s="8"/>
      <c r="F833" s="8"/>
      <c r="G833" s="8"/>
    </row>
    <row r="834" ht="15.75" customHeight="1">
      <c r="B834" s="8"/>
      <c r="C834" s="8"/>
      <c r="D834" s="8"/>
      <c r="E834" s="8"/>
      <c r="F834" s="8"/>
      <c r="G834" s="8"/>
    </row>
    <row r="835" ht="15.75" customHeight="1">
      <c r="B835" s="8"/>
      <c r="C835" s="8"/>
      <c r="D835" s="8"/>
      <c r="E835" s="8"/>
      <c r="F835" s="8"/>
      <c r="G835" s="8"/>
    </row>
    <row r="836" ht="15.75" customHeight="1">
      <c r="B836" s="8"/>
      <c r="C836" s="8"/>
      <c r="D836" s="8"/>
      <c r="E836" s="8"/>
      <c r="F836" s="8"/>
      <c r="G836" s="8"/>
    </row>
    <row r="837" ht="15.75" customHeight="1">
      <c r="B837" s="8"/>
      <c r="C837" s="8"/>
      <c r="D837" s="8"/>
      <c r="E837" s="8"/>
      <c r="F837" s="8"/>
      <c r="G837" s="8"/>
    </row>
    <row r="838" ht="15.75" customHeight="1">
      <c r="B838" s="8"/>
      <c r="C838" s="8"/>
      <c r="D838" s="8"/>
      <c r="E838" s="8"/>
      <c r="F838" s="8"/>
      <c r="G838" s="8"/>
    </row>
    <row r="839" ht="15.75" customHeight="1">
      <c r="B839" s="8"/>
      <c r="C839" s="8"/>
      <c r="D839" s="8"/>
      <c r="E839" s="8"/>
      <c r="F839" s="8"/>
      <c r="G839" s="8"/>
    </row>
    <row r="840" ht="15.75" customHeight="1">
      <c r="B840" s="8"/>
      <c r="C840" s="8"/>
      <c r="D840" s="8"/>
      <c r="E840" s="8"/>
      <c r="F840" s="8"/>
      <c r="G840" s="8"/>
    </row>
    <row r="841" ht="15.75" customHeight="1">
      <c r="B841" s="8"/>
      <c r="C841" s="8"/>
      <c r="D841" s="8"/>
      <c r="E841" s="8"/>
      <c r="F841" s="8"/>
      <c r="G841" s="8"/>
    </row>
    <row r="842" ht="15.75" customHeight="1">
      <c r="B842" s="8"/>
      <c r="C842" s="8"/>
      <c r="D842" s="8"/>
      <c r="E842" s="8"/>
      <c r="F842" s="8"/>
      <c r="G842" s="8"/>
    </row>
    <row r="843" ht="15.75" customHeight="1">
      <c r="B843" s="8"/>
      <c r="C843" s="8"/>
      <c r="D843" s="8"/>
      <c r="E843" s="8"/>
      <c r="F843" s="8"/>
      <c r="G843" s="8"/>
    </row>
    <row r="844" ht="15.75" customHeight="1">
      <c r="B844" s="8"/>
      <c r="C844" s="8"/>
      <c r="D844" s="8"/>
      <c r="E844" s="8"/>
      <c r="F844" s="8"/>
      <c r="G844" s="8"/>
    </row>
    <row r="845" ht="15.75" customHeight="1">
      <c r="B845" s="8"/>
      <c r="C845" s="8"/>
      <c r="D845" s="8"/>
      <c r="E845" s="8"/>
      <c r="F845" s="8"/>
      <c r="G845" s="8"/>
    </row>
    <row r="846" ht="15.75" customHeight="1">
      <c r="B846" s="8"/>
      <c r="C846" s="8"/>
      <c r="D846" s="8"/>
      <c r="E846" s="8"/>
      <c r="F846" s="8"/>
      <c r="G846" s="8"/>
    </row>
    <row r="847" ht="15.75" customHeight="1">
      <c r="B847" s="8"/>
      <c r="C847" s="8"/>
      <c r="D847" s="8"/>
      <c r="E847" s="8"/>
      <c r="F847" s="8"/>
      <c r="G847" s="8"/>
    </row>
    <row r="848" ht="15.75" customHeight="1">
      <c r="B848" s="8"/>
      <c r="C848" s="8"/>
      <c r="D848" s="8"/>
      <c r="E848" s="8"/>
      <c r="F848" s="8"/>
      <c r="G848" s="8"/>
    </row>
    <row r="849" ht="15.75" customHeight="1">
      <c r="B849" s="8"/>
      <c r="C849" s="8"/>
      <c r="D849" s="8"/>
      <c r="E849" s="8"/>
      <c r="F849" s="8"/>
      <c r="G849" s="8"/>
    </row>
    <row r="850" ht="15.75" customHeight="1">
      <c r="B850" s="8"/>
      <c r="C850" s="8"/>
      <c r="D850" s="8"/>
      <c r="E850" s="8"/>
      <c r="F850" s="8"/>
      <c r="G850" s="8"/>
    </row>
    <row r="851" ht="15.75" customHeight="1">
      <c r="B851" s="8"/>
      <c r="C851" s="8"/>
      <c r="D851" s="8"/>
      <c r="E851" s="8"/>
      <c r="F851" s="8"/>
      <c r="G851" s="8"/>
    </row>
    <row r="852" ht="15.75" customHeight="1">
      <c r="B852" s="8"/>
      <c r="C852" s="8"/>
      <c r="D852" s="8"/>
      <c r="E852" s="8"/>
      <c r="F852" s="8"/>
      <c r="G852" s="8"/>
    </row>
    <row r="853" ht="15.75" customHeight="1">
      <c r="B853" s="8"/>
      <c r="C853" s="8"/>
      <c r="D853" s="8"/>
      <c r="E853" s="8"/>
      <c r="F853" s="8"/>
      <c r="G853" s="8"/>
    </row>
    <row r="854" ht="15.75" customHeight="1">
      <c r="B854" s="8"/>
      <c r="C854" s="8"/>
      <c r="D854" s="8"/>
      <c r="E854" s="8"/>
      <c r="F854" s="8"/>
      <c r="G854" s="8"/>
    </row>
    <row r="855" ht="15.75" customHeight="1">
      <c r="B855" s="8"/>
      <c r="C855" s="8"/>
      <c r="D855" s="8"/>
      <c r="E855" s="8"/>
      <c r="F855" s="8"/>
      <c r="G855" s="8"/>
    </row>
    <row r="856" ht="15.75" customHeight="1">
      <c r="B856" s="8"/>
      <c r="C856" s="8"/>
      <c r="D856" s="8"/>
      <c r="E856" s="8"/>
      <c r="F856" s="8"/>
      <c r="G856" s="8"/>
    </row>
    <row r="857" ht="15.75" customHeight="1">
      <c r="B857" s="8"/>
      <c r="C857" s="8"/>
      <c r="D857" s="8"/>
      <c r="E857" s="8"/>
      <c r="F857" s="8"/>
      <c r="G857" s="8"/>
    </row>
    <row r="858" ht="15.75" customHeight="1">
      <c r="B858" s="8"/>
      <c r="C858" s="8"/>
      <c r="D858" s="8"/>
      <c r="E858" s="8"/>
      <c r="F858" s="8"/>
      <c r="G858" s="8"/>
    </row>
    <row r="859" ht="15.75" customHeight="1">
      <c r="B859" s="8"/>
      <c r="C859" s="8"/>
      <c r="D859" s="8"/>
      <c r="E859" s="8"/>
      <c r="F859" s="8"/>
      <c r="G859" s="8"/>
    </row>
    <row r="860" ht="15.75" customHeight="1">
      <c r="B860" s="8"/>
      <c r="C860" s="8"/>
      <c r="D860" s="8"/>
      <c r="E860" s="8"/>
      <c r="F860" s="8"/>
      <c r="G860" s="8"/>
    </row>
    <row r="861" ht="15.75" customHeight="1">
      <c r="B861" s="8"/>
      <c r="C861" s="8"/>
      <c r="D861" s="8"/>
      <c r="E861" s="8"/>
      <c r="F861" s="8"/>
      <c r="G861" s="8"/>
    </row>
    <row r="862" ht="15.75" customHeight="1">
      <c r="B862" s="8"/>
      <c r="C862" s="8"/>
      <c r="D862" s="8"/>
      <c r="E862" s="8"/>
      <c r="F862" s="8"/>
      <c r="G862" s="8"/>
    </row>
    <row r="863" ht="15.75" customHeight="1">
      <c r="B863" s="8"/>
      <c r="C863" s="8"/>
      <c r="D863" s="8"/>
      <c r="E863" s="8"/>
      <c r="F863" s="8"/>
      <c r="G863" s="8"/>
    </row>
    <row r="864" ht="15.75" customHeight="1">
      <c r="B864" s="8"/>
      <c r="C864" s="8"/>
      <c r="D864" s="8"/>
      <c r="E864" s="8"/>
      <c r="F864" s="8"/>
      <c r="G864" s="8"/>
    </row>
    <row r="865" ht="15.75" customHeight="1">
      <c r="B865" s="8"/>
      <c r="C865" s="8"/>
      <c r="D865" s="8"/>
      <c r="E865" s="8"/>
      <c r="F865" s="8"/>
      <c r="G865" s="8"/>
    </row>
    <row r="866" ht="15.75" customHeight="1">
      <c r="B866" s="8"/>
      <c r="C866" s="8"/>
      <c r="D866" s="8"/>
      <c r="E866" s="8"/>
      <c r="F866" s="8"/>
      <c r="G866" s="8"/>
    </row>
    <row r="867" ht="15.75" customHeight="1">
      <c r="B867" s="8"/>
      <c r="C867" s="8"/>
      <c r="D867" s="8"/>
      <c r="E867" s="8"/>
      <c r="F867" s="8"/>
      <c r="G867" s="8"/>
    </row>
    <row r="868" ht="15.75" customHeight="1">
      <c r="B868" s="8"/>
      <c r="C868" s="8"/>
      <c r="D868" s="8"/>
      <c r="E868" s="8"/>
      <c r="F868" s="8"/>
      <c r="G868" s="8"/>
    </row>
    <row r="869" ht="15.75" customHeight="1">
      <c r="B869" s="8"/>
      <c r="C869" s="8"/>
      <c r="D869" s="8"/>
      <c r="E869" s="8"/>
      <c r="F869" s="8"/>
      <c r="G869" s="8"/>
    </row>
    <row r="870" ht="15.75" customHeight="1">
      <c r="B870" s="8"/>
      <c r="C870" s="8"/>
      <c r="D870" s="8"/>
      <c r="E870" s="8"/>
      <c r="F870" s="8"/>
      <c r="G870" s="8"/>
    </row>
    <row r="871" ht="15.75" customHeight="1">
      <c r="B871" s="8"/>
      <c r="C871" s="8"/>
      <c r="D871" s="8"/>
      <c r="E871" s="8"/>
      <c r="F871" s="8"/>
      <c r="G871" s="8"/>
    </row>
    <row r="872" ht="15.75" customHeight="1">
      <c r="B872" s="8"/>
      <c r="C872" s="8"/>
      <c r="D872" s="8"/>
      <c r="E872" s="8"/>
      <c r="F872" s="8"/>
      <c r="G872" s="8"/>
    </row>
    <row r="873" ht="15.75" customHeight="1">
      <c r="B873" s="8"/>
      <c r="C873" s="8"/>
      <c r="D873" s="8"/>
      <c r="E873" s="8"/>
      <c r="F873" s="8"/>
      <c r="G873" s="8"/>
    </row>
    <row r="874" ht="15.75" customHeight="1">
      <c r="B874" s="8"/>
      <c r="C874" s="8"/>
      <c r="D874" s="8"/>
      <c r="E874" s="8"/>
      <c r="F874" s="8"/>
      <c r="G874" s="8"/>
    </row>
    <row r="875" ht="15.75" customHeight="1">
      <c r="B875" s="8"/>
      <c r="C875" s="8"/>
      <c r="D875" s="8"/>
      <c r="E875" s="8"/>
      <c r="F875" s="8"/>
      <c r="G875" s="8"/>
    </row>
    <row r="876" ht="15.75" customHeight="1">
      <c r="B876" s="8"/>
      <c r="C876" s="8"/>
      <c r="D876" s="8"/>
      <c r="E876" s="8"/>
      <c r="F876" s="8"/>
      <c r="G876" s="8"/>
    </row>
    <row r="877" ht="15.75" customHeight="1">
      <c r="B877" s="8"/>
      <c r="C877" s="8"/>
      <c r="D877" s="8"/>
      <c r="E877" s="8"/>
      <c r="F877" s="8"/>
      <c r="G877" s="8"/>
    </row>
    <row r="878" ht="15.75" customHeight="1">
      <c r="B878" s="8"/>
      <c r="C878" s="8"/>
      <c r="D878" s="8"/>
      <c r="E878" s="8"/>
      <c r="F878" s="8"/>
      <c r="G878" s="8"/>
    </row>
    <row r="879" ht="15.75" customHeight="1">
      <c r="B879" s="8"/>
      <c r="C879" s="8"/>
      <c r="D879" s="8"/>
      <c r="E879" s="8"/>
      <c r="F879" s="8"/>
      <c r="G879" s="8"/>
    </row>
    <row r="880" ht="15.75" customHeight="1">
      <c r="B880" s="8"/>
      <c r="C880" s="8"/>
      <c r="D880" s="8"/>
      <c r="E880" s="8"/>
      <c r="F880" s="8"/>
      <c r="G880" s="8"/>
    </row>
    <row r="881" ht="15.75" customHeight="1">
      <c r="B881" s="8"/>
      <c r="C881" s="8"/>
      <c r="D881" s="8"/>
      <c r="E881" s="8"/>
      <c r="F881" s="8"/>
      <c r="G881" s="8"/>
    </row>
    <row r="882" ht="15.75" customHeight="1">
      <c r="B882" s="8"/>
      <c r="C882" s="8"/>
      <c r="D882" s="8"/>
      <c r="E882" s="8"/>
      <c r="F882" s="8"/>
      <c r="G882" s="8"/>
    </row>
    <row r="883" ht="15.75" customHeight="1">
      <c r="B883" s="8"/>
      <c r="C883" s="8"/>
      <c r="D883" s="8"/>
      <c r="E883" s="8"/>
      <c r="F883" s="8"/>
      <c r="G883" s="8"/>
    </row>
    <row r="884" ht="15.75" customHeight="1">
      <c r="B884" s="8"/>
      <c r="C884" s="8"/>
      <c r="D884" s="8"/>
      <c r="E884" s="8"/>
      <c r="F884" s="8"/>
      <c r="G884" s="8"/>
    </row>
    <row r="885" ht="15.75" customHeight="1">
      <c r="B885" s="8"/>
      <c r="C885" s="8"/>
      <c r="D885" s="8"/>
      <c r="E885" s="8"/>
      <c r="F885" s="8"/>
      <c r="G885" s="8"/>
    </row>
    <row r="886" ht="15.75" customHeight="1">
      <c r="B886" s="8"/>
      <c r="C886" s="8"/>
      <c r="D886" s="8"/>
      <c r="E886" s="8"/>
      <c r="F886" s="8"/>
      <c r="G886" s="8"/>
    </row>
    <row r="887" ht="15.75" customHeight="1">
      <c r="B887" s="8"/>
      <c r="C887" s="8"/>
      <c r="D887" s="8"/>
      <c r="E887" s="8"/>
      <c r="F887" s="8"/>
      <c r="G887" s="8"/>
    </row>
    <row r="888" ht="15.75" customHeight="1">
      <c r="B888" s="8"/>
      <c r="C888" s="8"/>
      <c r="D888" s="8"/>
      <c r="E888" s="8"/>
      <c r="F888" s="8"/>
      <c r="G888" s="8"/>
    </row>
    <row r="889" ht="15.75" customHeight="1">
      <c r="B889" s="8"/>
      <c r="C889" s="8"/>
      <c r="D889" s="8"/>
      <c r="E889" s="8"/>
      <c r="F889" s="8"/>
      <c r="G889" s="8"/>
    </row>
    <row r="890" ht="15.75" customHeight="1">
      <c r="B890" s="8"/>
      <c r="C890" s="8"/>
      <c r="D890" s="8"/>
      <c r="E890" s="8"/>
      <c r="F890" s="8"/>
      <c r="G890" s="8"/>
    </row>
    <row r="891" ht="15.75" customHeight="1">
      <c r="B891" s="8"/>
      <c r="C891" s="8"/>
      <c r="D891" s="8"/>
      <c r="E891" s="8"/>
      <c r="F891" s="8"/>
      <c r="G891" s="8"/>
    </row>
    <row r="892" ht="15.75" customHeight="1">
      <c r="B892" s="8"/>
      <c r="C892" s="8"/>
      <c r="D892" s="8"/>
      <c r="E892" s="8"/>
      <c r="F892" s="8"/>
      <c r="G892" s="8"/>
    </row>
    <row r="893" ht="15.75" customHeight="1">
      <c r="B893" s="8"/>
      <c r="C893" s="8"/>
      <c r="D893" s="8"/>
      <c r="E893" s="8"/>
      <c r="F893" s="8"/>
      <c r="G893" s="8"/>
    </row>
    <row r="894" ht="15.75" customHeight="1">
      <c r="B894" s="8"/>
      <c r="C894" s="8"/>
      <c r="D894" s="8"/>
      <c r="E894" s="8"/>
      <c r="F894" s="8"/>
      <c r="G894" s="8"/>
    </row>
    <row r="895" ht="15.75" customHeight="1">
      <c r="B895" s="8"/>
      <c r="C895" s="8"/>
      <c r="D895" s="8"/>
      <c r="E895" s="8"/>
      <c r="F895" s="8"/>
      <c r="G895" s="8"/>
    </row>
    <row r="896" ht="15.75" customHeight="1">
      <c r="B896" s="8"/>
      <c r="C896" s="8"/>
      <c r="D896" s="8"/>
      <c r="E896" s="8"/>
      <c r="F896" s="8"/>
      <c r="G896" s="8"/>
    </row>
    <row r="897" ht="15.75" customHeight="1">
      <c r="B897" s="8"/>
      <c r="C897" s="8"/>
      <c r="D897" s="8"/>
      <c r="E897" s="8"/>
      <c r="F897" s="8"/>
      <c r="G897" s="8"/>
    </row>
    <row r="898" ht="15.75" customHeight="1">
      <c r="B898" s="8"/>
      <c r="C898" s="8"/>
      <c r="D898" s="8"/>
      <c r="E898" s="8"/>
      <c r="F898" s="8"/>
      <c r="G898" s="8"/>
    </row>
    <row r="899" ht="15.75" customHeight="1">
      <c r="B899" s="8"/>
      <c r="C899" s="8"/>
      <c r="D899" s="8"/>
      <c r="E899" s="8"/>
      <c r="F899" s="8"/>
      <c r="G899" s="8"/>
    </row>
    <row r="900" ht="15.75" customHeight="1">
      <c r="B900" s="8"/>
      <c r="C900" s="8"/>
      <c r="D900" s="8"/>
      <c r="E900" s="8"/>
      <c r="F900" s="8"/>
      <c r="G900" s="8"/>
    </row>
    <row r="901" ht="15.75" customHeight="1">
      <c r="B901" s="8"/>
      <c r="C901" s="8"/>
      <c r="D901" s="8"/>
      <c r="E901" s="8"/>
      <c r="F901" s="8"/>
      <c r="G901" s="8"/>
    </row>
    <row r="902" ht="15.75" customHeight="1">
      <c r="B902" s="8"/>
      <c r="C902" s="8"/>
      <c r="D902" s="8"/>
      <c r="E902" s="8"/>
      <c r="F902" s="8"/>
      <c r="G902" s="8"/>
    </row>
    <row r="903" ht="15.75" customHeight="1">
      <c r="B903" s="8"/>
      <c r="C903" s="8"/>
      <c r="D903" s="8"/>
      <c r="E903" s="8"/>
      <c r="F903" s="8"/>
      <c r="G903" s="8"/>
    </row>
    <row r="904" ht="15.75" customHeight="1">
      <c r="B904" s="8"/>
      <c r="C904" s="8"/>
      <c r="D904" s="8"/>
      <c r="E904" s="8"/>
      <c r="F904" s="8"/>
      <c r="G904" s="8"/>
    </row>
    <row r="905" ht="15.75" customHeight="1">
      <c r="B905" s="8"/>
      <c r="C905" s="8"/>
      <c r="D905" s="8"/>
      <c r="E905" s="8"/>
      <c r="F905" s="8"/>
      <c r="G905" s="8"/>
    </row>
    <row r="906" ht="15.75" customHeight="1">
      <c r="B906" s="8"/>
      <c r="C906" s="8"/>
      <c r="D906" s="8"/>
      <c r="E906" s="8"/>
      <c r="F906" s="8"/>
      <c r="G906" s="8"/>
    </row>
    <row r="907" ht="15.75" customHeight="1">
      <c r="B907" s="8"/>
      <c r="C907" s="8"/>
      <c r="D907" s="8"/>
      <c r="E907" s="8"/>
      <c r="F907" s="8"/>
      <c r="G907" s="8"/>
    </row>
    <row r="908" ht="15.75" customHeight="1">
      <c r="B908" s="8"/>
      <c r="C908" s="8"/>
      <c r="D908" s="8"/>
      <c r="E908" s="8"/>
      <c r="F908" s="8"/>
      <c r="G908" s="8"/>
    </row>
    <row r="909" ht="15.75" customHeight="1">
      <c r="B909" s="8"/>
      <c r="C909" s="8"/>
      <c r="D909" s="8"/>
      <c r="E909" s="8"/>
      <c r="F909" s="8"/>
      <c r="G909" s="8"/>
    </row>
    <row r="910" ht="15.75" customHeight="1">
      <c r="B910" s="8"/>
      <c r="C910" s="8"/>
      <c r="D910" s="8"/>
      <c r="E910" s="8"/>
      <c r="F910" s="8"/>
      <c r="G910" s="8"/>
    </row>
    <row r="911" ht="15.75" customHeight="1">
      <c r="B911" s="8"/>
      <c r="C911" s="8"/>
      <c r="D911" s="8"/>
      <c r="E911" s="8"/>
      <c r="F911" s="8"/>
      <c r="G911" s="8"/>
    </row>
    <row r="912" ht="15.75" customHeight="1">
      <c r="B912" s="8"/>
      <c r="C912" s="8"/>
      <c r="D912" s="8"/>
      <c r="E912" s="8"/>
      <c r="F912" s="8"/>
      <c r="G912" s="8"/>
    </row>
    <row r="913" ht="15.75" customHeight="1">
      <c r="B913" s="8"/>
      <c r="C913" s="8"/>
      <c r="D913" s="8"/>
      <c r="E913" s="8"/>
      <c r="F913" s="8"/>
      <c r="G913" s="8"/>
    </row>
    <row r="914" ht="15.75" customHeight="1">
      <c r="B914" s="8"/>
      <c r="C914" s="8"/>
      <c r="D914" s="8"/>
      <c r="E914" s="8"/>
      <c r="F914" s="8"/>
      <c r="G914" s="8"/>
    </row>
    <row r="915" ht="15.75" customHeight="1">
      <c r="B915" s="8"/>
      <c r="C915" s="8"/>
      <c r="D915" s="8"/>
      <c r="E915" s="8"/>
      <c r="F915" s="8"/>
      <c r="G915" s="8"/>
    </row>
    <row r="916" ht="15.75" customHeight="1">
      <c r="B916" s="8"/>
      <c r="C916" s="8"/>
      <c r="D916" s="8"/>
      <c r="E916" s="8"/>
      <c r="F916" s="8"/>
      <c r="G916" s="8"/>
    </row>
    <row r="917" ht="15.75" customHeight="1">
      <c r="B917" s="8"/>
      <c r="C917" s="8"/>
      <c r="D917" s="8"/>
      <c r="E917" s="8"/>
      <c r="F917" s="8"/>
      <c r="G917" s="8"/>
    </row>
    <row r="918" ht="15.75" customHeight="1">
      <c r="B918" s="8"/>
      <c r="C918" s="8"/>
      <c r="D918" s="8"/>
      <c r="E918" s="8"/>
      <c r="F918" s="8"/>
      <c r="G918" s="8"/>
    </row>
    <row r="919" ht="15.75" customHeight="1">
      <c r="B919" s="8"/>
      <c r="C919" s="8"/>
      <c r="D919" s="8"/>
      <c r="E919" s="8"/>
      <c r="F919" s="8"/>
      <c r="G919" s="8"/>
    </row>
    <row r="920" ht="15.75" customHeight="1">
      <c r="B920" s="8"/>
      <c r="C920" s="8"/>
      <c r="D920" s="8"/>
      <c r="E920" s="8"/>
      <c r="F920" s="8"/>
      <c r="G920" s="8"/>
    </row>
    <row r="921" ht="15.75" customHeight="1">
      <c r="B921" s="8"/>
      <c r="C921" s="8"/>
      <c r="D921" s="8"/>
      <c r="E921" s="8"/>
      <c r="F921" s="8"/>
      <c r="G921" s="8"/>
    </row>
    <row r="922" ht="15.75" customHeight="1">
      <c r="B922" s="8"/>
      <c r="C922" s="8"/>
      <c r="D922" s="8"/>
      <c r="E922" s="8"/>
      <c r="F922" s="8"/>
      <c r="G922" s="8"/>
    </row>
    <row r="923" ht="15.75" customHeight="1">
      <c r="B923" s="8"/>
      <c r="C923" s="8"/>
      <c r="D923" s="8"/>
      <c r="E923" s="8"/>
      <c r="F923" s="8"/>
      <c r="G923" s="8"/>
    </row>
    <row r="924" ht="15.75" customHeight="1">
      <c r="B924" s="8"/>
      <c r="C924" s="8"/>
      <c r="D924" s="8"/>
      <c r="E924" s="8"/>
      <c r="F924" s="8"/>
      <c r="G924" s="8"/>
    </row>
    <row r="925" ht="15.75" customHeight="1">
      <c r="B925" s="8"/>
      <c r="C925" s="8"/>
      <c r="D925" s="8"/>
      <c r="E925" s="8"/>
      <c r="F925" s="8"/>
      <c r="G925" s="8"/>
    </row>
    <row r="926" ht="15.75" customHeight="1">
      <c r="B926" s="8"/>
      <c r="C926" s="8"/>
      <c r="D926" s="8"/>
      <c r="E926" s="8"/>
      <c r="F926" s="8"/>
      <c r="G926" s="8"/>
    </row>
    <row r="927" ht="15.75" customHeight="1">
      <c r="B927" s="8"/>
      <c r="C927" s="8"/>
      <c r="D927" s="8"/>
      <c r="E927" s="8"/>
      <c r="F927" s="8"/>
      <c r="G927" s="8"/>
    </row>
    <row r="928" ht="15.75" customHeight="1">
      <c r="B928" s="8"/>
      <c r="C928" s="8"/>
      <c r="D928" s="8"/>
      <c r="E928" s="8"/>
      <c r="F928" s="8"/>
      <c r="G928" s="8"/>
    </row>
    <row r="929" ht="15.75" customHeight="1">
      <c r="B929" s="8"/>
      <c r="C929" s="8"/>
      <c r="D929" s="8"/>
      <c r="E929" s="8"/>
      <c r="F929" s="8"/>
      <c r="G929" s="8"/>
    </row>
    <row r="930" ht="15.75" customHeight="1">
      <c r="B930" s="8"/>
      <c r="C930" s="8"/>
      <c r="D930" s="8"/>
      <c r="E930" s="8"/>
      <c r="F930" s="8"/>
      <c r="G930" s="8"/>
    </row>
    <row r="931" ht="15.75" customHeight="1">
      <c r="B931" s="8"/>
      <c r="C931" s="8"/>
      <c r="D931" s="8"/>
      <c r="E931" s="8"/>
      <c r="F931" s="8"/>
      <c r="G931" s="8"/>
    </row>
    <row r="932" ht="15.75" customHeight="1">
      <c r="B932" s="8"/>
      <c r="C932" s="8"/>
      <c r="D932" s="8"/>
      <c r="E932" s="8"/>
      <c r="F932" s="8"/>
      <c r="G932" s="8"/>
    </row>
    <row r="933" ht="15.75" customHeight="1">
      <c r="B933" s="8"/>
      <c r="C933" s="8"/>
      <c r="D933" s="8"/>
      <c r="E933" s="8"/>
      <c r="F933" s="8"/>
      <c r="G933" s="8"/>
    </row>
    <row r="934" ht="15.75" customHeight="1">
      <c r="B934" s="8"/>
      <c r="C934" s="8"/>
      <c r="D934" s="8"/>
      <c r="E934" s="8"/>
      <c r="F934" s="8"/>
      <c r="G934" s="8"/>
    </row>
    <row r="935" ht="15.75" customHeight="1">
      <c r="B935" s="8"/>
      <c r="C935" s="8"/>
      <c r="D935" s="8"/>
      <c r="E935" s="8"/>
      <c r="F935" s="8"/>
      <c r="G935" s="8"/>
    </row>
    <row r="936" ht="15.75" customHeight="1">
      <c r="B936" s="8"/>
      <c r="C936" s="8"/>
      <c r="D936" s="8"/>
      <c r="E936" s="8"/>
      <c r="F936" s="8"/>
      <c r="G936" s="8"/>
    </row>
    <row r="937" ht="15.75" customHeight="1">
      <c r="B937" s="8"/>
      <c r="C937" s="8"/>
      <c r="D937" s="8"/>
      <c r="E937" s="8"/>
      <c r="F937" s="8"/>
      <c r="G937" s="8"/>
    </row>
    <row r="938" ht="15.75" customHeight="1">
      <c r="B938" s="8"/>
      <c r="C938" s="8"/>
      <c r="D938" s="8"/>
      <c r="E938" s="8"/>
      <c r="F938" s="8"/>
      <c r="G938" s="8"/>
    </row>
    <row r="939" ht="15.75" customHeight="1">
      <c r="B939" s="8"/>
      <c r="C939" s="8"/>
      <c r="D939" s="8"/>
      <c r="E939" s="8"/>
      <c r="F939" s="8"/>
      <c r="G939" s="8"/>
    </row>
    <row r="940" ht="15.75" customHeight="1">
      <c r="B940" s="8"/>
      <c r="C940" s="8"/>
      <c r="D940" s="8"/>
      <c r="E940" s="8"/>
      <c r="F940" s="8"/>
      <c r="G940" s="8"/>
    </row>
    <row r="941" ht="15.75" customHeight="1">
      <c r="B941" s="8"/>
      <c r="C941" s="8"/>
      <c r="D941" s="8"/>
      <c r="E941" s="8"/>
      <c r="F941" s="8"/>
      <c r="G941" s="8"/>
    </row>
    <row r="942" ht="15.75" customHeight="1">
      <c r="B942" s="8"/>
      <c r="C942" s="8"/>
      <c r="D942" s="8"/>
      <c r="E942" s="8"/>
      <c r="F942" s="8"/>
      <c r="G942" s="8"/>
    </row>
    <row r="943" ht="15.75" customHeight="1">
      <c r="B943" s="8"/>
      <c r="C943" s="8"/>
      <c r="D943" s="8"/>
      <c r="E943" s="8"/>
      <c r="F943" s="8"/>
      <c r="G943" s="8"/>
    </row>
    <row r="944" ht="15.75" customHeight="1">
      <c r="B944" s="8"/>
      <c r="C944" s="8"/>
      <c r="D944" s="8"/>
      <c r="E944" s="8"/>
      <c r="F944" s="8"/>
      <c r="G944" s="8"/>
    </row>
    <row r="945" ht="15.75" customHeight="1">
      <c r="B945" s="8"/>
      <c r="C945" s="8"/>
      <c r="D945" s="8"/>
      <c r="E945" s="8"/>
      <c r="F945" s="8"/>
      <c r="G945" s="8"/>
    </row>
    <row r="946" ht="15.75" customHeight="1">
      <c r="B946" s="8"/>
      <c r="C946" s="8"/>
      <c r="D946" s="8"/>
      <c r="E946" s="8"/>
      <c r="F946" s="8"/>
      <c r="G946" s="8"/>
    </row>
    <row r="947" ht="15.75" customHeight="1">
      <c r="B947" s="8"/>
      <c r="C947" s="8"/>
      <c r="D947" s="8"/>
      <c r="E947" s="8"/>
      <c r="F947" s="8"/>
      <c r="G947" s="8"/>
    </row>
    <row r="948" ht="15.75" customHeight="1">
      <c r="B948" s="8"/>
      <c r="C948" s="8"/>
      <c r="D948" s="8"/>
      <c r="E948" s="8"/>
      <c r="F948" s="8"/>
      <c r="G948" s="8"/>
    </row>
    <row r="949" ht="15.75" customHeight="1">
      <c r="B949" s="8"/>
      <c r="C949" s="8"/>
      <c r="D949" s="8"/>
      <c r="E949" s="8"/>
      <c r="F949" s="8"/>
      <c r="G949" s="8"/>
    </row>
    <row r="950" ht="15.75" customHeight="1">
      <c r="B950" s="8"/>
      <c r="C950" s="8"/>
      <c r="D950" s="8"/>
      <c r="E950" s="8"/>
      <c r="F950" s="8"/>
      <c r="G950" s="8"/>
    </row>
    <row r="951" ht="15.75" customHeight="1">
      <c r="B951" s="8"/>
      <c r="C951" s="8"/>
      <c r="D951" s="8"/>
      <c r="E951" s="8"/>
      <c r="F951" s="8"/>
      <c r="G951" s="8"/>
    </row>
    <row r="952" ht="15.75" customHeight="1">
      <c r="B952" s="8"/>
      <c r="C952" s="8"/>
      <c r="D952" s="8"/>
      <c r="E952" s="8"/>
      <c r="F952" s="8"/>
      <c r="G952" s="8"/>
    </row>
    <row r="953" ht="15.75" customHeight="1">
      <c r="B953" s="8"/>
      <c r="C953" s="8"/>
      <c r="D953" s="8"/>
      <c r="E953" s="8"/>
      <c r="F953" s="8"/>
      <c r="G953" s="8"/>
    </row>
    <row r="954" ht="15.75" customHeight="1">
      <c r="B954" s="8"/>
      <c r="C954" s="8"/>
      <c r="D954" s="8"/>
      <c r="E954" s="8"/>
      <c r="F954" s="8"/>
      <c r="G954" s="8"/>
    </row>
    <row r="955" ht="15.75" customHeight="1">
      <c r="B955" s="8"/>
      <c r="C955" s="8"/>
      <c r="D955" s="8"/>
      <c r="E955" s="8"/>
      <c r="F955" s="8"/>
      <c r="G955" s="8"/>
    </row>
    <row r="956" ht="15.75" customHeight="1">
      <c r="B956" s="8"/>
      <c r="C956" s="8"/>
      <c r="D956" s="8"/>
      <c r="E956" s="8"/>
      <c r="F956" s="8"/>
      <c r="G956" s="8"/>
    </row>
    <row r="957" ht="15.75" customHeight="1">
      <c r="B957" s="8"/>
      <c r="C957" s="8"/>
      <c r="D957" s="8"/>
      <c r="E957" s="8"/>
      <c r="F957" s="8"/>
      <c r="G957" s="8"/>
    </row>
    <row r="958" ht="15.75" customHeight="1">
      <c r="B958" s="8"/>
      <c r="C958" s="8"/>
      <c r="D958" s="8"/>
      <c r="E958" s="8"/>
      <c r="F958" s="8"/>
      <c r="G958" s="8"/>
    </row>
    <row r="959" ht="15.75" customHeight="1">
      <c r="B959" s="8"/>
      <c r="C959" s="8"/>
      <c r="D959" s="8"/>
      <c r="E959" s="8"/>
      <c r="F959" s="8"/>
      <c r="G959" s="8"/>
    </row>
    <row r="960" ht="15.75" customHeight="1">
      <c r="B960" s="8"/>
      <c r="C960" s="8"/>
      <c r="D960" s="8"/>
      <c r="E960" s="8"/>
      <c r="F960" s="8"/>
      <c r="G960" s="8"/>
    </row>
    <row r="961" ht="15.75" customHeight="1">
      <c r="B961" s="8"/>
      <c r="C961" s="8"/>
      <c r="D961" s="8"/>
      <c r="E961" s="8"/>
      <c r="F961" s="8"/>
      <c r="G961" s="8"/>
    </row>
    <row r="962" ht="15.75" customHeight="1">
      <c r="B962" s="8"/>
      <c r="C962" s="8"/>
      <c r="D962" s="8"/>
      <c r="E962" s="8"/>
      <c r="F962" s="8"/>
      <c r="G962" s="8"/>
    </row>
    <row r="963" ht="15.75" customHeight="1">
      <c r="B963" s="8"/>
      <c r="C963" s="8"/>
      <c r="D963" s="8"/>
      <c r="E963" s="8"/>
      <c r="F963" s="8"/>
      <c r="G963" s="8"/>
    </row>
    <row r="964" ht="15.75" customHeight="1">
      <c r="B964" s="8"/>
      <c r="C964" s="8"/>
      <c r="D964" s="8"/>
      <c r="E964" s="8"/>
      <c r="F964" s="8"/>
      <c r="G964" s="8"/>
    </row>
    <row r="965" ht="15.75" customHeight="1">
      <c r="B965" s="8"/>
      <c r="C965" s="8"/>
      <c r="D965" s="8"/>
      <c r="E965" s="8"/>
      <c r="F965" s="8"/>
      <c r="G965" s="8"/>
    </row>
    <row r="966" ht="15.75" customHeight="1">
      <c r="B966" s="8"/>
      <c r="C966" s="8"/>
      <c r="D966" s="8"/>
      <c r="E966" s="8"/>
      <c r="F966" s="8"/>
      <c r="G966" s="8"/>
    </row>
    <row r="967" ht="15.75" customHeight="1">
      <c r="B967" s="8"/>
      <c r="C967" s="8"/>
      <c r="D967" s="8"/>
      <c r="E967" s="8"/>
      <c r="F967" s="8"/>
      <c r="G967" s="8"/>
    </row>
    <row r="968" ht="15.75" customHeight="1">
      <c r="B968" s="8"/>
      <c r="C968" s="8"/>
      <c r="D968" s="8"/>
      <c r="E968" s="8"/>
      <c r="F968" s="8"/>
      <c r="G968" s="8"/>
    </row>
    <row r="969" ht="15.75" customHeight="1">
      <c r="B969" s="8"/>
      <c r="C969" s="8"/>
      <c r="D969" s="8"/>
      <c r="E969" s="8"/>
      <c r="F969" s="8"/>
      <c r="G969" s="8"/>
    </row>
    <row r="970" ht="15.75" customHeight="1">
      <c r="B970" s="8"/>
      <c r="C970" s="8"/>
      <c r="D970" s="8"/>
      <c r="E970" s="8"/>
      <c r="F970" s="8"/>
      <c r="G970" s="8"/>
    </row>
    <row r="971" ht="15.75" customHeight="1">
      <c r="B971" s="8"/>
      <c r="C971" s="8"/>
      <c r="D971" s="8"/>
      <c r="E971" s="8"/>
      <c r="F971" s="8"/>
      <c r="G971" s="8"/>
    </row>
    <row r="972" ht="15.75" customHeight="1">
      <c r="B972" s="8"/>
      <c r="C972" s="8"/>
      <c r="D972" s="8"/>
      <c r="E972" s="8"/>
      <c r="F972" s="8"/>
      <c r="G972" s="8"/>
    </row>
    <row r="973" ht="15.75" customHeight="1">
      <c r="B973" s="8"/>
      <c r="C973" s="8"/>
      <c r="D973" s="8"/>
      <c r="E973" s="8"/>
      <c r="F973" s="8"/>
      <c r="G973" s="8"/>
    </row>
    <row r="974" ht="15.75" customHeight="1">
      <c r="B974" s="8"/>
      <c r="C974" s="8"/>
      <c r="D974" s="8"/>
      <c r="E974" s="8"/>
      <c r="F974" s="8"/>
      <c r="G974" s="8"/>
    </row>
    <row r="975" ht="15.75" customHeight="1">
      <c r="B975" s="8"/>
      <c r="C975" s="8"/>
      <c r="D975" s="8"/>
      <c r="E975" s="8"/>
      <c r="F975" s="8"/>
      <c r="G975" s="8"/>
    </row>
    <row r="976" ht="15.75" customHeight="1">
      <c r="B976" s="8"/>
      <c r="C976" s="8"/>
      <c r="D976" s="8"/>
      <c r="E976" s="8"/>
      <c r="F976" s="8"/>
      <c r="G976" s="8"/>
    </row>
    <row r="977" ht="15.75" customHeight="1">
      <c r="B977" s="8"/>
      <c r="C977" s="8"/>
      <c r="D977" s="8"/>
      <c r="E977" s="8"/>
      <c r="F977" s="8"/>
      <c r="G977" s="8"/>
    </row>
    <row r="978" ht="15.75" customHeight="1">
      <c r="B978" s="8"/>
      <c r="C978" s="8"/>
      <c r="D978" s="8"/>
      <c r="E978" s="8"/>
      <c r="F978" s="8"/>
      <c r="G978" s="8"/>
    </row>
    <row r="979" ht="15.75" customHeight="1">
      <c r="B979" s="8"/>
      <c r="C979" s="8"/>
      <c r="D979" s="8"/>
      <c r="E979" s="8"/>
      <c r="F979" s="8"/>
      <c r="G979" s="8"/>
    </row>
    <row r="980" ht="15.75" customHeight="1">
      <c r="B980" s="8"/>
      <c r="C980" s="8"/>
      <c r="D980" s="8"/>
      <c r="E980" s="8"/>
      <c r="F980" s="8"/>
      <c r="G980" s="8"/>
    </row>
    <row r="981" ht="15.75" customHeight="1">
      <c r="B981" s="8"/>
      <c r="C981" s="8"/>
      <c r="D981" s="8"/>
      <c r="E981" s="8"/>
      <c r="F981" s="8"/>
      <c r="G981" s="8"/>
    </row>
    <row r="982" ht="15.75" customHeight="1">
      <c r="B982" s="8"/>
      <c r="C982" s="8"/>
      <c r="D982" s="8"/>
      <c r="E982" s="8"/>
      <c r="F982" s="8"/>
      <c r="G982" s="8"/>
    </row>
    <row r="983" ht="15.75" customHeight="1">
      <c r="B983" s="8"/>
      <c r="C983" s="8"/>
      <c r="D983" s="8"/>
      <c r="E983" s="8"/>
      <c r="F983" s="8"/>
      <c r="G983" s="8"/>
    </row>
    <row r="984" ht="15.75" customHeight="1">
      <c r="B984" s="8"/>
      <c r="C984" s="8"/>
      <c r="D984" s="8"/>
      <c r="E984" s="8"/>
      <c r="F984" s="8"/>
      <c r="G984" s="8"/>
    </row>
    <row r="985" ht="15.75" customHeight="1">
      <c r="B985" s="8"/>
      <c r="C985" s="8"/>
      <c r="D985" s="8"/>
      <c r="E985" s="8"/>
      <c r="F985" s="8"/>
      <c r="G985" s="8"/>
    </row>
    <row r="986" ht="15.75" customHeight="1">
      <c r="B986" s="8"/>
      <c r="C986" s="8"/>
      <c r="D986" s="8"/>
      <c r="E986" s="8"/>
      <c r="F986" s="8"/>
      <c r="G986" s="8"/>
    </row>
    <row r="987" ht="15.75" customHeight="1">
      <c r="B987" s="8"/>
      <c r="C987" s="8"/>
      <c r="D987" s="8"/>
      <c r="E987" s="8"/>
      <c r="F987" s="8"/>
      <c r="G987" s="8"/>
    </row>
    <row r="988" ht="15.75" customHeight="1">
      <c r="B988" s="8"/>
      <c r="C988" s="8"/>
      <c r="D988" s="8"/>
      <c r="E988" s="8"/>
      <c r="F988" s="8"/>
      <c r="G988" s="8"/>
    </row>
    <row r="989" ht="15.75" customHeight="1">
      <c r="B989" s="8"/>
      <c r="C989" s="8"/>
      <c r="D989" s="8"/>
      <c r="E989" s="8"/>
      <c r="F989" s="8"/>
      <c r="G989" s="8"/>
    </row>
    <row r="990" ht="15.75" customHeight="1">
      <c r="B990" s="8"/>
      <c r="C990" s="8"/>
      <c r="D990" s="8"/>
      <c r="E990" s="8"/>
      <c r="F990" s="8"/>
      <c r="G990" s="8"/>
    </row>
    <row r="991" ht="15.75" customHeight="1">
      <c r="B991" s="8"/>
      <c r="C991" s="8"/>
      <c r="D991" s="8"/>
      <c r="E991" s="8"/>
      <c r="F991" s="8"/>
      <c r="G991" s="8"/>
    </row>
    <row r="992" ht="15.75" customHeight="1">
      <c r="B992" s="8"/>
      <c r="C992" s="8"/>
      <c r="D992" s="8"/>
      <c r="E992" s="8"/>
      <c r="F992" s="8"/>
      <c r="G992" s="8"/>
    </row>
    <row r="993" ht="15.75" customHeight="1">
      <c r="B993" s="8"/>
      <c r="C993" s="8"/>
      <c r="D993" s="8"/>
      <c r="E993" s="8"/>
      <c r="F993" s="8"/>
      <c r="G993" s="8"/>
    </row>
    <row r="994" ht="15.75" customHeight="1">
      <c r="B994" s="8"/>
      <c r="C994" s="8"/>
      <c r="D994" s="8"/>
      <c r="E994" s="8"/>
      <c r="F994" s="8"/>
      <c r="G994" s="8"/>
    </row>
    <row r="995" ht="15.75" customHeight="1">
      <c r="B995" s="8"/>
      <c r="C995" s="8"/>
      <c r="D995" s="8"/>
      <c r="E995" s="8"/>
      <c r="F995" s="8"/>
      <c r="G995" s="8"/>
    </row>
    <row r="996" ht="15.75" customHeight="1">
      <c r="B996" s="8"/>
      <c r="C996" s="8"/>
      <c r="D996" s="8"/>
      <c r="E996" s="8"/>
      <c r="F996" s="8"/>
      <c r="G996" s="8"/>
    </row>
    <row r="997" ht="15.75" customHeight="1">
      <c r="B997" s="8"/>
      <c r="C997" s="8"/>
      <c r="D997" s="8"/>
      <c r="E997" s="8"/>
      <c r="F997" s="8"/>
      <c r="G997" s="8"/>
    </row>
    <row r="998" ht="15.75" customHeight="1">
      <c r="B998" s="8"/>
      <c r="C998" s="8"/>
      <c r="D998" s="8"/>
      <c r="E998" s="8"/>
      <c r="F998" s="8"/>
      <c r="G998" s="8"/>
    </row>
    <row r="999" ht="15.75" customHeight="1">
      <c r="B999" s="8"/>
      <c r="C999" s="8"/>
      <c r="D999" s="8"/>
      <c r="E999" s="8"/>
      <c r="F999" s="8"/>
      <c r="G999" s="8"/>
    </row>
    <row r="1000" ht="15.75" customHeight="1">
      <c r="B1000" s="8"/>
      <c r="C1000" s="8"/>
      <c r="D1000" s="8"/>
      <c r="E1000" s="8"/>
      <c r="F1000" s="8"/>
      <c r="G1000" s="8"/>
    </row>
  </sheetData>
  <mergeCells count="17">
    <mergeCell ref="B2:G2"/>
    <mergeCell ref="B3:G3"/>
    <mergeCell ref="B5:G5"/>
    <mergeCell ref="C8:G8"/>
    <mergeCell ref="C9:G9"/>
    <mergeCell ref="C10:G10"/>
    <mergeCell ref="C11:G11"/>
    <mergeCell ref="B37:G37"/>
    <mergeCell ref="B47:G47"/>
    <mergeCell ref="B66:G67"/>
    <mergeCell ref="C12:G12"/>
    <mergeCell ref="C13:G13"/>
    <mergeCell ref="C14:G14"/>
    <mergeCell ref="C15:G15"/>
    <mergeCell ref="C16:G16"/>
    <mergeCell ref="C17:G17"/>
    <mergeCell ref="B20:G20"/>
  </mergeCells>
  <conditionalFormatting sqref="B39:B41">
    <cfRule type="cellIs" dxfId="0" priority="1" operator="equal">
      <formula>"TOFU"</formula>
    </cfRule>
  </conditionalFormatting>
  <conditionalFormatting sqref="B39:B41">
    <cfRule type="cellIs" dxfId="1" priority="2" operator="equal">
      <formula>"MOFU"</formula>
    </cfRule>
  </conditionalFormatting>
  <conditionalFormatting sqref="B39:B41">
    <cfRule type="cellIs" dxfId="2" priority="3" operator="equal">
      <formula>"BOFU"</formula>
    </cfRule>
  </conditionalFormatting>
  <conditionalFormatting sqref="G49:G63">
    <cfRule type="cellIs" dxfId="3" priority="4" operator="equal">
      <formula>"Critical"</formula>
    </cfRule>
  </conditionalFormatting>
  <conditionalFormatting sqref="G49:G63">
    <cfRule type="cellIs" dxfId="4" priority="5" operator="equal">
      <formula>"High"</formula>
    </cfRule>
  </conditionalFormatting>
  <conditionalFormatting sqref="G49:G63">
    <cfRule type="cellIs" dxfId="5" priority="6" operator="equal">
      <formula>"Medium"</formula>
    </cfRule>
  </conditionalFormatting>
  <conditionalFormatting sqref="G49:G63">
    <cfRule type="cellIs" dxfId="6" priority="7" operator="equal">
      <formula>"Low"</formula>
    </cfRule>
  </conditionalFormatting>
  <conditionalFormatting sqref="G49:G63">
    <cfRule type="cellIs" dxfId="7" priority="8" operator="equal">
      <formula>"Optional"</formula>
    </cfRule>
  </conditionalFormatting>
  <conditionalFormatting sqref="G22:G34">
    <cfRule type="cellIs" dxfId="3" priority="9" operator="equal">
      <formula>"Critical"</formula>
    </cfRule>
  </conditionalFormatting>
  <conditionalFormatting sqref="G22:G34">
    <cfRule type="cellIs" dxfId="4" priority="10" operator="equal">
      <formula>"High"</formula>
    </cfRule>
  </conditionalFormatting>
  <conditionalFormatting sqref="G22:G34">
    <cfRule type="cellIs" dxfId="5" priority="11" operator="equal">
      <formula>"Medium"</formula>
    </cfRule>
  </conditionalFormatting>
  <conditionalFormatting sqref="G22:G34">
    <cfRule type="cellIs" dxfId="6" priority="12" operator="equal">
      <formula>"Low"</formula>
    </cfRule>
  </conditionalFormatting>
  <conditionalFormatting sqref="G22:G34">
    <cfRule type="cellIs" dxfId="7" priority="13" operator="equal">
      <formula>"Optional"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4.0"/>
    <col customWidth="1" min="2" max="2" width="15.0"/>
    <col customWidth="1" min="3" max="3" width="25.71"/>
    <col customWidth="1" min="4" max="4" width="30.0"/>
    <col customWidth="1" min="5" max="5" width="13.29"/>
    <col customWidth="1" min="6" max="6" width="7.29"/>
    <col customWidth="1" min="7" max="7" width="20.71"/>
    <col customWidth="1" min="8" max="8" width="8.0"/>
    <col customWidth="1" min="9" max="9" width="8.29"/>
    <col customWidth="1" min="10" max="10" width="17.57"/>
    <col customWidth="1" min="11" max="11" width="10.14"/>
    <col customWidth="1" min="12" max="12" width="17.29"/>
    <col customWidth="1" min="13" max="13" width="12.0"/>
    <col customWidth="1" min="14" max="14" width="35.43"/>
    <col customWidth="1" min="15" max="15" width="9.57"/>
    <col customWidth="1" min="16" max="16" width="7.57"/>
    <col customWidth="1" min="17" max="17" width="8.29"/>
    <col customWidth="1" min="18" max="18" width="29.71"/>
    <col customWidth="1" min="19" max="19" width="14.86"/>
    <col customWidth="1" min="20" max="20" width="54.57"/>
    <col customWidth="1" min="21" max="26" width="8.71"/>
  </cols>
  <sheetData>
    <row r="1">
      <c r="A1" s="17" t="s">
        <v>121</v>
      </c>
      <c r="B1" s="17" t="s">
        <v>142</v>
      </c>
      <c r="C1" s="17" t="s">
        <v>143</v>
      </c>
      <c r="D1" s="17" t="s">
        <v>144</v>
      </c>
      <c r="E1" s="17" t="s">
        <v>145</v>
      </c>
      <c r="F1" s="17" t="s">
        <v>146</v>
      </c>
      <c r="G1" s="17" t="s">
        <v>147</v>
      </c>
      <c r="H1" s="17" t="s">
        <v>148</v>
      </c>
      <c r="I1" s="17" t="s">
        <v>149</v>
      </c>
      <c r="J1" s="17" t="s">
        <v>150</v>
      </c>
      <c r="K1" s="17" t="s">
        <v>151</v>
      </c>
      <c r="L1" s="17" t="s">
        <v>152</v>
      </c>
      <c r="M1" s="17" t="s">
        <v>153</v>
      </c>
      <c r="N1" s="17" t="s">
        <v>154</v>
      </c>
      <c r="O1" s="17" t="s">
        <v>155</v>
      </c>
      <c r="P1" s="17" t="s">
        <v>124</v>
      </c>
      <c r="Q1" s="17" t="s">
        <v>125</v>
      </c>
      <c r="R1" s="17" t="s">
        <v>122</v>
      </c>
      <c r="S1" s="17" t="s">
        <v>156</v>
      </c>
      <c r="T1" s="17" t="s">
        <v>157</v>
      </c>
      <c r="U1" s="41"/>
      <c r="V1" s="41"/>
      <c r="W1" s="41"/>
      <c r="X1" s="41"/>
      <c r="Y1" s="41"/>
      <c r="Z1" s="41"/>
    </row>
    <row r="2">
      <c r="A2" s="18" t="s">
        <v>138</v>
      </c>
      <c r="B2" s="18" t="s">
        <v>13</v>
      </c>
      <c r="C2" s="18" t="s">
        <v>158</v>
      </c>
      <c r="D2" s="18" t="s">
        <v>159</v>
      </c>
      <c r="E2" s="18" t="s">
        <v>118</v>
      </c>
      <c r="F2" s="18" t="s">
        <v>110</v>
      </c>
      <c r="G2" s="18" t="s">
        <v>160</v>
      </c>
      <c r="H2" s="42">
        <v>5400.0</v>
      </c>
      <c r="I2" s="43">
        <v>62.0</v>
      </c>
      <c r="J2" s="18" t="s">
        <v>161</v>
      </c>
      <c r="K2" s="44">
        <v>9.8</v>
      </c>
      <c r="L2" s="18" t="s">
        <v>162</v>
      </c>
      <c r="M2" s="18" t="str">
        <f t="shared" ref="M2:M224" si="1">IF(I2&lt;=20,"Easy",IF(I2&lt;=40,"Moderate",IF(I2&lt;=70,"Competitive","Very Competitive")))</f>
        <v>Competitive</v>
      </c>
      <c r="N2" s="18" t="s">
        <v>163</v>
      </c>
      <c r="O2" s="18">
        <f>'Priority Scoring'!B2</f>
        <v>5</v>
      </c>
      <c r="P2" s="45">
        <f>'Priority Scoring'!I2</f>
        <v>88</v>
      </c>
      <c r="Q2" s="18" t="str">
        <f>'Priority Scoring'!J2</f>
        <v>High</v>
      </c>
      <c r="R2" s="18" t="s">
        <v>164</v>
      </c>
      <c r="S2" s="18" t="s">
        <v>165</v>
      </c>
      <c r="T2" s="18" t="s">
        <v>166</v>
      </c>
    </row>
    <row r="3">
      <c r="A3" s="20" t="s">
        <v>139</v>
      </c>
      <c r="B3" s="20" t="s">
        <v>13</v>
      </c>
      <c r="C3" s="20" t="s">
        <v>158</v>
      </c>
      <c r="D3" s="20" t="s">
        <v>159</v>
      </c>
      <c r="E3" s="20" t="s">
        <v>118</v>
      </c>
      <c r="F3" s="20" t="s">
        <v>110</v>
      </c>
      <c r="G3" s="20" t="s">
        <v>167</v>
      </c>
      <c r="H3" s="46">
        <v>4400.0</v>
      </c>
      <c r="I3" s="47">
        <v>60.0</v>
      </c>
      <c r="J3" s="20" t="s">
        <v>161</v>
      </c>
      <c r="K3" s="48">
        <v>9.2</v>
      </c>
      <c r="L3" s="20" t="s">
        <v>162</v>
      </c>
      <c r="M3" s="20" t="str">
        <f t="shared" si="1"/>
        <v>Competitive</v>
      </c>
      <c r="N3" s="20" t="s">
        <v>163</v>
      </c>
      <c r="O3" s="20">
        <f>'Priority Scoring'!B3</f>
        <v>5</v>
      </c>
      <c r="P3" s="49">
        <f>'Priority Scoring'!I3</f>
        <v>88</v>
      </c>
      <c r="Q3" s="20" t="str">
        <f>'Priority Scoring'!J3</f>
        <v>High</v>
      </c>
      <c r="R3" s="20" t="s">
        <v>164</v>
      </c>
      <c r="S3" s="20" t="s">
        <v>165</v>
      </c>
      <c r="T3" s="20" t="s">
        <v>168</v>
      </c>
    </row>
    <row r="4">
      <c r="A4" s="18" t="s">
        <v>169</v>
      </c>
      <c r="B4" s="18" t="s">
        <v>13</v>
      </c>
      <c r="C4" s="18" t="s">
        <v>158</v>
      </c>
      <c r="D4" s="18" t="s">
        <v>159</v>
      </c>
      <c r="E4" s="18" t="s">
        <v>118</v>
      </c>
      <c r="F4" s="18" t="s">
        <v>110</v>
      </c>
      <c r="G4" s="18" t="s">
        <v>167</v>
      </c>
      <c r="H4" s="42">
        <v>1900.0</v>
      </c>
      <c r="I4" s="43">
        <v>58.0</v>
      </c>
      <c r="J4" s="18" t="s">
        <v>161</v>
      </c>
      <c r="K4" s="44">
        <v>9.4</v>
      </c>
      <c r="L4" s="18" t="s">
        <v>162</v>
      </c>
      <c r="M4" s="18" t="str">
        <f t="shared" si="1"/>
        <v>Competitive</v>
      </c>
      <c r="N4" s="18" t="s">
        <v>163</v>
      </c>
      <c r="O4" s="18">
        <f>'Priority Scoring'!B4</f>
        <v>5</v>
      </c>
      <c r="P4" s="45">
        <f>'Priority Scoring'!I4</f>
        <v>88</v>
      </c>
      <c r="Q4" s="18" t="str">
        <f>'Priority Scoring'!J4</f>
        <v>High</v>
      </c>
      <c r="R4" s="18" t="s">
        <v>164</v>
      </c>
      <c r="S4" s="18" t="s">
        <v>165</v>
      </c>
      <c r="T4" s="18" t="s">
        <v>168</v>
      </c>
    </row>
    <row r="5">
      <c r="A5" s="20" t="s">
        <v>170</v>
      </c>
      <c r="B5" s="20" t="s">
        <v>13</v>
      </c>
      <c r="C5" s="20" t="s">
        <v>158</v>
      </c>
      <c r="D5" s="20" t="s">
        <v>159</v>
      </c>
      <c r="E5" s="20" t="s">
        <v>118</v>
      </c>
      <c r="F5" s="20" t="s">
        <v>110</v>
      </c>
      <c r="G5" s="20" t="s">
        <v>167</v>
      </c>
      <c r="H5" s="46">
        <v>1300.0</v>
      </c>
      <c r="I5" s="47">
        <v>57.0</v>
      </c>
      <c r="J5" s="20" t="s">
        <v>161</v>
      </c>
      <c r="K5" s="48">
        <v>8.9</v>
      </c>
      <c r="L5" s="20" t="s">
        <v>162</v>
      </c>
      <c r="M5" s="20" t="str">
        <f t="shared" si="1"/>
        <v>Competitive</v>
      </c>
      <c r="N5" s="20" t="s">
        <v>163</v>
      </c>
      <c r="O5" s="20">
        <f>'Priority Scoring'!B5</f>
        <v>5</v>
      </c>
      <c r="P5" s="49">
        <f>'Priority Scoring'!I5</f>
        <v>88</v>
      </c>
      <c r="Q5" s="20" t="str">
        <f>'Priority Scoring'!J5</f>
        <v>High</v>
      </c>
      <c r="R5" s="20" t="s">
        <v>164</v>
      </c>
      <c r="S5" s="20" t="s">
        <v>165</v>
      </c>
      <c r="T5" s="20" t="s">
        <v>168</v>
      </c>
    </row>
    <row r="6">
      <c r="A6" s="18" t="s">
        <v>171</v>
      </c>
      <c r="B6" s="18" t="s">
        <v>172</v>
      </c>
      <c r="C6" s="18" t="s">
        <v>158</v>
      </c>
      <c r="D6" s="18" t="s">
        <v>159</v>
      </c>
      <c r="E6" s="18" t="s">
        <v>118</v>
      </c>
      <c r="F6" s="18" t="s">
        <v>110</v>
      </c>
      <c r="G6" s="18" t="s">
        <v>167</v>
      </c>
      <c r="H6" s="42">
        <v>1000.0</v>
      </c>
      <c r="I6" s="43">
        <v>55.0</v>
      </c>
      <c r="J6" s="18" t="s">
        <v>161</v>
      </c>
      <c r="K6" s="44">
        <v>9.0</v>
      </c>
      <c r="L6" s="18" t="s">
        <v>162</v>
      </c>
      <c r="M6" s="18" t="str">
        <f t="shared" si="1"/>
        <v>Competitive</v>
      </c>
      <c r="N6" s="18" t="s">
        <v>163</v>
      </c>
      <c r="O6" s="18">
        <f>'Priority Scoring'!B6</f>
        <v>5</v>
      </c>
      <c r="P6" s="45">
        <f>'Priority Scoring'!I6</f>
        <v>88</v>
      </c>
      <c r="Q6" s="18" t="str">
        <f>'Priority Scoring'!J6</f>
        <v>High</v>
      </c>
      <c r="R6" s="18" t="s">
        <v>164</v>
      </c>
      <c r="S6" s="18" t="s">
        <v>165</v>
      </c>
      <c r="T6" s="18" t="s">
        <v>168</v>
      </c>
    </row>
    <row r="7">
      <c r="A7" s="20" t="s">
        <v>134</v>
      </c>
      <c r="B7" s="20" t="s">
        <v>172</v>
      </c>
      <c r="C7" s="20" t="s">
        <v>158</v>
      </c>
      <c r="D7" s="20" t="s">
        <v>159</v>
      </c>
      <c r="E7" s="20" t="s">
        <v>118</v>
      </c>
      <c r="F7" s="20" t="s">
        <v>110</v>
      </c>
      <c r="G7" s="20" t="s">
        <v>167</v>
      </c>
      <c r="H7" s="46">
        <v>590.0</v>
      </c>
      <c r="I7" s="47">
        <v>50.0</v>
      </c>
      <c r="J7" s="20" t="s">
        <v>161</v>
      </c>
      <c r="K7" s="48">
        <v>8.4</v>
      </c>
      <c r="L7" s="20" t="s">
        <v>162</v>
      </c>
      <c r="M7" s="20" t="str">
        <f t="shared" si="1"/>
        <v>Competitive</v>
      </c>
      <c r="N7" s="20" t="s">
        <v>163</v>
      </c>
      <c r="O7" s="20">
        <f>'Priority Scoring'!B7</f>
        <v>5</v>
      </c>
      <c r="P7" s="49">
        <f>'Priority Scoring'!I7</f>
        <v>89</v>
      </c>
      <c r="Q7" s="20" t="str">
        <f>'Priority Scoring'!J7</f>
        <v>High</v>
      </c>
      <c r="R7" s="20" t="s">
        <v>164</v>
      </c>
      <c r="S7" s="20" t="s">
        <v>165</v>
      </c>
      <c r="T7" s="20" t="s">
        <v>168</v>
      </c>
    </row>
    <row r="8">
      <c r="A8" s="18" t="s">
        <v>173</v>
      </c>
      <c r="B8" s="18" t="s">
        <v>172</v>
      </c>
      <c r="C8" s="18" t="s">
        <v>158</v>
      </c>
      <c r="D8" s="18" t="s">
        <v>159</v>
      </c>
      <c r="E8" s="18" t="s">
        <v>118</v>
      </c>
      <c r="F8" s="18" t="s">
        <v>110</v>
      </c>
      <c r="G8" s="18" t="s">
        <v>167</v>
      </c>
      <c r="H8" s="42">
        <v>880.0</v>
      </c>
      <c r="I8" s="43">
        <v>52.0</v>
      </c>
      <c r="J8" s="18" t="s">
        <v>161</v>
      </c>
      <c r="K8" s="44">
        <v>8.0</v>
      </c>
      <c r="L8" s="18" t="s">
        <v>162</v>
      </c>
      <c r="M8" s="18" t="str">
        <f t="shared" si="1"/>
        <v>Competitive</v>
      </c>
      <c r="N8" s="18" t="s">
        <v>163</v>
      </c>
      <c r="O8" s="18">
        <f>'Priority Scoring'!B8</f>
        <v>5</v>
      </c>
      <c r="P8" s="45">
        <f>'Priority Scoring'!I8</f>
        <v>85</v>
      </c>
      <c r="Q8" s="18" t="str">
        <f>'Priority Scoring'!J8</f>
        <v>High</v>
      </c>
      <c r="R8" s="18" t="s">
        <v>164</v>
      </c>
      <c r="S8" s="18" t="s">
        <v>165</v>
      </c>
      <c r="T8" s="18" t="s">
        <v>168</v>
      </c>
    </row>
    <row r="9">
      <c r="A9" s="20" t="s">
        <v>174</v>
      </c>
      <c r="B9" s="20" t="s">
        <v>13</v>
      </c>
      <c r="C9" s="20" t="s">
        <v>158</v>
      </c>
      <c r="D9" s="20" t="s">
        <v>159</v>
      </c>
      <c r="E9" s="20" t="s">
        <v>118</v>
      </c>
      <c r="F9" s="20" t="s">
        <v>110</v>
      </c>
      <c r="G9" s="20" t="s">
        <v>167</v>
      </c>
      <c r="H9" s="46">
        <v>9900.0</v>
      </c>
      <c r="I9" s="47">
        <v>78.0</v>
      </c>
      <c r="J9" s="20" t="s">
        <v>161</v>
      </c>
      <c r="K9" s="48">
        <v>8.5</v>
      </c>
      <c r="L9" s="20" t="s">
        <v>162</v>
      </c>
      <c r="M9" s="20" t="str">
        <f t="shared" si="1"/>
        <v>Very Competitive</v>
      </c>
      <c r="N9" s="20" t="s">
        <v>163</v>
      </c>
      <c r="O9" s="20">
        <f>'Priority Scoring'!B9</f>
        <v>5</v>
      </c>
      <c r="P9" s="49">
        <f>'Priority Scoring'!I9</f>
        <v>84</v>
      </c>
      <c r="Q9" s="20" t="str">
        <f>'Priority Scoring'!J9</f>
        <v>High</v>
      </c>
      <c r="R9" s="20" t="s">
        <v>164</v>
      </c>
      <c r="S9" s="20" t="s">
        <v>165</v>
      </c>
      <c r="T9" s="20" t="s">
        <v>175</v>
      </c>
    </row>
    <row r="10">
      <c r="A10" s="18" t="s">
        <v>176</v>
      </c>
      <c r="B10" s="18" t="s">
        <v>116</v>
      </c>
      <c r="C10" s="18" t="s">
        <v>158</v>
      </c>
      <c r="D10" s="18" t="s">
        <v>159</v>
      </c>
      <c r="E10" s="18" t="s">
        <v>116</v>
      </c>
      <c r="F10" s="18" t="s">
        <v>108</v>
      </c>
      <c r="G10" s="18" t="s">
        <v>167</v>
      </c>
      <c r="H10" s="42">
        <v>1600.0</v>
      </c>
      <c r="I10" s="43">
        <v>64.0</v>
      </c>
      <c r="J10" s="18" t="s">
        <v>161</v>
      </c>
      <c r="K10" s="44">
        <v>10.5</v>
      </c>
      <c r="L10" s="18" t="s">
        <v>162</v>
      </c>
      <c r="M10" s="18" t="str">
        <f t="shared" si="1"/>
        <v>Competitive</v>
      </c>
      <c r="N10" s="18" t="s">
        <v>163</v>
      </c>
      <c r="O10" s="18">
        <f>'Priority Scoring'!B10</f>
        <v>5</v>
      </c>
      <c r="P10" s="45">
        <f>'Priority Scoring'!I10</f>
        <v>79</v>
      </c>
      <c r="Q10" s="18" t="str">
        <f>'Priority Scoring'!J10</f>
        <v>High</v>
      </c>
      <c r="R10" s="18" t="s">
        <v>164</v>
      </c>
      <c r="S10" s="18" t="s">
        <v>165</v>
      </c>
      <c r="T10" s="18" t="s">
        <v>168</v>
      </c>
    </row>
    <row r="11">
      <c r="A11" s="20" t="s">
        <v>177</v>
      </c>
      <c r="B11" s="20" t="s">
        <v>116</v>
      </c>
      <c r="C11" s="20" t="s">
        <v>158</v>
      </c>
      <c r="D11" s="20" t="s">
        <v>159</v>
      </c>
      <c r="E11" s="20" t="s">
        <v>116</v>
      </c>
      <c r="F11" s="20" t="s">
        <v>108</v>
      </c>
      <c r="G11" s="20" t="s">
        <v>167</v>
      </c>
      <c r="H11" s="46">
        <v>480.0</v>
      </c>
      <c r="I11" s="47">
        <v>52.0</v>
      </c>
      <c r="J11" s="20" t="s">
        <v>161</v>
      </c>
      <c r="K11" s="48">
        <v>9.1</v>
      </c>
      <c r="L11" s="20" t="s">
        <v>162</v>
      </c>
      <c r="M11" s="20" t="str">
        <f t="shared" si="1"/>
        <v>Competitive</v>
      </c>
      <c r="N11" s="20" t="s">
        <v>163</v>
      </c>
      <c r="O11" s="20">
        <f>'Priority Scoring'!B11</f>
        <v>5</v>
      </c>
      <c r="P11" s="49">
        <f>'Priority Scoring'!I11</f>
        <v>73</v>
      </c>
      <c r="Q11" s="20" t="str">
        <f>'Priority Scoring'!J11</f>
        <v>Medium</v>
      </c>
      <c r="R11" s="20" t="s">
        <v>164</v>
      </c>
      <c r="S11" s="20" t="s">
        <v>165</v>
      </c>
      <c r="T11" s="20" t="s">
        <v>168</v>
      </c>
    </row>
    <row r="12">
      <c r="A12" s="18" t="s">
        <v>178</v>
      </c>
      <c r="B12" s="18" t="s">
        <v>116</v>
      </c>
      <c r="C12" s="18" t="s">
        <v>158</v>
      </c>
      <c r="D12" s="18" t="s">
        <v>159</v>
      </c>
      <c r="E12" s="18" t="s">
        <v>116</v>
      </c>
      <c r="F12" s="18" t="s">
        <v>108</v>
      </c>
      <c r="G12" s="18" t="s">
        <v>167</v>
      </c>
      <c r="H12" s="42">
        <v>210.0</v>
      </c>
      <c r="I12" s="43">
        <v>38.0</v>
      </c>
      <c r="J12" s="18" t="s">
        <v>161</v>
      </c>
      <c r="K12" s="44">
        <v>6.8</v>
      </c>
      <c r="L12" s="18" t="s">
        <v>162</v>
      </c>
      <c r="M12" s="18" t="str">
        <f t="shared" si="1"/>
        <v>Moderate</v>
      </c>
      <c r="N12" s="18" t="s">
        <v>163</v>
      </c>
      <c r="O12" s="18">
        <f>'Priority Scoring'!B12</f>
        <v>5</v>
      </c>
      <c r="P12" s="45">
        <f>'Priority Scoring'!I12</f>
        <v>77</v>
      </c>
      <c r="Q12" s="18" t="str">
        <f>'Priority Scoring'!J12</f>
        <v>High</v>
      </c>
      <c r="R12" s="18" t="s">
        <v>164</v>
      </c>
      <c r="S12" s="18" t="s">
        <v>165</v>
      </c>
      <c r="T12" s="18" t="s">
        <v>168</v>
      </c>
    </row>
    <row r="13">
      <c r="A13" s="20" t="s">
        <v>133</v>
      </c>
      <c r="B13" s="20" t="s">
        <v>118</v>
      </c>
      <c r="C13" s="20" t="s">
        <v>158</v>
      </c>
      <c r="D13" s="20" t="s">
        <v>159</v>
      </c>
      <c r="E13" s="20" t="s">
        <v>118</v>
      </c>
      <c r="F13" s="20" t="s">
        <v>110</v>
      </c>
      <c r="G13" s="20" t="s">
        <v>167</v>
      </c>
      <c r="H13" s="46">
        <v>720.0</v>
      </c>
      <c r="I13" s="47">
        <v>46.0</v>
      </c>
      <c r="J13" s="20" t="s">
        <v>161</v>
      </c>
      <c r="K13" s="48">
        <v>7.6</v>
      </c>
      <c r="L13" s="20" t="s">
        <v>162</v>
      </c>
      <c r="M13" s="20" t="str">
        <f t="shared" si="1"/>
        <v>Competitive</v>
      </c>
      <c r="N13" s="20" t="s">
        <v>163</v>
      </c>
      <c r="O13" s="20">
        <f>'Priority Scoring'!B13</f>
        <v>5</v>
      </c>
      <c r="P13" s="49">
        <f>'Priority Scoring'!I13</f>
        <v>89</v>
      </c>
      <c r="Q13" s="20" t="str">
        <f>'Priority Scoring'!J13</f>
        <v>High</v>
      </c>
      <c r="R13" s="20" t="s">
        <v>164</v>
      </c>
      <c r="S13" s="20" t="s">
        <v>165</v>
      </c>
      <c r="T13" s="20" t="s">
        <v>168</v>
      </c>
    </row>
    <row r="14">
      <c r="A14" s="18" t="s">
        <v>179</v>
      </c>
      <c r="B14" s="18" t="s">
        <v>180</v>
      </c>
      <c r="C14" s="18" t="s">
        <v>158</v>
      </c>
      <c r="D14" s="18" t="s">
        <v>159</v>
      </c>
      <c r="E14" s="18" t="s">
        <v>116</v>
      </c>
      <c r="F14" s="18" t="s">
        <v>108</v>
      </c>
      <c r="G14" s="18" t="s">
        <v>167</v>
      </c>
      <c r="H14" s="42">
        <v>90.0</v>
      </c>
      <c r="I14" s="43">
        <v>30.0</v>
      </c>
      <c r="J14" s="18" t="s">
        <v>161</v>
      </c>
      <c r="K14" s="44">
        <v>7.2</v>
      </c>
      <c r="L14" s="18" t="s">
        <v>162</v>
      </c>
      <c r="M14" s="18" t="str">
        <f t="shared" si="1"/>
        <v>Moderate</v>
      </c>
      <c r="N14" s="18" t="s">
        <v>163</v>
      </c>
      <c r="O14" s="18">
        <f>'Priority Scoring'!B14</f>
        <v>5</v>
      </c>
      <c r="P14" s="45">
        <f>'Priority Scoring'!I14</f>
        <v>78</v>
      </c>
      <c r="Q14" s="18" t="str">
        <f>'Priority Scoring'!J14</f>
        <v>High</v>
      </c>
      <c r="R14" s="18" t="s">
        <v>164</v>
      </c>
      <c r="S14" s="18" t="s">
        <v>165</v>
      </c>
      <c r="T14" s="18" t="s">
        <v>168</v>
      </c>
    </row>
    <row r="15">
      <c r="A15" s="20" t="s">
        <v>135</v>
      </c>
      <c r="B15" s="20" t="s">
        <v>118</v>
      </c>
      <c r="C15" s="20" t="s">
        <v>158</v>
      </c>
      <c r="D15" s="20" t="s">
        <v>159</v>
      </c>
      <c r="E15" s="20" t="s">
        <v>118</v>
      </c>
      <c r="F15" s="20" t="s">
        <v>110</v>
      </c>
      <c r="G15" s="20" t="s">
        <v>167</v>
      </c>
      <c r="H15" s="46">
        <v>590.0</v>
      </c>
      <c r="I15" s="47">
        <v>44.0</v>
      </c>
      <c r="J15" s="20" t="s">
        <v>161</v>
      </c>
      <c r="K15" s="48">
        <v>7.0</v>
      </c>
      <c r="L15" s="20" t="s">
        <v>162</v>
      </c>
      <c r="M15" s="20" t="str">
        <f t="shared" si="1"/>
        <v>Competitive</v>
      </c>
      <c r="N15" s="20" t="s">
        <v>163</v>
      </c>
      <c r="O15" s="20">
        <f>'Priority Scoring'!B15</f>
        <v>5</v>
      </c>
      <c r="P15" s="49">
        <f>'Priority Scoring'!I15</f>
        <v>89</v>
      </c>
      <c r="Q15" s="20" t="str">
        <f>'Priority Scoring'!J15</f>
        <v>High</v>
      </c>
      <c r="R15" s="20" t="s">
        <v>164</v>
      </c>
      <c r="S15" s="20" t="s">
        <v>165</v>
      </c>
      <c r="T15" s="20" t="s">
        <v>168</v>
      </c>
    </row>
    <row r="16">
      <c r="A16" s="18" t="s">
        <v>181</v>
      </c>
      <c r="B16" s="18" t="s">
        <v>182</v>
      </c>
      <c r="C16" s="18" t="s">
        <v>183</v>
      </c>
      <c r="D16" s="18" t="s">
        <v>184</v>
      </c>
      <c r="E16" s="18" t="s">
        <v>114</v>
      </c>
      <c r="F16" s="18" t="s">
        <v>110</v>
      </c>
      <c r="G16" s="18" t="s">
        <v>160</v>
      </c>
      <c r="H16" s="42">
        <v>320.0</v>
      </c>
      <c r="I16" s="43">
        <v>4.0</v>
      </c>
      <c r="J16" s="18" t="s">
        <v>161</v>
      </c>
      <c r="K16" s="44">
        <v>5.0</v>
      </c>
      <c r="L16" s="18" t="s">
        <v>162</v>
      </c>
      <c r="M16" s="18" t="str">
        <f t="shared" si="1"/>
        <v>Easy</v>
      </c>
      <c r="N16" s="18" t="s">
        <v>185</v>
      </c>
      <c r="O16" s="18">
        <f>'Priority Scoring'!B16</f>
        <v>3</v>
      </c>
      <c r="P16" s="45">
        <f>'Priority Scoring'!I16</f>
        <v>71</v>
      </c>
      <c r="Q16" s="18" t="str">
        <f>'Priority Scoring'!J16</f>
        <v>Medium</v>
      </c>
      <c r="R16" s="18" t="s">
        <v>164</v>
      </c>
      <c r="S16" s="18" t="s">
        <v>186</v>
      </c>
      <c r="T16" s="18" t="s">
        <v>187</v>
      </c>
    </row>
    <row r="17">
      <c r="A17" s="20" t="s">
        <v>188</v>
      </c>
      <c r="B17" s="20" t="s">
        <v>182</v>
      </c>
      <c r="C17" s="20" t="s">
        <v>183</v>
      </c>
      <c r="D17" s="20" t="s">
        <v>184</v>
      </c>
      <c r="E17" s="20" t="s">
        <v>114</v>
      </c>
      <c r="F17" s="20" t="s">
        <v>110</v>
      </c>
      <c r="G17" s="20" t="s">
        <v>167</v>
      </c>
      <c r="H17" s="46">
        <v>70.0</v>
      </c>
      <c r="I17" s="47">
        <v>2.0</v>
      </c>
      <c r="J17" s="20" t="s">
        <v>161</v>
      </c>
      <c r="K17" s="48">
        <v>0.5</v>
      </c>
      <c r="L17" s="20" t="s">
        <v>162</v>
      </c>
      <c r="M17" s="20" t="str">
        <f t="shared" si="1"/>
        <v>Easy</v>
      </c>
      <c r="N17" s="20" t="s">
        <v>185</v>
      </c>
      <c r="O17" s="20">
        <f>'Priority Scoring'!B17</f>
        <v>3</v>
      </c>
      <c r="P17" s="49">
        <f>'Priority Scoring'!I17</f>
        <v>65</v>
      </c>
      <c r="Q17" s="20" t="str">
        <f>'Priority Scoring'!J17</f>
        <v>Medium</v>
      </c>
      <c r="R17" s="20" t="s">
        <v>164</v>
      </c>
      <c r="S17" s="20" t="s">
        <v>186</v>
      </c>
      <c r="T17" s="20" t="s">
        <v>168</v>
      </c>
    </row>
    <row r="18">
      <c r="A18" s="18" t="s">
        <v>189</v>
      </c>
      <c r="B18" s="18" t="s">
        <v>182</v>
      </c>
      <c r="C18" s="18" t="s">
        <v>183</v>
      </c>
      <c r="D18" s="18" t="s">
        <v>184</v>
      </c>
      <c r="E18" s="18" t="s">
        <v>114</v>
      </c>
      <c r="F18" s="18" t="s">
        <v>110</v>
      </c>
      <c r="G18" s="18" t="s">
        <v>167</v>
      </c>
      <c r="H18" s="42">
        <v>40.0</v>
      </c>
      <c r="I18" s="43">
        <v>2.0</v>
      </c>
      <c r="J18" s="18" t="s">
        <v>161</v>
      </c>
      <c r="K18" s="44">
        <v>4.0</v>
      </c>
      <c r="L18" s="18" t="s">
        <v>162</v>
      </c>
      <c r="M18" s="18" t="str">
        <f t="shared" si="1"/>
        <v>Easy</v>
      </c>
      <c r="N18" s="18" t="s">
        <v>185</v>
      </c>
      <c r="O18" s="18">
        <f>'Priority Scoring'!B18</f>
        <v>3</v>
      </c>
      <c r="P18" s="45">
        <f>'Priority Scoring'!I18</f>
        <v>65</v>
      </c>
      <c r="Q18" s="18" t="str">
        <f>'Priority Scoring'!J18</f>
        <v>Medium</v>
      </c>
      <c r="R18" s="18" t="s">
        <v>164</v>
      </c>
      <c r="S18" s="18" t="s">
        <v>186</v>
      </c>
      <c r="T18" s="18" t="s">
        <v>168</v>
      </c>
    </row>
    <row r="19">
      <c r="A19" s="20" t="s">
        <v>190</v>
      </c>
      <c r="B19" s="20" t="s">
        <v>182</v>
      </c>
      <c r="C19" s="20" t="s">
        <v>183</v>
      </c>
      <c r="D19" s="20" t="s">
        <v>184</v>
      </c>
      <c r="E19" s="20" t="s">
        <v>114</v>
      </c>
      <c r="F19" s="20" t="s">
        <v>110</v>
      </c>
      <c r="G19" s="20" t="s">
        <v>167</v>
      </c>
      <c r="H19" s="46">
        <v>90.0</v>
      </c>
      <c r="I19" s="47">
        <v>6.0</v>
      </c>
      <c r="J19" s="20" t="s">
        <v>161</v>
      </c>
      <c r="K19" s="48">
        <v>4.0</v>
      </c>
      <c r="L19" s="20" t="s">
        <v>162</v>
      </c>
      <c r="M19" s="20" t="str">
        <f t="shared" si="1"/>
        <v>Easy</v>
      </c>
      <c r="N19" s="20" t="s">
        <v>185</v>
      </c>
      <c r="O19" s="20">
        <f>'Priority Scoring'!B19</f>
        <v>3</v>
      </c>
      <c r="P19" s="49">
        <f>'Priority Scoring'!I19</f>
        <v>68</v>
      </c>
      <c r="Q19" s="20" t="str">
        <f>'Priority Scoring'!J19</f>
        <v>Medium</v>
      </c>
      <c r="R19" s="20" t="s">
        <v>164</v>
      </c>
      <c r="S19" s="20" t="s">
        <v>186</v>
      </c>
      <c r="T19" s="20" t="s">
        <v>168</v>
      </c>
    </row>
    <row r="20">
      <c r="A20" s="18" t="s">
        <v>191</v>
      </c>
      <c r="B20" s="18" t="s">
        <v>182</v>
      </c>
      <c r="C20" s="18" t="s">
        <v>183</v>
      </c>
      <c r="D20" s="18" t="s">
        <v>184</v>
      </c>
      <c r="E20" s="18" t="s">
        <v>116</v>
      </c>
      <c r="F20" s="18" t="s">
        <v>108</v>
      </c>
      <c r="G20" s="18" t="s">
        <v>167</v>
      </c>
      <c r="H20" s="42">
        <v>70.0</v>
      </c>
      <c r="I20" s="43">
        <v>8.0</v>
      </c>
      <c r="J20" s="18" t="s">
        <v>161</v>
      </c>
      <c r="K20" s="44">
        <v>3.0</v>
      </c>
      <c r="L20" s="18" t="s">
        <v>162</v>
      </c>
      <c r="M20" s="18" t="str">
        <f t="shared" si="1"/>
        <v>Easy</v>
      </c>
      <c r="N20" s="18" t="s">
        <v>185</v>
      </c>
      <c r="O20" s="18">
        <f>'Priority Scoring'!B20</f>
        <v>3</v>
      </c>
      <c r="P20" s="45">
        <f>'Priority Scoring'!I20</f>
        <v>65</v>
      </c>
      <c r="Q20" s="18" t="str">
        <f>'Priority Scoring'!J20</f>
        <v>Medium</v>
      </c>
      <c r="R20" s="18" t="s">
        <v>164</v>
      </c>
      <c r="S20" s="18" t="s">
        <v>186</v>
      </c>
      <c r="T20" s="18" t="s">
        <v>168</v>
      </c>
    </row>
    <row r="21" ht="15.75" customHeight="1">
      <c r="A21" s="20" t="s">
        <v>192</v>
      </c>
      <c r="B21" s="20" t="s">
        <v>182</v>
      </c>
      <c r="C21" s="20" t="s">
        <v>183</v>
      </c>
      <c r="D21" s="20" t="s">
        <v>184</v>
      </c>
      <c r="E21" s="20" t="s">
        <v>114</v>
      </c>
      <c r="F21" s="20" t="s">
        <v>110</v>
      </c>
      <c r="G21" s="20" t="s">
        <v>167</v>
      </c>
      <c r="H21" s="46">
        <v>50.0</v>
      </c>
      <c r="I21" s="47">
        <v>3.0</v>
      </c>
      <c r="J21" s="20" t="s">
        <v>161</v>
      </c>
      <c r="K21" s="48">
        <v>3.0</v>
      </c>
      <c r="L21" s="20" t="s">
        <v>162</v>
      </c>
      <c r="M21" s="20" t="str">
        <f t="shared" si="1"/>
        <v>Easy</v>
      </c>
      <c r="N21" s="20" t="s">
        <v>185</v>
      </c>
      <c r="O21" s="20">
        <f>'Priority Scoring'!B21</f>
        <v>3</v>
      </c>
      <c r="P21" s="49">
        <f>'Priority Scoring'!I21</f>
        <v>65</v>
      </c>
      <c r="Q21" s="20" t="str">
        <f>'Priority Scoring'!J21</f>
        <v>Medium</v>
      </c>
      <c r="R21" s="20" t="s">
        <v>164</v>
      </c>
      <c r="S21" s="20" t="s">
        <v>186</v>
      </c>
      <c r="T21" s="20" t="s">
        <v>168</v>
      </c>
    </row>
    <row r="22" ht="15.75" customHeight="1">
      <c r="A22" s="18" t="s">
        <v>193</v>
      </c>
      <c r="B22" s="18" t="s">
        <v>13</v>
      </c>
      <c r="C22" s="18" t="s">
        <v>194</v>
      </c>
      <c r="D22" s="18" t="s">
        <v>195</v>
      </c>
      <c r="E22" s="18" t="s">
        <v>118</v>
      </c>
      <c r="F22" s="18" t="s">
        <v>110</v>
      </c>
      <c r="G22" s="18" t="s">
        <v>160</v>
      </c>
      <c r="H22" s="42">
        <v>170.0</v>
      </c>
      <c r="I22" s="43">
        <v>22.0</v>
      </c>
      <c r="J22" s="18" t="s">
        <v>161</v>
      </c>
      <c r="K22" s="44">
        <v>6.8</v>
      </c>
      <c r="L22" s="18" t="s">
        <v>162</v>
      </c>
      <c r="M22" s="18" t="str">
        <f t="shared" si="1"/>
        <v>Moderate</v>
      </c>
      <c r="N22" s="18" t="s">
        <v>196</v>
      </c>
      <c r="O22" s="18">
        <f>'Priority Scoring'!B22</f>
        <v>5</v>
      </c>
      <c r="P22" s="45">
        <f>'Priority Scoring'!I22</f>
        <v>87</v>
      </c>
      <c r="Q22" s="18" t="str">
        <f>'Priority Scoring'!J22</f>
        <v>High</v>
      </c>
      <c r="R22" s="18" t="s">
        <v>197</v>
      </c>
      <c r="S22" s="18" t="s">
        <v>198</v>
      </c>
      <c r="T22" s="18" t="s">
        <v>199</v>
      </c>
    </row>
    <row r="23" ht="15.75" customHeight="1">
      <c r="A23" s="20" t="s">
        <v>136</v>
      </c>
      <c r="B23" s="20" t="s">
        <v>13</v>
      </c>
      <c r="C23" s="20" t="s">
        <v>194</v>
      </c>
      <c r="D23" s="20" t="s">
        <v>195</v>
      </c>
      <c r="E23" s="20" t="s">
        <v>118</v>
      </c>
      <c r="F23" s="20" t="s">
        <v>110</v>
      </c>
      <c r="G23" s="20" t="s">
        <v>160</v>
      </c>
      <c r="H23" s="46">
        <v>590.0</v>
      </c>
      <c r="I23" s="47">
        <v>44.0</v>
      </c>
      <c r="J23" s="20" t="s">
        <v>161</v>
      </c>
      <c r="K23" s="48">
        <v>8.8</v>
      </c>
      <c r="L23" s="20" t="s">
        <v>162</v>
      </c>
      <c r="M23" s="20" t="str">
        <f t="shared" si="1"/>
        <v>Competitive</v>
      </c>
      <c r="N23" s="20" t="s">
        <v>196</v>
      </c>
      <c r="O23" s="20">
        <f>'Priority Scoring'!B23</f>
        <v>5</v>
      </c>
      <c r="P23" s="49">
        <f>'Priority Scoring'!I23</f>
        <v>89</v>
      </c>
      <c r="Q23" s="20" t="str">
        <f>'Priority Scoring'!J23</f>
        <v>High</v>
      </c>
      <c r="R23" s="20" t="s">
        <v>197</v>
      </c>
      <c r="S23" s="20" t="s">
        <v>198</v>
      </c>
      <c r="T23" s="20" t="s">
        <v>168</v>
      </c>
    </row>
    <row r="24" ht="15.75" customHeight="1">
      <c r="A24" s="18" t="s">
        <v>200</v>
      </c>
      <c r="B24" s="18" t="s">
        <v>13</v>
      </c>
      <c r="C24" s="18" t="s">
        <v>194</v>
      </c>
      <c r="D24" s="18" t="s">
        <v>195</v>
      </c>
      <c r="E24" s="18" t="s">
        <v>118</v>
      </c>
      <c r="F24" s="18" t="s">
        <v>110</v>
      </c>
      <c r="G24" s="18" t="s">
        <v>167</v>
      </c>
      <c r="H24" s="42">
        <v>480.0</v>
      </c>
      <c r="I24" s="43">
        <v>42.0</v>
      </c>
      <c r="J24" s="18" t="s">
        <v>161</v>
      </c>
      <c r="K24" s="44">
        <v>8.6</v>
      </c>
      <c r="L24" s="18" t="s">
        <v>162</v>
      </c>
      <c r="M24" s="18" t="str">
        <f t="shared" si="1"/>
        <v>Competitive</v>
      </c>
      <c r="N24" s="18" t="s">
        <v>196</v>
      </c>
      <c r="O24" s="18">
        <f>'Priority Scoring'!B24</f>
        <v>5</v>
      </c>
      <c r="P24" s="45">
        <f>'Priority Scoring'!I24</f>
        <v>86</v>
      </c>
      <c r="Q24" s="18" t="str">
        <f>'Priority Scoring'!J24</f>
        <v>High</v>
      </c>
      <c r="R24" s="18" t="s">
        <v>197</v>
      </c>
      <c r="S24" s="18" t="s">
        <v>198</v>
      </c>
      <c r="T24" s="18" t="s">
        <v>168</v>
      </c>
    </row>
    <row r="25" ht="15.75" customHeight="1">
      <c r="A25" s="20" t="s">
        <v>201</v>
      </c>
      <c r="B25" s="20" t="s">
        <v>13</v>
      </c>
      <c r="C25" s="20" t="s">
        <v>194</v>
      </c>
      <c r="D25" s="20" t="s">
        <v>195</v>
      </c>
      <c r="E25" s="20" t="s">
        <v>118</v>
      </c>
      <c r="F25" s="20" t="s">
        <v>110</v>
      </c>
      <c r="G25" s="20" t="s">
        <v>167</v>
      </c>
      <c r="H25" s="46">
        <v>140.0</v>
      </c>
      <c r="I25" s="47">
        <v>24.0</v>
      </c>
      <c r="J25" s="20" t="s">
        <v>161</v>
      </c>
      <c r="K25" s="48">
        <v>6.5</v>
      </c>
      <c r="L25" s="20" t="s">
        <v>162</v>
      </c>
      <c r="M25" s="20" t="str">
        <f t="shared" si="1"/>
        <v>Moderate</v>
      </c>
      <c r="N25" s="20" t="s">
        <v>196</v>
      </c>
      <c r="O25" s="20">
        <f>'Priority Scoring'!B25</f>
        <v>5</v>
      </c>
      <c r="P25" s="49">
        <f>'Priority Scoring'!I25</f>
        <v>87</v>
      </c>
      <c r="Q25" s="20" t="str">
        <f>'Priority Scoring'!J25</f>
        <v>High</v>
      </c>
      <c r="R25" s="20" t="s">
        <v>197</v>
      </c>
      <c r="S25" s="20" t="s">
        <v>198</v>
      </c>
      <c r="T25" s="20" t="s">
        <v>168</v>
      </c>
    </row>
    <row r="26" ht="15.75" customHeight="1">
      <c r="A26" s="18" t="s">
        <v>202</v>
      </c>
      <c r="B26" s="18" t="s">
        <v>13</v>
      </c>
      <c r="C26" s="18" t="s">
        <v>194</v>
      </c>
      <c r="D26" s="18" t="s">
        <v>195</v>
      </c>
      <c r="E26" s="18" t="s">
        <v>118</v>
      </c>
      <c r="F26" s="18" t="s">
        <v>110</v>
      </c>
      <c r="G26" s="18" t="s">
        <v>167</v>
      </c>
      <c r="H26" s="42">
        <v>70.0</v>
      </c>
      <c r="I26" s="43">
        <v>20.0</v>
      </c>
      <c r="J26" s="18" t="s">
        <v>161</v>
      </c>
      <c r="K26" s="44">
        <v>6.4</v>
      </c>
      <c r="L26" s="18" t="s">
        <v>162</v>
      </c>
      <c r="M26" s="18" t="str">
        <f t="shared" si="1"/>
        <v>Easy</v>
      </c>
      <c r="N26" s="18" t="s">
        <v>196</v>
      </c>
      <c r="O26" s="18">
        <f>'Priority Scoring'!B26</f>
        <v>5</v>
      </c>
      <c r="P26" s="45">
        <f>'Priority Scoring'!I26</f>
        <v>88</v>
      </c>
      <c r="Q26" s="18" t="str">
        <f>'Priority Scoring'!J26</f>
        <v>High</v>
      </c>
      <c r="R26" s="18" t="s">
        <v>197</v>
      </c>
      <c r="S26" s="18" t="s">
        <v>198</v>
      </c>
      <c r="T26" s="18" t="s">
        <v>168</v>
      </c>
    </row>
    <row r="27" ht="15.75" customHeight="1">
      <c r="A27" s="20" t="s">
        <v>203</v>
      </c>
      <c r="B27" s="20" t="s">
        <v>13</v>
      </c>
      <c r="C27" s="20" t="s">
        <v>194</v>
      </c>
      <c r="D27" s="20" t="s">
        <v>195</v>
      </c>
      <c r="E27" s="20" t="s">
        <v>118</v>
      </c>
      <c r="F27" s="20" t="s">
        <v>110</v>
      </c>
      <c r="G27" s="20" t="s">
        <v>167</v>
      </c>
      <c r="H27" s="46">
        <v>20.0</v>
      </c>
      <c r="I27" s="47">
        <v>8.0</v>
      </c>
      <c r="J27" s="20" t="s">
        <v>161</v>
      </c>
      <c r="K27" s="48">
        <v>5.0</v>
      </c>
      <c r="L27" s="20" t="s">
        <v>162</v>
      </c>
      <c r="M27" s="20" t="str">
        <f t="shared" si="1"/>
        <v>Easy</v>
      </c>
      <c r="N27" s="20" t="s">
        <v>196</v>
      </c>
      <c r="O27" s="20">
        <f>'Priority Scoring'!B27</f>
        <v>5</v>
      </c>
      <c r="P27" s="49">
        <f>'Priority Scoring'!I27</f>
        <v>88</v>
      </c>
      <c r="Q27" s="20" t="str">
        <f>'Priority Scoring'!J27</f>
        <v>High</v>
      </c>
      <c r="R27" s="20" t="s">
        <v>197</v>
      </c>
      <c r="S27" s="20" t="s">
        <v>198</v>
      </c>
      <c r="T27" s="20" t="s">
        <v>168</v>
      </c>
    </row>
    <row r="28" ht="15.75" customHeight="1">
      <c r="A28" s="18" t="s">
        <v>204</v>
      </c>
      <c r="B28" s="18" t="s">
        <v>13</v>
      </c>
      <c r="C28" s="18" t="s">
        <v>194</v>
      </c>
      <c r="D28" s="18" t="s">
        <v>195</v>
      </c>
      <c r="E28" s="18" t="s">
        <v>118</v>
      </c>
      <c r="F28" s="18" t="s">
        <v>110</v>
      </c>
      <c r="G28" s="18" t="s">
        <v>167</v>
      </c>
      <c r="H28" s="42">
        <v>110.0</v>
      </c>
      <c r="I28" s="43">
        <v>28.0</v>
      </c>
      <c r="J28" s="18" t="s">
        <v>161</v>
      </c>
      <c r="K28" s="44">
        <v>6.2</v>
      </c>
      <c r="L28" s="18" t="s">
        <v>162</v>
      </c>
      <c r="M28" s="18" t="str">
        <f t="shared" si="1"/>
        <v>Moderate</v>
      </c>
      <c r="N28" s="18" t="s">
        <v>196</v>
      </c>
      <c r="O28" s="18">
        <f>'Priority Scoring'!B28</f>
        <v>5</v>
      </c>
      <c r="P28" s="45">
        <f>'Priority Scoring'!I28</f>
        <v>87</v>
      </c>
      <c r="Q28" s="18" t="str">
        <f>'Priority Scoring'!J28</f>
        <v>High</v>
      </c>
      <c r="R28" s="18" t="s">
        <v>197</v>
      </c>
      <c r="S28" s="18" t="s">
        <v>198</v>
      </c>
      <c r="T28" s="18" t="s">
        <v>168</v>
      </c>
    </row>
    <row r="29" ht="15.75" customHeight="1">
      <c r="A29" s="20" t="s">
        <v>205</v>
      </c>
      <c r="B29" s="20" t="s">
        <v>13</v>
      </c>
      <c r="C29" s="20" t="s">
        <v>206</v>
      </c>
      <c r="D29" s="20" t="s">
        <v>207</v>
      </c>
      <c r="E29" s="20" t="s">
        <v>118</v>
      </c>
      <c r="F29" s="20" t="s">
        <v>110</v>
      </c>
      <c r="G29" s="20" t="s">
        <v>160</v>
      </c>
      <c r="H29" s="46">
        <v>480.0</v>
      </c>
      <c r="I29" s="47">
        <v>40.0</v>
      </c>
      <c r="J29" s="20" t="s">
        <v>161</v>
      </c>
      <c r="K29" s="48">
        <v>8.6</v>
      </c>
      <c r="L29" s="20" t="s">
        <v>162</v>
      </c>
      <c r="M29" s="20" t="str">
        <f t="shared" si="1"/>
        <v>Moderate</v>
      </c>
      <c r="N29" s="20" t="s">
        <v>208</v>
      </c>
      <c r="O29" s="20">
        <f>'Priority Scoring'!B29</f>
        <v>4</v>
      </c>
      <c r="P29" s="49">
        <f>'Priority Scoring'!I29</f>
        <v>79</v>
      </c>
      <c r="Q29" s="20" t="str">
        <f>'Priority Scoring'!J29</f>
        <v>High</v>
      </c>
      <c r="R29" s="20" t="s">
        <v>209</v>
      </c>
      <c r="S29" s="20" t="s">
        <v>198</v>
      </c>
      <c r="T29" s="20" t="s">
        <v>168</v>
      </c>
    </row>
    <row r="30" ht="15.75" customHeight="1">
      <c r="A30" s="18" t="s">
        <v>210</v>
      </c>
      <c r="B30" s="18" t="s">
        <v>13</v>
      </c>
      <c r="C30" s="18" t="s">
        <v>206</v>
      </c>
      <c r="D30" s="18" t="s">
        <v>207</v>
      </c>
      <c r="E30" s="18" t="s">
        <v>118</v>
      </c>
      <c r="F30" s="18" t="s">
        <v>110</v>
      </c>
      <c r="G30" s="18" t="s">
        <v>167</v>
      </c>
      <c r="H30" s="42">
        <v>390.0</v>
      </c>
      <c r="I30" s="43">
        <v>38.0</v>
      </c>
      <c r="J30" s="18" t="s">
        <v>161</v>
      </c>
      <c r="K30" s="44">
        <v>8.4</v>
      </c>
      <c r="L30" s="18" t="s">
        <v>162</v>
      </c>
      <c r="M30" s="18" t="str">
        <f t="shared" si="1"/>
        <v>Moderate</v>
      </c>
      <c r="N30" s="18" t="s">
        <v>208</v>
      </c>
      <c r="O30" s="18">
        <f>'Priority Scoring'!B30</f>
        <v>4</v>
      </c>
      <c r="P30" s="45">
        <f>'Priority Scoring'!I30</f>
        <v>79</v>
      </c>
      <c r="Q30" s="18" t="str">
        <f>'Priority Scoring'!J30</f>
        <v>High</v>
      </c>
      <c r="R30" s="18" t="s">
        <v>209</v>
      </c>
      <c r="S30" s="18" t="s">
        <v>198</v>
      </c>
      <c r="T30" s="18" t="s">
        <v>168</v>
      </c>
    </row>
    <row r="31" ht="15.75" customHeight="1">
      <c r="A31" s="20" t="s">
        <v>211</v>
      </c>
      <c r="B31" s="20" t="s">
        <v>13</v>
      </c>
      <c r="C31" s="20" t="s">
        <v>206</v>
      </c>
      <c r="D31" s="20" t="s">
        <v>207</v>
      </c>
      <c r="E31" s="20" t="s">
        <v>118</v>
      </c>
      <c r="F31" s="20" t="s">
        <v>110</v>
      </c>
      <c r="G31" s="20" t="s">
        <v>167</v>
      </c>
      <c r="H31" s="46">
        <v>210.0</v>
      </c>
      <c r="I31" s="47">
        <v>34.0</v>
      </c>
      <c r="J31" s="20" t="s">
        <v>161</v>
      </c>
      <c r="K31" s="48">
        <v>8.2</v>
      </c>
      <c r="L31" s="20" t="s">
        <v>162</v>
      </c>
      <c r="M31" s="20" t="str">
        <f t="shared" si="1"/>
        <v>Moderate</v>
      </c>
      <c r="N31" s="20" t="s">
        <v>208</v>
      </c>
      <c r="O31" s="20">
        <f>'Priority Scoring'!B31</f>
        <v>4</v>
      </c>
      <c r="P31" s="49">
        <f>'Priority Scoring'!I31</f>
        <v>83</v>
      </c>
      <c r="Q31" s="20" t="str">
        <f>'Priority Scoring'!J31</f>
        <v>High</v>
      </c>
      <c r="R31" s="20" t="s">
        <v>209</v>
      </c>
      <c r="S31" s="20" t="s">
        <v>198</v>
      </c>
      <c r="T31" s="20" t="s">
        <v>168</v>
      </c>
    </row>
    <row r="32" ht="15.75" customHeight="1">
      <c r="A32" s="18" t="s">
        <v>212</v>
      </c>
      <c r="B32" s="18" t="s">
        <v>13</v>
      </c>
      <c r="C32" s="18" t="s">
        <v>206</v>
      </c>
      <c r="D32" s="18" t="s">
        <v>207</v>
      </c>
      <c r="E32" s="18" t="s">
        <v>118</v>
      </c>
      <c r="F32" s="18" t="s">
        <v>110</v>
      </c>
      <c r="G32" s="18" t="s">
        <v>167</v>
      </c>
      <c r="H32" s="42">
        <v>70.0</v>
      </c>
      <c r="I32" s="43">
        <v>28.0</v>
      </c>
      <c r="J32" s="18" t="s">
        <v>161</v>
      </c>
      <c r="K32" s="44">
        <v>7.0</v>
      </c>
      <c r="L32" s="18" t="s">
        <v>162</v>
      </c>
      <c r="M32" s="18" t="str">
        <f t="shared" si="1"/>
        <v>Moderate</v>
      </c>
      <c r="N32" s="18" t="s">
        <v>208</v>
      </c>
      <c r="O32" s="18">
        <f>'Priority Scoring'!B32</f>
        <v>4</v>
      </c>
      <c r="P32" s="45">
        <f>'Priority Scoring'!I32</f>
        <v>77</v>
      </c>
      <c r="Q32" s="18" t="str">
        <f>'Priority Scoring'!J32</f>
        <v>High</v>
      </c>
      <c r="R32" s="18" t="s">
        <v>209</v>
      </c>
      <c r="S32" s="18" t="s">
        <v>198</v>
      </c>
      <c r="T32" s="18" t="s">
        <v>168</v>
      </c>
    </row>
    <row r="33" ht="15.75" customHeight="1">
      <c r="A33" s="20" t="s">
        <v>213</v>
      </c>
      <c r="B33" s="20" t="s">
        <v>13</v>
      </c>
      <c r="C33" s="20" t="s">
        <v>214</v>
      </c>
      <c r="D33" s="20" t="s">
        <v>215</v>
      </c>
      <c r="E33" s="20" t="s">
        <v>118</v>
      </c>
      <c r="F33" s="20" t="s">
        <v>110</v>
      </c>
      <c r="G33" s="20" t="s">
        <v>160</v>
      </c>
      <c r="H33" s="46">
        <v>210.0</v>
      </c>
      <c r="I33" s="47">
        <v>30.0</v>
      </c>
      <c r="J33" s="20" t="s">
        <v>161</v>
      </c>
      <c r="K33" s="48">
        <v>7.8</v>
      </c>
      <c r="L33" s="20" t="s">
        <v>162</v>
      </c>
      <c r="M33" s="20" t="str">
        <f t="shared" si="1"/>
        <v>Moderate</v>
      </c>
      <c r="N33" s="20" t="s">
        <v>216</v>
      </c>
      <c r="O33" s="20">
        <f>'Priority Scoring'!B33</f>
        <v>4</v>
      </c>
      <c r="P33" s="49">
        <f>'Priority Scoring'!I33</f>
        <v>83</v>
      </c>
      <c r="Q33" s="20" t="str">
        <f>'Priority Scoring'!J33</f>
        <v>High</v>
      </c>
      <c r="R33" s="20" t="s">
        <v>217</v>
      </c>
      <c r="S33" s="20" t="s">
        <v>198</v>
      </c>
      <c r="T33" s="20" t="s">
        <v>168</v>
      </c>
    </row>
    <row r="34" ht="15.75" customHeight="1">
      <c r="A34" s="18" t="s">
        <v>218</v>
      </c>
      <c r="B34" s="18" t="s">
        <v>13</v>
      </c>
      <c r="C34" s="18" t="s">
        <v>214</v>
      </c>
      <c r="D34" s="18" t="s">
        <v>215</v>
      </c>
      <c r="E34" s="18" t="s">
        <v>118</v>
      </c>
      <c r="F34" s="18" t="s">
        <v>110</v>
      </c>
      <c r="G34" s="18" t="s">
        <v>167</v>
      </c>
      <c r="H34" s="42">
        <v>170.0</v>
      </c>
      <c r="I34" s="43">
        <v>28.0</v>
      </c>
      <c r="J34" s="18" t="s">
        <v>161</v>
      </c>
      <c r="K34" s="44">
        <v>7.6</v>
      </c>
      <c r="L34" s="18" t="s">
        <v>162</v>
      </c>
      <c r="M34" s="18" t="str">
        <f t="shared" si="1"/>
        <v>Moderate</v>
      </c>
      <c r="N34" s="18" t="s">
        <v>216</v>
      </c>
      <c r="O34" s="18">
        <f>'Priority Scoring'!B34</f>
        <v>4</v>
      </c>
      <c r="P34" s="45">
        <f>'Priority Scoring'!I34</f>
        <v>80</v>
      </c>
      <c r="Q34" s="18" t="str">
        <f>'Priority Scoring'!J34</f>
        <v>High</v>
      </c>
      <c r="R34" s="18" t="s">
        <v>217</v>
      </c>
      <c r="S34" s="18" t="s">
        <v>198</v>
      </c>
      <c r="T34" s="18" t="s">
        <v>168</v>
      </c>
    </row>
    <row r="35" ht="15.75" customHeight="1">
      <c r="A35" s="20" t="s">
        <v>219</v>
      </c>
      <c r="B35" s="20" t="s">
        <v>13</v>
      </c>
      <c r="C35" s="20" t="s">
        <v>214</v>
      </c>
      <c r="D35" s="20" t="s">
        <v>215</v>
      </c>
      <c r="E35" s="20" t="s">
        <v>118</v>
      </c>
      <c r="F35" s="20" t="s">
        <v>110</v>
      </c>
      <c r="G35" s="20" t="s">
        <v>167</v>
      </c>
      <c r="H35" s="46">
        <v>90.0</v>
      </c>
      <c r="I35" s="47">
        <v>24.0</v>
      </c>
      <c r="J35" s="20" t="s">
        <v>161</v>
      </c>
      <c r="K35" s="48">
        <v>7.2</v>
      </c>
      <c r="L35" s="20" t="s">
        <v>162</v>
      </c>
      <c r="M35" s="20" t="str">
        <f t="shared" si="1"/>
        <v>Moderate</v>
      </c>
      <c r="N35" s="20" t="s">
        <v>216</v>
      </c>
      <c r="O35" s="20">
        <f>'Priority Scoring'!B35</f>
        <v>4</v>
      </c>
      <c r="P35" s="49">
        <f>'Priority Scoring'!I35</f>
        <v>80</v>
      </c>
      <c r="Q35" s="20" t="str">
        <f>'Priority Scoring'!J35</f>
        <v>High</v>
      </c>
      <c r="R35" s="20" t="s">
        <v>217</v>
      </c>
      <c r="S35" s="20" t="s">
        <v>198</v>
      </c>
      <c r="T35" s="20" t="s">
        <v>168</v>
      </c>
    </row>
    <row r="36" ht="15.75" customHeight="1">
      <c r="A36" s="18" t="s">
        <v>220</v>
      </c>
      <c r="B36" s="18" t="s">
        <v>13</v>
      </c>
      <c r="C36" s="18" t="s">
        <v>221</v>
      </c>
      <c r="D36" s="18" t="s">
        <v>222</v>
      </c>
      <c r="E36" s="18" t="s">
        <v>118</v>
      </c>
      <c r="F36" s="18" t="s">
        <v>110</v>
      </c>
      <c r="G36" s="18" t="s">
        <v>160</v>
      </c>
      <c r="H36" s="42">
        <v>1000.0</v>
      </c>
      <c r="I36" s="43">
        <v>47.0</v>
      </c>
      <c r="J36" s="18" t="s">
        <v>161</v>
      </c>
      <c r="K36" s="44">
        <v>8.8</v>
      </c>
      <c r="L36" s="18" t="s">
        <v>162</v>
      </c>
      <c r="M36" s="18" t="str">
        <f t="shared" si="1"/>
        <v>Competitive</v>
      </c>
      <c r="N36" s="18" t="s">
        <v>223</v>
      </c>
      <c r="O36" s="18">
        <f>'Priority Scoring'!B36</f>
        <v>4</v>
      </c>
      <c r="P36" s="45">
        <f>'Priority Scoring'!I36</f>
        <v>85</v>
      </c>
      <c r="Q36" s="18" t="str">
        <f>'Priority Scoring'!J36</f>
        <v>High</v>
      </c>
      <c r="R36" s="18" t="s">
        <v>224</v>
      </c>
      <c r="S36" s="18" t="s">
        <v>198</v>
      </c>
      <c r="T36" s="18" t="s">
        <v>225</v>
      </c>
    </row>
    <row r="37" ht="15.75" customHeight="1">
      <c r="A37" s="20" t="s">
        <v>226</v>
      </c>
      <c r="B37" s="20" t="s">
        <v>13</v>
      </c>
      <c r="C37" s="20" t="s">
        <v>221</v>
      </c>
      <c r="D37" s="20" t="s">
        <v>222</v>
      </c>
      <c r="E37" s="20" t="s">
        <v>118</v>
      </c>
      <c r="F37" s="20" t="s">
        <v>110</v>
      </c>
      <c r="G37" s="20" t="s">
        <v>167</v>
      </c>
      <c r="H37" s="46">
        <v>480.0</v>
      </c>
      <c r="I37" s="47">
        <v>44.0</v>
      </c>
      <c r="J37" s="20" t="s">
        <v>161</v>
      </c>
      <c r="K37" s="48">
        <v>8.5</v>
      </c>
      <c r="L37" s="20" t="s">
        <v>162</v>
      </c>
      <c r="M37" s="20" t="str">
        <f t="shared" si="1"/>
        <v>Competitive</v>
      </c>
      <c r="N37" s="20" t="s">
        <v>223</v>
      </c>
      <c r="O37" s="20">
        <f>'Priority Scoring'!B37</f>
        <v>4</v>
      </c>
      <c r="P37" s="49">
        <f>'Priority Scoring'!I37</f>
        <v>79</v>
      </c>
      <c r="Q37" s="20" t="str">
        <f>'Priority Scoring'!J37</f>
        <v>High</v>
      </c>
      <c r="R37" s="20" t="s">
        <v>224</v>
      </c>
      <c r="S37" s="20" t="s">
        <v>198</v>
      </c>
      <c r="T37" s="20" t="s">
        <v>168</v>
      </c>
    </row>
    <row r="38" ht="15.75" customHeight="1">
      <c r="A38" s="18" t="s">
        <v>227</v>
      </c>
      <c r="B38" s="18" t="s">
        <v>13</v>
      </c>
      <c r="C38" s="18" t="s">
        <v>221</v>
      </c>
      <c r="D38" s="18" t="s">
        <v>222</v>
      </c>
      <c r="E38" s="18" t="s">
        <v>118</v>
      </c>
      <c r="F38" s="18" t="s">
        <v>110</v>
      </c>
      <c r="G38" s="18" t="s">
        <v>167</v>
      </c>
      <c r="H38" s="42">
        <v>320.0</v>
      </c>
      <c r="I38" s="43">
        <v>42.0</v>
      </c>
      <c r="J38" s="18" t="s">
        <v>161</v>
      </c>
      <c r="K38" s="44">
        <v>8.4</v>
      </c>
      <c r="L38" s="18" t="s">
        <v>162</v>
      </c>
      <c r="M38" s="18" t="str">
        <f t="shared" si="1"/>
        <v>Competitive</v>
      </c>
      <c r="N38" s="18" t="s">
        <v>223</v>
      </c>
      <c r="O38" s="18">
        <f>'Priority Scoring'!B38</f>
        <v>4</v>
      </c>
      <c r="P38" s="45">
        <f>'Priority Scoring'!I38</f>
        <v>79</v>
      </c>
      <c r="Q38" s="18" t="str">
        <f>'Priority Scoring'!J38</f>
        <v>High</v>
      </c>
      <c r="R38" s="18" t="s">
        <v>224</v>
      </c>
      <c r="S38" s="18" t="s">
        <v>198</v>
      </c>
      <c r="T38" s="18" t="s">
        <v>168</v>
      </c>
    </row>
    <row r="39" ht="15.75" customHeight="1">
      <c r="A39" s="20" t="s">
        <v>228</v>
      </c>
      <c r="B39" s="20" t="s">
        <v>13</v>
      </c>
      <c r="C39" s="20" t="s">
        <v>229</v>
      </c>
      <c r="D39" s="20" t="s">
        <v>230</v>
      </c>
      <c r="E39" s="20" t="s">
        <v>118</v>
      </c>
      <c r="F39" s="20" t="s">
        <v>110</v>
      </c>
      <c r="G39" s="20" t="s">
        <v>160</v>
      </c>
      <c r="H39" s="46">
        <v>260.0</v>
      </c>
      <c r="I39" s="47">
        <v>34.0</v>
      </c>
      <c r="J39" s="20" t="s">
        <v>161</v>
      </c>
      <c r="K39" s="48">
        <v>8.2</v>
      </c>
      <c r="L39" s="20" t="s">
        <v>162</v>
      </c>
      <c r="M39" s="20" t="str">
        <f t="shared" si="1"/>
        <v>Moderate</v>
      </c>
      <c r="N39" s="20" t="s">
        <v>216</v>
      </c>
      <c r="O39" s="20">
        <f>'Priority Scoring'!B39</f>
        <v>4</v>
      </c>
      <c r="P39" s="49">
        <f>'Priority Scoring'!I39</f>
        <v>83</v>
      </c>
      <c r="Q39" s="20" t="str">
        <f>'Priority Scoring'!J39</f>
        <v>High</v>
      </c>
      <c r="R39" s="20" t="s">
        <v>231</v>
      </c>
      <c r="S39" s="20" t="s">
        <v>198</v>
      </c>
      <c r="T39" s="20" t="s">
        <v>168</v>
      </c>
    </row>
    <row r="40" ht="15.75" customHeight="1">
      <c r="A40" s="18" t="s">
        <v>232</v>
      </c>
      <c r="B40" s="18" t="s">
        <v>13</v>
      </c>
      <c r="C40" s="18" t="s">
        <v>229</v>
      </c>
      <c r="D40" s="18" t="s">
        <v>230</v>
      </c>
      <c r="E40" s="18" t="s">
        <v>118</v>
      </c>
      <c r="F40" s="18" t="s">
        <v>110</v>
      </c>
      <c r="G40" s="18" t="s">
        <v>167</v>
      </c>
      <c r="H40" s="42">
        <v>140.0</v>
      </c>
      <c r="I40" s="43">
        <v>30.0</v>
      </c>
      <c r="J40" s="18" t="s">
        <v>161</v>
      </c>
      <c r="K40" s="44">
        <v>7.9</v>
      </c>
      <c r="L40" s="18" t="s">
        <v>162</v>
      </c>
      <c r="M40" s="18" t="str">
        <f t="shared" si="1"/>
        <v>Moderate</v>
      </c>
      <c r="N40" s="18" t="s">
        <v>216</v>
      </c>
      <c r="O40" s="18">
        <f>'Priority Scoring'!B40</f>
        <v>4</v>
      </c>
      <c r="P40" s="45">
        <f>'Priority Scoring'!I40</f>
        <v>80</v>
      </c>
      <c r="Q40" s="18" t="str">
        <f>'Priority Scoring'!J40</f>
        <v>High</v>
      </c>
      <c r="R40" s="18" t="s">
        <v>231</v>
      </c>
      <c r="S40" s="18" t="s">
        <v>198</v>
      </c>
      <c r="T40" s="18" t="s">
        <v>168</v>
      </c>
    </row>
    <row r="41" ht="15.75" customHeight="1">
      <c r="A41" s="20" t="s">
        <v>233</v>
      </c>
      <c r="B41" s="20" t="s">
        <v>13</v>
      </c>
      <c r="C41" s="20" t="s">
        <v>229</v>
      </c>
      <c r="D41" s="20" t="s">
        <v>230</v>
      </c>
      <c r="E41" s="20" t="s">
        <v>118</v>
      </c>
      <c r="F41" s="20" t="s">
        <v>110</v>
      </c>
      <c r="G41" s="20" t="s">
        <v>167</v>
      </c>
      <c r="H41" s="46">
        <v>90.0</v>
      </c>
      <c r="I41" s="47">
        <v>28.0</v>
      </c>
      <c r="J41" s="20" t="s">
        <v>161</v>
      </c>
      <c r="K41" s="48">
        <v>7.6</v>
      </c>
      <c r="L41" s="20" t="s">
        <v>162</v>
      </c>
      <c r="M41" s="20" t="str">
        <f t="shared" si="1"/>
        <v>Moderate</v>
      </c>
      <c r="N41" s="20" t="s">
        <v>216</v>
      </c>
      <c r="O41" s="20">
        <f>'Priority Scoring'!B41</f>
        <v>4</v>
      </c>
      <c r="P41" s="49">
        <f>'Priority Scoring'!I41</f>
        <v>80</v>
      </c>
      <c r="Q41" s="20" t="str">
        <f>'Priority Scoring'!J41</f>
        <v>High</v>
      </c>
      <c r="R41" s="20" t="s">
        <v>231</v>
      </c>
      <c r="S41" s="20" t="s">
        <v>198</v>
      </c>
      <c r="T41" s="20" t="s">
        <v>168</v>
      </c>
    </row>
    <row r="42" ht="15.75" customHeight="1">
      <c r="A42" s="18" t="s">
        <v>126</v>
      </c>
      <c r="B42" s="18" t="s">
        <v>118</v>
      </c>
      <c r="C42" s="18" t="s">
        <v>234</v>
      </c>
      <c r="D42" s="18" t="s">
        <v>235</v>
      </c>
      <c r="E42" s="18" t="s">
        <v>118</v>
      </c>
      <c r="F42" s="18" t="s">
        <v>110</v>
      </c>
      <c r="G42" s="18" t="s">
        <v>160</v>
      </c>
      <c r="H42" s="42">
        <v>210.0</v>
      </c>
      <c r="I42" s="43">
        <v>20.0</v>
      </c>
      <c r="J42" s="18" t="s">
        <v>161</v>
      </c>
      <c r="K42" s="44">
        <v>4.2</v>
      </c>
      <c r="L42" s="18" t="s">
        <v>162</v>
      </c>
      <c r="M42" s="18" t="str">
        <f t="shared" si="1"/>
        <v>Easy</v>
      </c>
      <c r="N42" s="18" t="s">
        <v>236</v>
      </c>
      <c r="O42" s="18">
        <f>'Priority Scoring'!B42</f>
        <v>5</v>
      </c>
      <c r="P42" s="45">
        <f>'Priority Scoring'!I42</f>
        <v>94</v>
      </c>
      <c r="Q42" s="18" t="str">
        <f>'Priority Scoring'!J42</f>
        <v>Critical</v>
      </c>
      <c r="R42" s="18" t="s">
        <v>237</v>
      </c>
      <c r="S42" s="18" t="s">
        <v>198</v>
      </c>
      <c r="T42" s="18" t="s">
        <v>238</v>
      </c>
    </row>
    <row r="43" ht="15.75" customHeight="1">
      <c r="A43" s="20" t="s">
        <v>131</v>
      </c>
      <c r="B43" s="20" t="s">
        <v>118</v>
      </c>
      <c r="C43" s="20" t="s">
        <v>234</v>
      </c>
      <c r="D43" s="20" t="s">
        <v>235</v>
      </c>
      <c r="E43" s="20" t="s">
        <v>118</v>
      </c>
      <c r="F43" s="20" t="s">
        <v>110</v>
      </c>
      <c r="G43" s="20" t="s">
        <v>167</v>
      </c>
      <c r="H43" s="46">
        <v>480.0</v>
      </c>
      <c r="I43" s="47">
        <v>32.0</v>
      </c>
      <c r="J43" s="20" t="s">
        <v>161</v>
      </c>
      <c r="K43" s="48">
        <v>3.9</v>
      </c>
      <c r="L43" s="20" t="s">
        <v>162</v>
      </c>
      <c r="M43" s="20" t="str">
        <f t="shared" si="1"/>
        <v>Moderate</v>
      </c>
      <c r="N43" s="20" t="s">
        <v>236</v>
      </c>
      <c r="O43" s="20">
        <f>'Priority Scoring'!B43</f>
        <v>5</v>
      </c>
      <c r="P43" s="49">
        <f>'Priority Scoring'!I43</f>
        <v>90</v>
      </c>
      <c r="Q43" s="20" t="str">
        <f>'Priority Scoring'!J43</f>
        <v>Critical</v>
      </c>
      <c r="R43" s="20" t="s">
        <v>237</v>
      </c>
      <c r="S43" s="20" t="s">
        <v>198</v>
      </c>
      <c r="T43" s="20" t="s">
        <v>239</v>
      </c>
    </row>
    <row r="44" ht="15.75" customHeight="1">
      <c r="A44" s="18" t="s">
        <v>128</v>
      </c>
      <c r="B44" s="18" t="s">
        <v>118</v>
      </c>
      <c r="C44" s="18" t="s">
        <v>234</v>
      </c>
      <c r="D44" s="18" t="s">
        <v>235</v>
      </c>
      <c r="E44" s="18" t="s">
        <v>118</v>
      </c>
      <c r="F44" s="18" t="s">
        <v>110</v>
      </c>
      <c r="G44" s="18" t="s">
        <v>167</v>
      </c>
      <c r="H44" s="42">
        <v>90.0</v>
      </c>
      <c r="I44" s="43">
        <v>14.0</v>
      </c>
      <c r="J44" s="18" t="s">
        <v>161</v>
      </c>
      <c r="K44" s="44">
        <v>5.5</v>
      </c>
      <c r="L44" s="18" t="s">
        <v>162</v>
      </c>
      <c r="M44" s="18" t="str">
        <f t="shared" si="1"/>
        <v>Easy</v>
      </c>
      <c r="N44" s="18" t="s">
        <v>236</v>
      </c>
      <c r="O44" s="18">
        <f>'Priority Scoring'!B44</f>
        <v>5</v>
      </c>
      <c r="P44" s="45">
        <f>'Priority Scoring'!I44</f>
        <v>91</v>
      </c>
      <c r="Q44" s="18" t="str">
        <f>'Priority Scoring'!J44</f>
        <v>Critical</v>
      </c>
      <c r="R44" s="18" t="s">
        <v>237</v>
      </c>
      <c r="S44" s="18" t="s">
        <v>198</v>
      </c>
      <c r="T44" s="18" t="s">
        <v>168</v>
      </c>
    </row>
    <row r="45" ht="15.75" customHeight="1">
      <c r="A45" s="20" t="s">
        <v>240</v>
      </c>
      <c r="B45" s="20" t="s">
        <v>118</v>
      </c>
      <c r="C45" s="20" t="s">
        <v>234</v>
      </c>
      <c r="D45" s="20" t="s">
        <v>235</v>
      </c>
      <c r="E45" s="20" t="s">
        <v>118</v>
      </c>
      <c r="F45" s="20" t="s">
        <v>110</v>
      </c>
      <c r="G45" s="20" t="s">
        <v>160</v>
      </c>
      <c r="H45" s="46">
        <v>320.0</v>
      </c>
      <c r="I45" s="47">
        <v>36.0</v>
      </c>
      <c r="J45" s="20" t="s">
        <v>161</v>
      </c>
      <c r="K45" s="48">
        <v>9.2</v>
      </c>
      <c r="L45" s="20" t="s">
        <v>162</v>
      </c>
      <c r="M45" s="20" t="str">
        <f t="shared" si="1"/>
        <v>Moderate</v>
      </c>
      <c r="N45" s="20" t="s">
        <v>236</v>
      </c>
      <c r="O45" s="20">
        <f>'Priority Scoring'!B45</f>
        <v>5</v>
      </c>
      <c r="P45" s="49">
        <f>'Priority Scoring'!I45</f>
        <v>86</v>
      </c>
      <c r="Q45" s="20" t="str">
        <f>'Priority Scoring'!J45</f>
        <v>High</v>
      </c>
      <c r="R45" s="20" t="s">
        <v>237</v>
      </c>
      <c r="S45" s="20" t="s">
        <v>198</v>
      </c>
      <c r="T45" s="20" t="s">
        <v>168</v>
      </c>
    </row>
    <row r="46" ht="15.75" customHeight="1">
      <c r="A46" s="18" t="s">
        <v>129</v>
      </c>
      <c r="B46" s="18" t="s">
        <v>118</v>
      </c>
      <c r="C46" s="18" t="s">
        <v>234</v>
      </c>
      <c r="D46" s="18" t="s">
        <v>235</v>
      </c>
      <c r="E46" s="18" t="s">
        <v>118</v>
      </c>
      <c r="F46" s="18" t="s">
        <v>110</v>
      </c>
      <c r="G46" s="18" t="s">
        <v>167</v>
      </c>
      <c r="H46" s="42">
        <v>90.0</v>
      </c>
      <c r="I46" s="43">
        <v>18.0</v>
      </c>
      <c r="J46" s="18" t="s">
        <v>161</v>
      </c>
      <c r="K46" s="44">
        <v>7.0</v>
      </c>
      <c r="L46" s="18" t="s">
        <v>162</v>
      </c>
      <c r="M46" s="18" t="str">
        <f t="shared" si="1"/>
        <v>Easy</v>
      </c>
      <c r="N46" s="18" t="s">
        <v>236</v>
      </c>
      <c r="O46" s="18">
        <f>'Priority Scoring'!B46</f>
        <v>5</v>
      </c>
      <c r="P46" s="45">
        <f>'Priority Scoring'!I46</f>
        <v>91</v>
      </c>
      <c r="Q46" s="18" t="str">
        <f>'Priority Scoring'!J46</f>
        <v>Critical</v>
      </c>
      <c r="R46" s="18" t="s">
        <v>237</v>
      </c>
      <c r="S46" s="18" t="s">
        <v>198</v>
      </c>
      <c r="T46" s="18" t="s">
        <v>168</v>
      </c>
    </row>
    <row r="47" ht="15.75" customHeight="1">
      <c r="A47" s="20" t="s">
        <v>130</v>
      </c>
      <c r="B47" s="20" t="s">
        <v>118</v>
      </c>
      <c r="C47" s="20" t="s">
        <v>234</v>
      </c>
      <c r="D47" s="20" t="s">
        <v>235</v>
      </c>
      <c r="E47" s="20" t="s">
        <v>118</v>
      </c>
      <c r="F47" s="20" t="s">
        <v>110</v>
      </c>
      <c r="G47" s="20" t="s">
        <v>167</v>
      </c>
      <c r="H47" s="46">
        <v>90.0</v>
      </c>
      <c r="I47" s="47">
        <v>20.0</v>
      </c>
      <c r="J47" s="20" t="s">
        <v>161</v>
      </c>
      <c r="K47" s="48">
        <v>6.5</v>
      </c>
      <c r="L47" s="20" t="s">
        <v>162</v>
      </c>
      <c r="M47" s="20" t="str">
        <f t="shared" si="1"/>
        <v>Easy</v>
      </c>
      <c r="N47" s="20" t="s">
        <v>236</v>
      </c>
      <c r="O47" s="20">
        <f>'Priority Scoring'!B47</f>
        <v>5</v>
      </c>
      <c r="P47" s="49">
        <f>'Priority Scoring'!I47</f>
        <v>91</v>
      </c>
      <c r="Q47" s="20" t="str">
        <f>'Priority Scoring'!J47</f>
        <v>Critical</v>
      </c>
      <c r="R47" s="20" t="s">
        <v>237</v>
      </c>
      <c r="S47" s="20" t="s">
        <v>198</v>
      </c>
      <c r="T47" s="20" t="s">
        <v>168</v>
      </c>
    </row>
    <row r="48" ht="15.75" customHeight="1">
      <c r="A48" s="18" t="s">
        <v>241</v>
      </c>
      <c r="B48" s="18" t="s">
        <v>118</v>
      </c>
      <c r="C48" s="18" t="s">
        <v>234</v>
      </c>
      <c r="D48" s="18" t="s">
        <v>235</v>
      </c>
      <c r="E48" s="18" t="s">
        <v>118</v>
      </c>
      <c r="F48" s="18" t="s">
        <v>110</v>
      </c>
      <c r="G48" s="18" t="s">
        <v>167</v>
      </c>
      <c r="H48" s="42">
        <v>170.0</v>
      </c>
      <c r="I48" s="43">
        <v>24.0</v>
      </c>
      <c r="J48" s="18" t="s">
        <v>161</v>
      </c>
      <c r="K48" s="44">
        <v>6.0</v>
      </c>
      <c r="L48" s="18" t="s">
        <v>162</v>
      </c>
      <c r="M48" s="18" t="str">
        <f t="shared" si="1"/>
        <v>Moderate</v>
      </c>
      <c r="N48" s="18" t="s">
        <v>236</v>
      </c>
      <c r="O48" s="18">
        <f>'Priority Scoring'!B48</f>
        <v>5</v>
      </c>
      <c r="P48" s="45">
        <f>'Priority Scoring'!I48</f>
        <v>87</v>
      </c>
      <c r="Q48" s="18" t="str">
        <f>'Priority Scoring'!J48</f>
        <v>High</v>
      </c>
      <c r="R48" s="18" t="s">
        <v>237</v>
      </c>
      <c r="S48" s="18" t="s">
        <v>198</v>
      </c>
      <c r="T48" s="18" t="s">
        <v>239</v>
      </c>
    </row>
    <row r="49" ht="15.75" customHeight="1">
      <c r="A49" s="20" t="s">
        <v>242</v>
      </c>
      <c r="B49" s="20" t="s">
        <v>112</v>
      </c>
      <c r="C49" s="20" t="s">
        <v>234</v>
      </c>
      <c r="D49" s="20" t="s">
        <v>243</v>
      </c>
      <c r="E49" s="20" t="s">
        <v>112</v>
      </c>
      <c r="F49" s="20" t="s">
        <v>106</v>
      </c>
      <c r="G49" s="20" t="s">
        <v>160</v>
      </c>
      <c r="H49" s="46">
        <v>590.0</v>
      </c>
      <c r="I49" s="47">
        <v>28.0</v>
      </c>
      <c r="J49" s="20" t="s">
        <v>161</v>
      </c>
      <c r="K49" s="48">
        <v>1.9</v>
      </c>
      <c r="L49" s="20" t="s">
        <v>162</v>
      </c>
      <c r="M49" s="20" t="str">
        <f t="shared" si="1"/>
        <v>Moderate</v>
      </c>
      <c r="N49" s="20" t="s">
        <v>244</v>
      </c>
      <c r="O49" s="20">
        <f>'Priority Scoring'!B49</f>
        <v>3</v>
      </c>
      <c r="P49" s="49">
        <f>'Priority Scoring'!I49</f>
        <v>58</v>
      </c>
      <c r="Q49" s="20" t="str">
        <f>'Priority Scoring'!J49</f>
        <v>Low</v>
      </c>
      <c r="R49" s="20" t="s">
        <v>245</v>
      </c>
      <c r="S49" s="20" t="s">
        <v>165</v>
      </c>
      <c r="T49" s="20" t="s">
        <v>239</v>
      </c>
    </row>
    <row r="50" ht="15.75" customHeight="1">
      <c r="A50" s="18" t="s">
        <v>246</v>
      </c>
      <c r="B50" s="18" t="s">
        <v>112</v>
      </c>
      <c r="C50" s="18" t="s">
        <v>234</v>
      </c>
      <c r="D50" s="18" t="s">
        <v>243</v>
      </c>
      <c r="E50" s="18" t="s">
        <v>112</v>
      </c>
      <c r="F50" s="18" t="s">
        <v>106</v>
      </c>
      <c r="G50" s="18" t="s">
        <v>167</v>
      </c>
      <c r="H50" s="42">
        <v>320.0</v>
      </c>
      <c r="I50" s="43">
        <v>22.0</v>
      </c>
      <c r="J50" s="18" t="s">
        <v>161</v>
      </c>
      <c r="K50" s="44">
        <v>1.5</v>
      </c>
      <c r="L50" s="18" t="s">
        <v>162</v>
      </c>
      <c r="M50" s="18" t="str">
        <f t="shared" si="1"/>
        <v>Moderate</v>
      </c>
      <c r="N50" s="18" t="s">
        <v>244</v>
      </c>
      <c r="O50" s="18">
        <f>'Priority Scoring'!B50</f>
        <v>3</v>
      </c>
      <c r="P50" s="45">
        <f>'Priority Scoring'!I50</f>
        <v>55</v>
      </c>
      <c r="Q50" s="18" t="str">
        <f>'Priority Scoring'!J50</f>
        <v>Low</v>
      </c>
      <c r="R50" s="18" t="s">
        <v>245</v>
      </c>
      <c r="S50" s="18" t="s">
        <v>165</v>
      </c>
      <c r="T50" s="18" t="s">
        <v>239</v>
      </c>
    </row>
    <row r="51" ht="15.75" customHeight="1">
      <c r="A51" s="20" t="s">
        <v>247</v>
      </c>
      <c r="B51" s="20" t="s">
        <v>248</v>
      </c>
      <c r="C51" s="20" t="s">
        <v>234</v>
      </c>
      <c r="D51" s="20" t="s">
        <v>243</v>
      </c>
      <c r="E51" s="20" t="s">
        <v>112</v>
      </c>
      <c r="F51" s="20" t="s">
        <v>106</v>
      </c>
      <c r="G51" s="20" t="s">
        <v>167</v>
      </c>
      <c r="H51" s="46">
        <v>390.0</v>
      </c>
      <c r="I51" s="47">
        <v>26.0</v>
      </c>
      <c r="J51" s="20" t="s">
        <v>161</v>
      </c>
      <c r="K51" s="48">
        <v>1.8</v>
      </c>
      <c r="L51" s="20" t="s">
        <v>162</v>
      </c>
      <c r="M51" s="20" t="str">
        <f t="shared" si="1"/>
        <v>Moderate</v>
      </c>
      <c r="N51" s="20" t="s">
        <v>244</v>
      </c>
      <c r="O51" s="20">
        <f>'Priority Scoring'!B51</f>
        <v>3</v>
      </c>
      <c r="P51" s="49">
        <f>'Priority Scoring'!I51</f>
        <v>55</v>
      </c>
      <c r="Q51" s="20" t="str">
        <f>'Priority Scoring'!J51</f>
        <v>Low</v>
      </c>
      <c r="R51" s="20" t="s">
        <v>245</v>
      </c>
      <c r="S51" s="20" t="s">
        <v>165</v>
      </c>
      <c r="T51" s="20" t="s">
        <v>239</v>
      </c>
    </row>
    <row r="52" ht="15.75" customHeight="1">
      <c r="A52" s="18" t="s">
        <v>249</v>
      </c>
      <c r="B52" s="18" t="s">
        <v>248</v>
      </c>
      <c r="C52" s="18" t="s">
        <v>234</v>
      </c>
      <c r="D52" s="18" t="s">
        <v>243</v>
      </c>
      <c r="E52" s="18" t="s">
        <v>112</v>
      </c>
      <c r="F52" s="18" t="s">
        <v>106</v>
      </c>
      <c r="G52" s="18" t="s">
        <v>167</v>
      </c>
      <c r="H52" s="42">
        <v>170.0</v>
      </c>
      <c r="I52" s="43">
        <v>20.0</v>
      </c>
      <c r="J52" s="18" t="s">
        <v>161</v>
      </c>
      <c r="K52" s="44">
        <v>1.6</v>
      </c>
      <c r="L52" s="18" t="s">
        <v>162</v>
      </c>
      <c r="M52" s="18" t="str">
        <f t="shared" si="1"/>
        <v>Easy</v>
      </c>
      <c r="N52" s="18" t="s">
        <v>244</v>
      </c>
      <c r="O52" s="18">
        <f>'Priority Scoring'!B52</f>
        <v>3</v>
      </c>
      <c r="P52" s="45">
        <f>'Priority Scoring'!I52</f>
        <v>56</v>
      </c>
      <c r="Q52" s="18" t="str">
        <f>'Priority Scoring'!J52</f>
        <v>Low</v>
      </c>
      <c r="R52" s="18" t="s">
        <v>245</v>
      </c>
      <c r="S52" s="18" t="s">
        <v>165</v>
      </c>
      <c r="T52" s="18" t="s">
        <v>239</v>
      </c>
    </row>
    <row r="53" ht="15.75" customHeight="1">
      <c r="A53" s="20" t="s">
        <v>250</v>
      </c>
      <c r="B53" s="20" t="s">
        <v>112</v>
      </c>
      <c r="C53" s="20" t="s">
        <v>234</v>
      </c>
      <c r="D53" s="20" t="s">
        <v>243</v>
      </c>
      <c r="E53" s="20" t="s">
        <v>112</v>
      </c>
      <c r="F53" s="20" t="s">
        <v>106</v>
      </c>
      <c r="G53" s="20" t="s">
        <v>167</v>
      </c>
      <c r="H53" s="46">
        <v>480.0</v>
      </c>
      <c r="I53" s="47">
        <v>22.0</v>
      </c>
      <c r="J53" s="20" t="s">
        <v>161</v>
      </c>
      <c r="K53" s="48">
        <v>1.4</v>
      </c>
      <c r="L53" s="20" t="s">
        <v>162</v>
      </c>
      <c r="M53" s="20" t="str">
        <f t="shared" si="1"/>
        <v>Moderate</v>
      </c>
      <c r="N53" s="20" t="s">
        <v>244</v>
      </c>
      <c r="O53" s="20">
        <f>'Priority Scoring'!B53</f>
        <v>3</v>
      </c>
      <c r="P53" s="49">
        <f>'Priority Scoring'!I53</f>
        <v>55</v>
      </c>
      <c r="Q53" s="20" t="str">
        <f>'Priority Scoring'!J53</f>
        <v>Low</v>
      </c>
      <c r="R53" s="20" t="s">
        <v>245</v>
      </c>
      <c r="S53" s="20" t="s">
        <v>165</v>
      </c>
      <c r="T53" s="20" t="s">
        <v>239</v>
      </c>
    </row>
    <row r="54" ht="15.75" customHeight="1">
      <c r="A54" s="18" t="s">
        <v>251</v>
      </c>
      <c r="B54" s="18" t="s">
        <v>118</v>
      </c>
      <c r="C54" s="18" t="s">
        <v>252</v>
      </c>
      <c r="D54" s="18" t="s">
        <v>253</v>
      </c>
      <c r="E54" s="18" t="s">
        <v>118</v>
      </c>
      <c r="F54" s="18" t="s">
        <v>110</v>
      </c>
      <c r="G54" s="18" t="s">
        <v>160</v>
      </c>
      <c r="H54" s="42">
        <v>590.0</v>
      </c>
      <c r="I54" s="43">
        <v>42.0</v>
      </c>
      <c r="J54" s="18" t="s">
        <v>161</v>
      </c>
      <c r="K54" s="44">
        <v>8.1</v>
      </c>
      <c r="L54" s="18" t="s">
        <v>162</v>
      </c>
      <c r="M54" s="18" t="str">
        <f t="shared" si="1"/>
        <v>Competitive</v>
      </c>
      <c r="N54" s="18" t="s">
        <v>254</v>
      </c>
      <c r="O54" s="18">
        <f>'Priority Scoring'!B54</f>
        <v>4</v>
      </c>
      <c r="P54" s="45">
        <f>'Priority Scoring'!I54</f>
        <v>82</v>
      </c>
      <c r="Q54" s="18" t="str">
        <f>'Priority Scoring'!J54</f>
        <v>High</v>
      </c>
      <c r="R54" s="18" t="s">
        <v>255</v>
      </c>
      <c r="S54" s="18" t="s">
        <v>165</v>
      </c>
      <c r="T54" s="18" t="s">
        <v>256</v>
      </c>
    </row>
    <row r="55" ht="15.75" customHeight="1">
      <c r="A55" s="20" t="s">
        <v>257</v>
      </c>
      <c r="B55" s="20" t="s">
        <v>116</v>
      </c>
      <c r="C55" s="20" t="s">
        <v>252</v>
      </c>
      <c r="D55" s="20" t="s">
        <v>253</v>
      </c>
      <c r="E55" s="20" t="s">
        <v>116</v>
      </c>
      <c r="F55" s="20" t="s">
        <v>108</v>
      </c>
      <c r="G55" s="20" t="s">
        <v>167</v>
      </c>
      <c r="H55" s="46">
        <v>880.0</v>
      </c>
      <c r="I55" s="47">
        <v>44.0</v>
      </c>
      <c r="J55" s="20" t="s">
        <v>161</v>
      </c>
      <c r="K55" s="48">
        <v>7.2</v>
      </c>
      <c r="L55" s="20" t="s">
        <v>162</v>
      </c>
      <c r="M55" s="20" t="str">
        <f t="shared" si="1"/>
        <v>Competitive</v>
      </c>
      <c r="N55" s="20" t="s">
        <v>254</v>
      </c>
      <c r="O55" s="20">
        <f>'Priority Scoring'!B55</f>
        <v>4</v>
      </c>
      <c r="P55" s="49">
        <f>'Priority Scoring'!I55</f>
        <v>73</v>
      </c>
      <c r="Q55" s="20" t="str">
        <f>'Priority Scoring'!J55</f>
        <v>Medium</v>
      </c>
      <c r="R55" s="20" t="s">
        <v>255</v>
      </c>
      <c r="S55" s="20" t="s">
        <v>165</v>
      </c>
      <c r="T55" s="20" t="s">
        <v>168</v>
      </c>
    </row>
    <row r="56" ht="15.75" customHeight="1">
      <c r="A56" s="18" t="s">
        <v>258</v>
      </c>
      <c r="B56" s="18" t="s">
        <v>116</v>
      </c>
      <c r="C56" s="18" t="s">
        <v>252</v>
      </c>
      <c r="D56" s="18" t="s">
        <v>253</v>
      </c>
      <c r="E56" s="18" t="s">
        <v>116</v>
      </c>
      <c r="F56" s="18" t="s">
        <v>108</v>
      </c>
      <c r="G56" s="18" t="s">
        <v>167</v>
      </c>
      <c r="H56" s="42">
        <v>480.0</v>
      </c>
      <c r="I56" s="43">
        <v>40.0</v>
      </c>
      <c r="J56" s="18" t="s">
        <v>161</v>
      </c>
      <c r="K56" s="44">
        <v>6.8</v>
      </c>
      <c r="L56" s="18" t="s">
        <v>162</v>
      </c>
      <c r="M56" s="18" t="str">
        <f t="shared" si="1"/>
        <v>Moderate</v>
      </c>
      <c r="N56" s="18" t="s">
        <v>254</v>
      </c>
      <c r="O56" s="18">
        <f>'Priority Scoring'!B56</f>
        <v>4</v>
      </c>
      <c r="P56" s="45">
        <f>'Priority Scoring'!I56</f>
        <v>70</v>
      </c>
      <c r="Q56" s="18" t="str">
        <f>'Priority Scoring'!J56</f>
        <v>Medium</v>
      </c>
      <c r="R56" s="18" t="s">
        <v>255</v>
      </c>
      <c r="S56" s="18" t="s">
        <v>165</v>
      </c>
      <c r="T56" s="18" t="s">
        <v>168</v>
      </c>
    </row>
    <row r="57" ht="15.75" customHeight="1">
      <c r="A57" s="20" t="s">
        <v>259</v>
      </c>
      <c r="B57" s="20" t="s">
        <v>116</v>
      </c>
      <c r="C57" s="20" t="s">
        <v>252</v>
      </c>
      <c r="D57" s="20" t="s">
        <v>253</v>
      </c>
      <c r="E57" s="20" t="s">
        <v>116</v>
      </c>
      <c r="F57" s="20" t="s">
        <v>108</v>
      </c>
      <c r="G57" s="20" t="s">
        <v>167</v>
      </c>
      <c r="H57" s="46">
        <v>390.0</v>
      </c>
      <c r="I57" s="47">
        <v>36.0</v>
      </c>
      <c r="J57" s="20" t="s">
        <v>161</v>
      </c>
      <c r="K57" s="48">
        <v>6.4</v>
      </c>
      <c r="L57" s="20" t="s">
        <v>162</v>
      </c>
      <c r="M57" s="20" t="str">
        <f t="shared" si="1"/>
        <v>Moderate</v>
      </c>
      <c r="N57" s="20" t="s">
        <v>254</v>
      </c>
      <c r="O57" s="20">
        <f>'Priority Scoring'!B57</f>
        <v>4</v>
      </c>
      <c r="P57" s="49">
        <f>'Priority Scoring'!I57</f>
        <v>70</v>
      </c>
      <c r="Q57" s="20" t="str">
        <f>'Priority Scoring'!J57</f>
        <v>Medium</v>
      </c>
      <c r="R57" s="20" t="s">
        <v>255</v>
      </c>
      <c r="S57" s="20" t="s">
        <v>165</v>
      </c>
      <c r="T57" s="20" t="s">
        <v>168</v>
      </c>
    </row>
    <row r="58" ht="15.75" customHeight="1">
      <c r="A58" s="18" t="s">
        <v>260</v>
      </c>
      <c r="B58" s="18" t="s">
        <v>118</v>
      </c>
      <c r="C58" s="18" t="s">
        <v>252</v>
      </c>
      <c r="D58" s="18" t="s">
        <v>253</v>
      </c>
      <c r="E58" s="18" t="s">
        <v>118</v>
      </c>
      <c r="F58" s="18" t="s">
        <v>110</v>
      </c>
      <c r="G58" s="18" t="s">
        <v>167</v>
      </c>
      <c r="H58" s="42">
        <v>140.0</v>
      </c>
      <c r="I58" s="43">
        <v>30.0</v>
      </c>
      <c r="J58" s="18" t="s">
        <v>161</v>
      </c>
      <c r="K58" s="44">
        <v>6.5</v>
      </c>
      <c r="L58" s="18" t="s">
        <v>162</v>
      </c>
      <c r="M58" s="18" t="str">
        <f t="shared" si="1"/>
        <v>Moderate</v>
      </c>
      <c r="N58" s="18" t="s">
        <v>254</v>
      </c>
      <c r="O58" s="18">
        <f>'Priority Scoring'!B58</f>
        <v>4</v>
      </c>
      <c r="P58" s="45">
        <f>'Priority Scoring'!I58</f>
        <v>80</v>
      </c>
      <c r="Q58" s="18" t="str">
        <f>'Priority Scoring'!J58</f>
        <v>High</v>
      </c>
      <c r="R58" s="18" t="s">
        <v>255</v>
      </c>
      <c r="S58" s="18" t="s">
        <v>165</v>
      </c>
      <c r="T58" s="18" t="s">
        <v>168</v>
      </c>
    </row>
    <row r="59" ht="15.75" customHeight="1">
      <c r="A59" s="20" t="s">
        <v>261</v>
      </c>
      <c r="B59" s="20" t="s">
        <v>118</v>
      </c>
      <c r="C59" s="20" t="s">
        <v>252</v>
      </c>
      <c r="D59" s="20" t="s">
        <v>253</v>
      </c>
      <c r="E59" s="20" t="s">
        <v>118</v>
      </c>
      <c r="F59" s="20" t="s">
        <v>110</v>
      </c>
      <c r="G59" s="20" t="s">
        <v>167</v>
      </c>
      <c r="H59" s="46">
        <v>110.0</v>
      </c>
      <c r="I59" s="47">
        <v>26.0</v>
      </c>
      <c r="J59" s="20" t="s">
        <v>161</v>
      </c>
      <c r="K59" s="48">
        <v>6.0</v>
      </c>
      <c r="L59" s="20" t="s">
        <v>162</v>
      </c>
      <c r="M59" s="20" t="str">
        <f t="shared" si="1"/>
        <v>Moderate</v>
      </c>
      <c r="N59" s="20" t="s">
        <v>254</v>
      </c>
      <c r="O59" s="20">
        <f>'Priority Scoring'!B59</f>
        <v>4</v>
      </c>
      <c r="P59" s="49">
        <f>'Priority Scoring'!I59</f>
        <v>80</v>
      </c>
      <c r="Q59" s="20" t="str">
        <f>'Priority Scoring'!J59</f>
        <v>High</v>
      </c>
      <c r="R59" s="20" t="s">
        <v>255</v>
      </c>
      <c r="S59" s="20" t="s">
        <v>165</v>
      </c>
      <c r="T59" s="20" t="s">
        <v>168</v>
      </c>
    </row>
    <row r="60" ht="15.75" customHeight="1">
      <c r="A60" s="18" t="s">
        <v>262</v>
      </c>
      <c r="B60" s="18" t="s">
        <v>116</v>
      </c>
      <c r="C60" s="18" t="s">
        <v>252</v>
      </c>
      <c r="D60" s="18" t="s">
        <v>253</v>
      </c>
      <c r="E60" s="18" t="s">
        <v>116</v>
      </c>
      <c r="F60" s="18" t="s">
        <v>108</v>
      </c>
      <c r="G60" s="18" t="s">
        <v>167</v>
      </c>
      <c r="H60" s="42">
        <v>70.0</v>
      </c>
      <c r="I60" s="43">
        <v>28.0</v>
      </c>
      <c r="J60" s="18" t="s">
        <v>161</v>
      </c>
      <c r="K60" s="44">
        <v>5.8</v>
      </c>
      <c r="L60" s="18" t="s">
        <v>162</v>
      </c>
      <c r="M60" s="18" t="str">
        <f t="shared" si="1"/>
        <v>Moderate</v>
      </c>
      <c r="N60" s="18" t="s">
        <v>254</v>
      </c>
      <c r="O60" s="18">
        <f>'Priority Scoring'!B60</f>
        <v>4</v>
      </c>
      <c r="P60" s="45">
        <f>'Priority Scoring'!I60</f>
        <v>68</v>
      </c>
      <c r="Q60" s="18" t="str">
        <f>'Priority Scoring'!J60</f>
        <v>Medium</v>
      </c>
      <c r="R60" s="18" t="s">
        <v>255</v>
      </c>
      <c r="S60" s="18" t="s">
        <v>165</v>
      </c>
      <c r="T60" s="18" t="s">
        <v>168</v>
      </c>
    </row>
    <row r="61" ht="15.75" customHeight="1">
      <c r="A61" s="20" t="s">
        <v>263</v>
      </c>
      <c r="B61" s="20" t="s">
        <v>118</v>
      </c>
      <c r="C61" s="20" t="s">
        <v>252</v>
      </c>
      <c r="D61" s="20" t="s">
        <v>253</v>
      </c>
      <c r="E61" s="20" t="s">
        <v>118</v>
      </c>
      <c r="F61" s="20" t="s">
        <v>110</v>
      </c>
      <c r="G61" s="20" t="s">
        <v>167</v>
      </c>
      <c r="H61" s="46">
        <v>210.0</v>
      </c>
      <c r="I61" s="47">
        <v>36.0</v>
      </c>
      <c r="J61" s="20" t="s">
        <v>161</v>
      </c>
      <c r="K61" s="48">
        <v>8.5</v>
      </c>
      <c r="L61" s="20" t="s">
        <v>162</v>
      </c>
      <c r="M61" s="20" t="str">
        <f t="shared" si="1"/>
        <v>Moderate</v>
      </c>
      <c r="N61" s="20" t="s">
        <v>254</v>
      </c>
      <c r="O61" s="20">
        <f>'Priority Scoring'!B61</f>
        <v>4</v>
      </c>
      <c r="P61" s="49">
        <f>'Priority Scoring'!I61</f>
        <v>79</v>
      </c>
      <c r="Q61" s="20" t="str">
        <f>'Priority Scoring'!J61</f>
        <v>High</v>
      </c>
      <c r="R61" s="20" t="s">
        <v>255</v>
      </c>
      <c r="S61" s="20" t="s">
        <v>165</v>
      </c>
      <c r="T61" s="20" t="s">
        <v>264</v>
      </c>
    </row>
    <row r="62" ht="15.75" customHeight="1">
      <c r="A62" s="18" t="s">
        <v>265</v>
      </c>
      <c r="B62" s="18" t="s">
        <v>118</v>
      </c>
      <c r="C62" s="18" t="s">
        <v>252</v>
      </c>
      <c r="D62" s="18" t="s">
        <v>253</v>
      </c>
      <c r="E62" s="18" t="s">
        <v>118</v>
      </c>
      <c r="F62" s="18" t="s">
        <v>110</v>
      </c>
      <c r="G62" s="18" t="s">
        <v>167</v>
      </c>
      <c r="H62" s="42">
        <v>90.0</v>
      </c>
      <c r="I62" s="43">
        <v>30.0</v>
      </c>
      <c r="J62" s="18" t="s">
        <v>161</v>
      </c>
      <c r="K62" s="44">
        <v>8.0</v>
      </c>
      <c r="L62" s="18" t="s">
        <v>162</v>
      </c>
      <c r="M62" s="18" t="str">
        <f t="shared" si="1"/>
        <v>Moderate</v>
      </c>
      <c r="N62" s="18" t="s">
        <v>254</v>
      </c>
      <c r="O62" s="18">
        <f>'Priority Scoring'!B62</f>
        <v>4</v>
      </c>
      <c r="P62" s="45">
        <f>'Priority Scoring'!I62</f>
        <v>80</v>
      </c>
      <c r="Q62" s="18" t="str">
        <f>'Priority Scoring'!J62</f>
        <v>High</v>
      </c>
      <c r="R62" s="18" t="s">
        <v>255</v>
      </c>
      <c r="S62" s="18" t="s">
        <v>165</v>
      </c>
      <c r="T62" s="18" t="s">
        <v>266</v>
      </c>
    </row>
    <row r="63" ht="15.75" customHeight="1">
      <c r="A63" s="20" t="s">
        <v>267</v>
      </c>
      <c r="B63" s="20" t="s">
        <v>118</v>
      </c>
      <c r="C63" s="20" t="s">
        <v>268</v>
      </c>
      <c r="D63" s="20" t="s">
        <v>269</v>
      </c>
      <c r="E63" s="20" t="s">
        <v>118</v>
      </c>
      <c r="F63" s="20" t="s">
        <v>110</v>
      </c>
      <c r="G63" s="20" t="s">
        <v>160</v>
      </c>
      <c r="H63" s="46">
        <v>1900.0</v>
      </c>
      <c r="I63" s="47">
        <v>56.0</v>
      </c>
      <c r="J63" s="20" t="s">
        <v>161</v>
      </c>
      <c r="K63" s="48">
        <v>14.2</v>
      </c>
      <c r="L63" s="20" t="s">
        <v>162</v>
      </c>
      <c r="M63" s="20" t="str">
        <f t="shared" si="1"/>
        <v>Competitive</v>
      </c>
      <c r="N63" s="20" t="s">
        <v>270</v>
      </c>
      <c r="O63" s="20">
        <f>'Priority Scoring'!B63</f>
        <v>4</v>
      </c>
      <c r="P63" s="49">
        <f>'Priority Scoring'!I63</f>
        <v>81</v>
      </c>
      <c r="Q63" s="20" t="str">
        <f>'Priority Scoring'!J63</f>
        <v>High</v>
      </c>
      <c r="R63" s="20" t="s">
        <v>271</v>
      </c>
      <c r="S63" s="20" t="s">
        <v>198</v>
      </c>
      <c r="T63" s="20" t="s">
        <v>272</v>
      </c>
    </row>
    <row r="64" ht="15.75" customHeight="1">
      <c r="A64" s="18" t="s">
        <v>273</v>
      </c>
      <c r="B64" s="18" t="s">
        <v>118</v>
      </c>
      <c r="C64" s="18" t="s">
        <v>268</v>
      </c>
      <c r="D64" s="18" t="s">
        <v>269</v>
      </c>
      <c r="E64" s="18" t="s">
        <v>118</v>
      </c>
      <c r="F64" s="18" t="s">
        <v>110</v>
      </c>
      <c r="G64" s="18" t="s">
        <v>167</v>
      </c>
      <c r="H64" s="42">
        <v>2400.0</v>
      </c>
      <c r="I64" s="43">
        <v>70.0</v>
      </c>
      <c r="J64" s="18" t="s">
        <v>161</v>
      </c>
      <c r="K64" s="44">
        <v>12.8</v>
      </c>
      <c r="L64" s="18" t="s">
        <v>162</v>
      </c>
      <c r="M64" s="18" t="str">
        <f t="shared" si="1"/>
        <v>Competitive</v>
      </c>
      <c r="N64" s="18" t="s">
        <v>270</v>
      </c>
      <c r="O64" s="18">
        <f>'Priority Scoring'!B64</f>
        <v>4</v>
      </c>
      <c r="P64" s="45">
        <f>'Priority Scoring'!I64</f>
        <v>77</v>
      </c>
      <c r="Q64" s="18" t="str">
        <f>'Priority Scoring'!J64</f>
        <v>High</v>
      </c>
      <c r="R64" s="18" t="s">
        <v>271</v>
      </c>
      <c r="S64" s="18" t="s">
        <v>198</v>
      </c>
      <c r="T64" s="18" t="s">
        <v>239</v>
      </c>
    </row>
    <row r="65" ht="15.75" customHeight="1">
      <c r="A65" s="20" t="s">
        <v>274</v>
      </c>
      <c r="B65" s="20" t="s">
        <v>118</v>
      </c>
      <c r="C65" s="20" t="s">
        <v>268</v>
      </c>
      <c r="D65" s="20" t="s">
        <v>269</v>
      </c>
      <c r="E65" s="20" t="s">
        <v>118</v>
      </c>
      <c r="F65" s="20" t="s">
        <v>110</v>
      </c>
      <c r="G65" s="20" t="s">
        <v>167</v>
      </c>
      <c r="H65" s="46">
        <v>590.0</v>
      </c>
      <c r="I65" s="47">
        <v>52.0</v>
      </c>
      <c r="J65" s="20" t="s">
        <v>161</v>
      </c>
      <c r="K65" s="48">
        <v>15.4</v>
      </c>
      <c r="L65" s="20" t="s">
        <v>162</v>
      </c>
      <c r="M65" s="20" t="str">
        <f t="shared" si="1"/>
        <v>Competitive</v>
      </c>
      <c r="N65" s="20" t="s">
        <v>270</v>
      </c>
      <c r="O65" s="20">
        <f>'Priority Scoring'!B65</f>
        <v>4</v>
      </c>
      <c r="P65" s="49">
        <f>'Priority Scoring'!I65</f>
        <v>78</v>
      </c>
      <c r="Q65" s="20" t="str">
        <f>'Priority Scoring'!J65</f>
        <v>High</v>
      </c>
      <c r="R65" s="20" t="s">
        <v>271</v>
      </c>
      <c r="S65" s="20" t="s">
        <v>198</v>
      </c>
      <c r="T65" s="20" t="s">
        <v>168</v>
      </c>
    </row>
    <row r="66" ht="15.75" customHeight="1">
      <c r="A66" s="18" t="s">
        <v>275</v>
      </c>
      <c r="B66" s="18" t="s">
        <v>118</v>
      </c>
      <c r="C66" s="18" t="s">
        <v>268</v>
      </c>
      <c r="D66" s="18" t="s">
        <v>269</v>
      </c>
      <c r="E66" s="18" t="s">
        <v>118</v>
      </c>
      <c r="F66" s="18" t="s">
        <v>110</v>
      </c>
      <c r="G66" s="18" t="s">
        <v>167</v>
      </c>
      <c r="H66" s="42">
        <v>320.0</v>
      </c>
      <c r="I66" s="43">
        <v>46.0</v>
      </c>
      <c r="J66" s="18" t="s">
        <v>161</v>
      </c>
      <c r="K66" s="44">
        <v>12.1</v>
      </c>
      <c r="L66" s="18" t="s">
        <v>162</v>
      </c>
      <c r="M66" s="18" t="str">
        <f t="shared" si="1"/>
        <v>Competitive</v>
      </c>
      <c r="N66" s="18" t="s">
        <v>270</v>
      </c>
      <c r="O66" s="18">
        <f>'Priority Scoring'!B66</f>
        <v>4</v>
      </c>
      <c r="P66" s="45">
        <f>'Priority Scoring'!I66</f>
        <v>79</v>
      </c>
      <c r="Q66" s="18" t="str">
        <f>'Priority Scoring'!J66</f>
        <v>High</v>
      </c>
      <c r="R66" s="18" t="s">
        <v>271</v>
      </c>
      <c r="S66" s="18" t="s">
        <v>198</v>
      </c>
      <c r="T66" s="18" t="s">
        <v>168</v>
      </c>
    </row>
    <row r="67" ht="15.75" customHeight="1">
      <c r="A67" s="20" t="s">
        <v>276</v>
      </c>
      <c r="B67" s="20" t="s">
        <v>118</v>
      </c>
      <c r="C67" s="20" t="s">
        <v>268</v>
      </c>
      <c r="D67" s="20" t="s">
        <v>269</v>
      </c>
      <c r="E67" s="20" t="s">
        <v>118</v>
      </c>
      <c r="F67" s="20" t="s">
        <v>110</v>
      </c>
      <c r="G67" s="20" t="s">
        <v>167</v>
      </c>
      <c r="H67" s="46">
        <v>260.0</v>
      </c>
      <c r="I67" s="47">
        <v>36.0</v>
      </c>
      <c r="J67" s="20" t="s">
        <v>161</v>
      </c>
      <c r="K67" s="48">
        <v>9.0</v>
      </c>
      <c r="L67" s="20" t="s">
        <v>162</v>
      </c>
      <c r="M67" s="20" t="str">
        <f t="shared" si="1"/>
        <v>Moderate</v>
      </c>
      <c r="N67" s="20" t="s">
        <v>270</v>
      </c>
      <c r="O67" s="20">
        <f>'Priority Scoring'!B67</f>
        <v>4</v>
      </c>
      <c r="P67" s="49">
        <f>'Priority Scoring'!I67</f>
        <v>79</v>
      </c>
      <c r="Q67" s="20" t="str">
        <f>'Priority Scoring'!J67</f>
        <v>High</v>
      </c>
      <c r="R67" s="20" t="s">
        <v>271</v>
      </c>
      <c r="S67" s="20" t="s">
        <v>198</v>
      </c>
      <c r="T67" s="20" t="s">
        <v>168</v>
      </c>
    </row>
    <row r="68" ht="15.75" customHeight="1">
      <c r="A68" s="18" t="s">
        <v>277</v>
      </c>
      <c r="B68" s="18" t="s">
        <v>248</v>
      </c>
      <c r="C68" s="18" t="s">
        <v>268</v>
      </c>
      <c r="D68" s="18" t="s">
        <v>269</v>
      </c>
      <c r="E68" s="18" t="s">
        <v>118</v>
      </c>
      <c r="F68" s="18" t="s">
        <v>110</v>
      </c>
      <c r="G68" s="18" t="s">
        <v>167</v>
      </c>
      <c r="H68" s="42">
        <v>210.0</v>
      </c>
      <c r="I68" s="43">
        <v>34.0</v>
      </c>
      <c r="J68" s="18" t="s">
        <v>161</v>
      </c>
      <c r="K68" s="44">
        <v>11.2</v>
      </c>
      <c r="L68" s="18" t="s">
        <v>162</v>
      </c>
      <c r="M68" s="18" t="str">
        <f t="shared" si="1"/>
        <v>Moderate</v>
      </c>
      <c r="N68" s="18" t="s">
        <v>270</v>
      </c>
      <c r="O68" s="18">
        <f>'Priority Scoring'!B68</f>
        <v>4</v>
      </c>
      <c r="P68" s="45">
        <f>'Priority Scoring'!I68</f>
        <v>83</v>
      </c>
      <c r="Q68" s="18" t="str">
        <f>'Priority Scoring'!J68</f>
        <v>High</v>
      </c>
      <c r="R68" s="18" t="s">
        <v>271</v>
      </c>
      <c r="S68" s="18" t="s">
        <v>198</v>
      </c>
      <c r="T68" s="18" t="s">
        <v>168</v>
      </c>
    </row>
    <row r="69" ht="15.75" customHeight="1">
      <c r="A69" s="20" t="s">
        <v>278</v>
      </c>
      <c r="B69" s="20" t="s">
        <v>248</v>
      </c>
      <c r="C69" s="20" t="s">
        <v>268</v>
      </c>
      <c r="D69" s="20" t="s">
        <v>269</v>
      </c>
      <c r="E69" s="20" t="s">
        <v>118</v>
      </c>
      <c r="F69" s="20" t="s">
        <v>110</v>
      </c>
      <c r="G69" s="20" t="s">
        <v>167</v>
      </c>
      <c r="H69" s="46">
        <v>260.0</v>
      </c>
      <c r="I69" s="47">
        <v>36.0</v>
      </c>
      <c r="J69" s="20" t="s">
        <v>161</v>
      </c>
      <c r="K69" s="48">
        <v>10.3</v>
      </c>
      <c r="L69" s="20" t="s">
        <v>162</v>
      </c>
      <c r="M69" s="20" t="str">
        <f t="shared" si="1"/>
        <v>Moderate</v>
      </c>
      <c r="N69" s="20" t="s">
        <v>270</v>
      </c>
      <c r="O69" s="20">
        <f>'Priority Scoring'!B69</f>
        <v>4</v>
      </c>
      <c r="P69" s="49">
        <f>'Priority Scoring'!I69</f>
        <v>79</v>
      </c>
      <c r="Q69" s="20" t="str">
        <f>'Priority Scoring'!J69</f>
        <v>High</v>
      </c>
      <c r="R69" s="20" t="s">
        <v>271</v>
      </c>
      <c r="S69" s="20" t="s">
        <v>198</v>
      </c>
      <c r="T69" s="20" t="s">
        <v>168</v>
      </c>
    </row>
    <row r="70" ht="15.75" customHeight="1">
      <c r="A70" s="18" t="s">
        <v>279</v>
      </c>
      <c r="B70" s="18" t="s">
        <v>248</v>
      </c>
      <c r="C70" s="18" t="s">
        <v>268</v>
      </c>
      <c r="D70" s="18" t="s">
        <v>269</v>
      </c>
      <c r="E70" s="18" t="s">
        <v>118</v>
      </c>
      <c r="F70" s="18" t="s">
        <v>110</v>
      </c>
      <c r="G70" s="18" t="s">
        <v>167</v>
      </c>
      <c r="H70" s="42">
        <v>140.0</v>
      </c>
      <c r="I70" s="43">
        <v>30.0</v>
      </c>
      <c r="J70" s="18" t="s">
        <v>161</v>
      </c>
      <c r="K70" s="44">
        <v>9.4</v>
      </c>
      <c r="L70" s="18" t="s">
        <v>162</v>
      </c>
      <c r="M70" s="18" t="str">
        <f t="shared" si="1"/>
        <v>Moderate</v>
      </c>
      <c r="N70" s="18" t="s">
        <v>270</v>
      </c>
      <c r="O70" s="18">
        <f>'Priority Scoring'!B70</f>
        <v>4</v>
      </c>
      <c r="P70" s="45">
        <f>'Priority Scoring'!I70</f>
        <v>80</v>
      </c>
      <c r="Q70" s="18" t="str">
        <f>'Priority Scoring'!J70</f>
        <v>High</v>
      </c>
      <c r="R70" s="18" t="s">
        <v>271</v>
      </c>
      <c r="S70" s="18" t="s">
        <v>198</v>
      </c>
      <c r="T70" s="18" t="s">
        <v>168</v>
      </c>
    </row>
    <row r="71" ht="15.75" customHeight="1">
      <c r="A71" s="20" t="s">
        <v>280</v>
      </c>
      <c r="B71" s="20" t="s">
        <v>248</v>
      </c>
      <c r="C71" s="20" t="s">
        <v>268</v>
      </c>
      <c r="D71" s="20" t="s">
        <v>269</v>
      </c>
      <c r="E71" s="20" t="s">
        <v>112</v>
      </c>
      <c r="F71" s="20" t="s">
        <v>106</v>
      </c>
      <c r="G71" s="20" t="s">
        <v>167</v>
      </c>
      <c r="H71" s="46">
        <v>1900.0</v>
      </c>
      <c r="I71" s="47">
        <v>38.0</v>
      </c>
      <c r="J71" s="20" t="s">
        <v>161</v>
      </c>
      <c r="K71" s="48">
        <v>1.2</v>
      </c>
      <c r="L71" s="20" t="s">
        <v>162</v>
      </c>
      <c r="M71" s="20" t="str">
        <f t="shared" si="1"/>
        <v>Moderate</v>
      </c>
      <c r="N71" s="20" t="s">
        <v>270</v>
      </c>
      <c r="O71" s="20">
        <f>'Priority Scoring'!B71</f>
        <v>3</v>
      </c>
      <c r="P71" s="49">
        <f>'Priority Scoring'!I71</f>
        <v>59</v>
      </c>
      <c r="Q71" s="20" t="str">
        <f>'Priority Scoring'!J71</f>
        <v>Low</v>
      </c>
      <c r="R71" s="20" t="s">
        <v>271</v>
      </c>
      <c r="S71" s="20" t="s">
        <v>198</v>
      </c>
      <c r="T71" s="20" t="s">
        <v>281</v>
      </c>
    </row>
    <row r="72" ht="15.75" customHeight="1">
      <c r="A72" s="18" t="s">
        <v>282</v>
      </c>
      <c r="B72" s="18" t="s">
        <v>172</v>
      </c>
      <c r="C72" s="18" t="s">
        <v>283</v>
      </c>
      <c r="D72" s="18" t="s">
        <v>284</v>
      </c>
      <c r="E72" s="18" t="s">
        <v>118</v>
      </c>
      <c r="F72" s="18" t="s">
        <v>110</v>
      </c>
      <c r="G72" s="18" t="s">
        <v>160</v>
      </c>
      <c r="H72" s="42">
        <v>880.0</v>
      </c>
      <c r="I72" s="43">
        <v>46.0</v>
      </c>
      <c r="J72" s="18" t="s">
        <v>161</v>
      </c>
      <c r="K72" s="44">
        <v>7.8</v>
      </c>
      <c r="L72" s="18" t="s">
        <v>162</v>
      </c>
      <c r="M72" s="18" t="str">
        <f t="shared" si="1"/>
        <v>Competitive</v>
      </c>
      <c r="N72" s="18" t="s">
        <v>285</v>
      </c>
      <c r="O72" s="18">
        <f>'Priority Scoring'!B72</f>
        <v>4</v>
      </c>
      <c r="P72" s="45">
        <f>'Priority Scoring'!I72</f>
        <v>82</v>
      </c>
      <c r="Q72" s="18" t="str">
        <f>'Priority Scoring'!J72</f>
        <v>High</v>
      </c>
      <c r="R72" s="18" t="s">
        <v>286</v>
      </c>
      <c r="S72" s="18" t="s">
        <v>198</v>
      </c>
      <c r="T72" s="18" t="s">
        <v>168</v>
      </c>
    </row>
    <row r="73" ht="15.75" customHeight="1">
      <c r="A73" s="20" t="s">
        <v>287</v>
      </c>
      <c r="B73" s="20" t="s">
        <v>172</v>
      </c>
      <c r="C73" s="20" t="s">
        <v>283</v>
      </c>
      <c r="D73" s="20" t="s">
        <v>284</v>
      </c>
      <c r="E73" s="20" t="s">
        <v>118</v>
      </c>
      <c r="F73" s="20" t="s">
        <v>110</v>
      </c>
      <c r="G73" s="20" t="s">
        <v>167</v>
      </c>
      <c r="H73" s="46">
        <v>720.0</v>
      </c>
      <c r="I73" s="47">
        <v>46.0</v>
      </c>
      <c r="J73" s="20" t="s">
        <v>161</v>
      </c>
      <c r="K73" s="48">
        <v>7.6</v>
      </c>
      <c r="L73" s="20" t="s">
        <v>162</v>
      </c>
      <c r="M73" s="20" t="str">
        <f t="shared" si="1"/>
        <v>Competitive</v>
      </c>
      <c r="N73" s="20" t="s">
        <v>285</v>
      </c>
      <c r="O73" s="20">
        <f>'Priority Scoring'!B73</f>
        <v>4</v>
      </c>
      <c r="P73" s="49">
        <f>'Priority Scoring'!I73</f>
        <v>82</v>
      </c>
      <c r="Q73" s="20" t="str">
        <f>'Priority Scoring'!J73</f>
        <v>High</v>
      </c>
      <c r="R73" s="20" t="s">
        <v>286</v>
      </c>
      <c r="S73" s="20" t="s">
        <v>198</v>
      </c>
      <c r="T73" s="20" t="s">
        <v>168</v>
      </c>
    </row>
    <row r="74" ht="15.75" customHeight="1">
      <c r="A74" s="18" t="s">
        <v>288</v>
      </c>
      <c r="B74" s="18" t="s">
        <v>172</v>
      </c>
      <c r="C74" s="18" t="s">
        <v>283</v>
      </c>
      <c r="D74" s="18" t="s">
        <v>284</v>
      </c>
      <c r="E74" s="18" t="s">
        <v>118</v>
      </c>
      <c r="F74" s="18" t="s">
        <v>110</v>
      </c>
      <c r="G74" s="18" t="s">
        <v>167</v>
      </c>
      <c r="H74" s="42">
        <v>3600.0</v>
      </c>
      <c r="I74" s="43">
        <v>68.0</v>
      </c>
      <c r="J74" s="18" t="s">
        <v>161</v>
      </c>
      <c r="K74" s="44">
        <v>6.2</v>
      </c>
      <c r="L74" s="18" t="s">
        <v>162</v>
      </c>
      <c r="M74" s="18" t="str">
        <f t="shared" si="1"/>
        <v>Competitive</v>
      </c>
      <c r="N74" s="18" t="s">
        <v>285</v>
      </c>
      <c r="O74" s="18">
        <f>'Priority Scoring'!B74</f>
        <v>4</v>
      </c>
      <c r="P74" s="45">
        <f>'Priority Scoring'!I74</f>
        <v>77</v>
      </c>
      <c r="Q74" s="18" t="str">
        <f>'Priority Scoring'!J74</f>
        <v>High</v>
      </c>
      <c r="R74" s="18" t="s">
        <v>286</v>
      </c>
      <c r="S74" s="18" t="s">
        <v>198</v>
      </c>
      <c r="T74" s="18" t="s">
        <v>239</v>
      </c>
    </row>
    <row r="75" ht="15.75" customHeight="1">
      <c r="A75" s="20" t="s">
        <v>289</v>
      </c>
      <c r="B75" s="20" t="s">
        <v>172</v>
      </c>
      <c r="C75" s="20" t="s">
        <v>283</v>
      </c>
      <c r="D75" s="20" t="s">
        <v>284</v>
      </c>
      <c r="E75" s="20" t="s">
        <v>118</v>
      </c>
      <c r="F75" s="20" t="s">
        <v>110</v>
      </c>
      <c r="G75" s="20" t="s">
        <v>167</v>
      </c>
      <c r="H75" s="46">
        <v>210.0</v>
      </c>
      <c r="I75" s="47">
        <v>34.0</v>
      </c>
      <c r="J75" s="20" t="s">
        <v>161</v>
      </c>
      <c r="K75" s="48">
        <v>8.2</v>
      </c>
      <c r="L75" s="20" t="s">
        <v>162</v>
      </c>
      <c r="M75" s="20" t="str">
        <f t="shared" si="1"/>
        <v>Moderate</v>
      </c>
      <c r="N75" s="20" t="s">
        <v>285</v>
      </c>
      <c r="O75" s="20">
        <f>'Priority Scoring'!B75</f>
        <v>4</v>
      </c>
      <c r="P75" s="49">
        <f>'Priority Scoring'!I75</f>
        <v>83</v>
      </c>
      <c r="Q75" s="20" t="str">
        <f>'Priority Scoring'!J75</f>
        <v>High</v>
      </c>
      <c r="R75" s="20" t="s">
        <v>286</v>
      </c>
      <c r="S75" s="20" t="s">
        <v>198</v>
      </c>
      <c r="T75" s="20" t="s">
        <v>168</v>
      </c>
    </row>
    <row r="76" ht="15.75" customHeight="1">
      <c r="A76" s="18" t="s">
        <v>290</v>
      </c>
      <c r="B76" s="18" t="s">
        <v>172</v>
      </c>
      <c r="C76" s="18" t="s">
        <v>283</v>
      </c>
      <c r="D76" s="18" t="s">
        <v>284</v>
      </c>
      <c r="E76" s="18" t="s">
        <v>118</v>
      </c>
      <c r="F76" s="18" t="s">
        <v>110</v>
      </c>
      <c r="G76" s="18" t="s">
        <v>167</v>
      </c>
      <c r="H76" s="42">
        <v>390.0</v>
      </c>
      <c r="I76" s="43">
        <v>40.0</v>
      </c>
      <c r="J76" s="18" t="s">
        <v>161</v>
      </c>
      <c r="K76" s="44">
        <v>7.4</v>
      </c>
      <c r="L76" s="18" t="s">
        <v>162</v>
      </c>
      <c r="M76" s="18" t="str">
        <f t="shared" si="1"/>
        <v>Moderate</v>
      </c>
      <c r="N76" s="18" t="s">
        <v>285</v>
      </c>
      <c r="O76" s="18">
        <f>'Priority Scoring'!B76</f>
        <v>4</v>
      </c>
      <c r="P76" s="45">
        <f>'Priority Scoring'!I76</f>
        <v>79</v>
      </c>
      <c r="Q76" s="18" t="str">
        <f>'Priority Scoring'!J76</f>
        <v>High</v>
      </c>
      <c r="R76" s="18" t="s">
        <v>286</v>
      </c>
      <c r="S76" s="18" t="s">
        <v>198</v>
      </c>
      <c r="T76" s="18" t="s">
        <v>168</v>
      </c>
    </row>
    <row r="77" ht="15.75" customHeight="1">
      <c r="A77" s="20" t="s">
        <v>291</v>
      </c>
      <c r="B77" s="20" t="s">
        <v>172</v>
      </c>
      <c r="C77" s="20" t="s">
        <v>283</v>
      </c>
      <c r="D77" s="20" t="s">
        <v>284</v>
      </c>
      <c r="E77" s="20" t="s">
        <v>118</v>
      </c>
      <c r="F77" s="20" t="s">
        <v>110</v>
      </c>
      <c r="G77" s="20" t="s">
        <v>167</v>
      </c>
      <c r="H77" s="46">
        <v>140.0</v>
      </c>
      <c r="I77" s="47">
        <v>36.0</v>
      </c>
      <c r="J77" s="20" t="s">
        <v>161</v>
      </c>
      <c r="K77" s="48">
        <v>7.6</v>
      </c>
      <c r="L77" s="20" t="s">
        <v>162</v>
      </c>
      <c r="M77" s="20" t="str">
        <f t="shared" si="1"/>
        <v>Moderate</v>
      </c>
      <c r="N77" s="20" t="s">
        <v>285</v>
      </c>
      <c r="O77" s="20">
        <f>'Priority Scoring'!B77</f>
        <v>4</v>
      </c>
      <c r="P77" s="49">
        <f>'Priority Scoring'!I77</f>
        <v>76</v>
      </c>
      <c r="Q77" s="20" t="str">
        <f>'Priority Scoring'!J77</f>
        <v>High</v>
      </c>
      <c r="R77" s="20" t="s">
        <v>286</v>
      </c>
      <c r="S77" s="20" t="s">
        <v>198</v>
      </c>
      <c r="T77" s="20" t="s">
        <v>168</v>
      </c>
    </row>
    <row r="78" ht="15.75" customHeight="1">
      <c r="A78" s="18" t="s">
        <v>292</v>
      </c>
      <c r="B78" s="18" t="s">
        <v>112</v>
      </c>
      <c r="C78" s="18" t="s">
        <v>283</v>
      </c>
      <c r="D78" s="18" t="s">
        <v>284</v>
      </c>
      <c r="E78" s="18" t="s">
        <v>112</v>
      </c>
      <c r="F78" s="18" t="s">
        <v>106</v>
      </c>
      <c r="G78" s="18" t="s">
        <v>167</v>
      </c>
      <c r="H78" s="42">
        <v>3600.0</v>
      </c>
      <c r="I78" s="43">
        <v>30.0</v>
      </c>
      <c r="J78" s="18" t="s">
        <v>161</v>
      </c>
      <c r="K78" s="44">
        <v>1.4</v>
      </c>
      <c r="L78" s="18" t="s">
        <v>162</v>
      </c>
      <c r="M78" s="18" t="str">
        <f t="shared" si="1"/>
        <v>Moderate</v>
      </c>
      <c r="N78" s="18" t="s">
        <v>285</v>
      </c>
      <c r="O78" s="18">
        <f>'Priority Scoring'!B78</f>
        <v>3</v>
      </c>
      <c r="P78" s="45">
        <f>'Priority Scoring'!I78</f>
        <v>63</v>
      </c>
      <c r="Q78" s="18" t="str">
        <f>'Priority Scoring'!J78</f>
        <v>Medium</v>
      </c>
      <c r="R78" s="18" t="s">
        <v>286</v>
      </c>
      <c r="S78" s="18" t="s">
        <v>198</v>
      </c>
      <c r="T78" s="18" t="s">
        <v>239</v>
      </c>
    </row>
    <row r="79" ht="15.75" customHeight="1">
      <c r="A79" s="20" t="s">
        <v>293</v>
      </c>
      <c r="B79" s="20" t="s">
        <v>112</v>
      </c>
      <c r="C79" s="20" t="s">
        <v>283</v>
      </c>
      <c r="D79" s="20" t="s">
        <v>284</v>
      </c>
      <c r="E79" s="20" t="s">
        <v>112</v>
      </c>
      <c r="F79" s="20" t="s">
        <v>106</v>
      </c>
      <c r="G79" s="20" t="s">
        <v>167</v>
      </c>
      <c r="H79" s="46">
        <v>1300.0</v>
      </c>
      <c r="I79" s="47">
        <v>24.0</v>
      </c>
      <c r="J79" s="20" t="s">
        <v>161</v>
      </c>
      <c r="K79" s="48">
        <v>1.2</v>
      </c>
      <c r="L79" s="20" t="s">
        <v>162</v>
      </c>
      <c r="M79" s="20" t="str">
        <f t="shared" si="1"/>
        <v>Moderate</v>
      </c>
      <c r="N79" s="20" t="s">
        <v>285</v>
      </c>
      <c r="O79" s="20">
        <f>'Priority Scoring'!B79</f>
        <v>3</v>
      </c>
      <c r="P79" s="49">
        <f>'Priority Scoring'!I79</f>
        <v>63</v>
      </c>
      <c r="Q79" s="20" t="str">
        <f>'Priority Scoring'!J79</f>
        <v>Medium</v>
      </c>
      <c r="R79" s="20" t="s">
        <v>286</v>
      </c>
      <c r="S79" s="20" t="s">
        <v>198</v>
      </c>
      <c r="T79" s="20" t="s">
        <v>239</v>
      </c>
    </row>
    <row r="80" ht="15.75" customHeight="1">
      <c r="A80" s="18" t="s">
        <v>294</v>
      </c>
      <c r="B80" s="18" t="s">
        <v>172</v>
      </c>
      <c r="C80" s="18" t="s">
        <v>295</v>
      </c>
      <c r="D80" s="18" t="s">
        <v>296</v>
      </c>
      <c r="E80" s="18" t="s">
        <v>118</v>
      </c>
      <c r="F80" s="18" t="s">
        <v>110</v>
      </c>
      <c r="G80" s="18" t="s">
        <v>160</v>
      </c>
      <c r="H80" s="42">
        <v>110.0</v>
      </c>
      <c r="I80" s="43">
        <v>18.0</v>
      </c>
      <c r="J80" s="18" t="s">
        <v>161</v>
      </c>
      <c r="K80" s="44">
        <v>5.4</v>
      </c>
      <c r="L80" s="18" t="s">
        <v>162</v>
      </c>
      <c r="M80" s="18" t="str">
        <f t="shared" si="1"/>
        <v>Easy</v>
      </c>
      <c r="N80" s="18" t="s">
        <v>297</v>
      </c>
      <c r="O80" s="18">
        <f>'Priority Scoring'!B80</f>
        <v>3</v>
      </c>
      <c r="P80" s="45">
        <f>'Priority Scoring'!I80</f>
        <v>79</v>
      </c>
      <c r="Q80" s="18" t="str">
        <f>'Priority Scoring'!J80</f>
        <v>High</v>
      </c>
      <c r="R80" s="18" t="s">
        <v>298</v>
      </c>
      <c r="S80" s="18" t="s">
        <v>165</v>
      </c>
      <c r="T80" s="18" t="s">
        <v>168</v>
      </c>
    </row>
    <row r="81" ht="15.75" customHeight="1">
      <c r="A81" s="20" t="s">
        <v>299</v>
      </c>
      <c r="B81" s="20" t="s">
        <v>172</v>
      </c>
      <c r="C81" s="20" t="s">
        <v>295</v>
      </c>
      <c r="D81" s="20" t="s">
        <v>296</v>
      </c>
      <c r="E81" s="20" t="s">
        <v>118</v>
      </c>
      <c r="F81" s="20" t="s">
        <v>110</v>
      </c>
      <c r="G81" s="20" t="s">
        <v>160</v>
      </c>
      <c r="H81" s="46">
        <v>590.0</v>
      </c>
      <c r="I81" s="47">
        <v>28.0</v>
      </c>
      <c r="J81" s="20" t="s">
        <v>161</v>
      </c>
      <c r="K81" s="48">
        <v>4.6</v>
      </c>
      <c r="L81" s="20" t="s">
        <v>162</v>
      </c>
      <c r="M81" s="20" t="str">
        <f t="shared" si="1"/>
        <v>Moderate</v>
      </c>
      <c r="N81" s="20" t="s">
        <v>297</v>
      </c>
      <c r="O81" s="20">
        <f>'Priority Scoring'!B81</f>
        <v>3</v>
      </c>
      <c r="P81" s="49">
        <f>'Priority Scoring'!I81</f>
        <v>81</v>
      </c>
      <c r="Q81" s="20" t="str">
        <f>'Priority Scoring'!J81</f>
        <v>High</v>
      </c>
      <c r="R81" s="20" t="s">
        <v>298</v>
      </c>
      <c r="S81" s="20" t="s">
        <v>165</v>
      </c>
      <c r="T81" s="20" t="s">
        <v>300</v>
      </c>
    </row>
    <row r="82" ht="15.75" customHeight="1">
      <c r="A82" s="18" t="s">
        <v>301</v>
      </c>
      <c r="B82" s="18" t="s">
        <v>172</v>
      </c>
      <c r="C82" s="18" t="s">
        <v>295</v>
      </c>
      <c r="D82" s="18" t="s">
        <v>296</v>
      </c>
      <c r="E82" s="18" t="s">
        <v>118</v>
      </c>
      <c r="F82" s="18" t="s">
        <v>110</v>
      </c>
      <c r="G82" s="18" t="s">
        <v>167</v>
      </c>
      <c r="H82" s="42">
        <v>70.0</v>
      </c>
      <c r="I82" s="43">
        <v>16.0</v>
      </c>
      <c r="J82" s="18" t="s">
        <v>161</v>
      </c>
      <c r="K82" s="44">
        <v>5.0</v>
      </c>
      <c r="L82" s="18" t="s">
        <v>162</v>
      </c>
      <c r="M82" s="18" t="str">
        <f t="shared" si="1"/>
        <v>Easy</v>
      </c>
      <c r="N82" s="18" t="s">
        <v>297</v>
      </c>
      <c r="O82" s="18">
        <f>'Priority Scoring'!B82</f>
        <v>3</v>
      </c>
      <c r="P82" s="45">
        <f>'Priority Scoring'!I82</f>
        <v>76</v>
      </c>
      <c r="Q82" s="18" t="str">
        <f>'Priority Scoring'!J82</f>
        <v>High</v>
      </c>
      <c r="R82" s="18" t="s">
        <v>298</v>
      </c>
      <c r="S82" s="18" t="s">
        <v>165</v>
      </c>
      <c r="T82" s="18" t="s">
        <v>168</v>
      </c>
    </row>
    <row r="83" ht="15.75" customHeight="1">
      <c r="A83" s="20" t="s">
        <v>302</v>
      </c>
      <c r="B83" s="20" t="s">
        <v>172</v>
      </c>
      <c r="C83" s="20" t="s">
        <v>295</v>
      </c>
      <c r="D83" s="20" t="s">
        <v>296</v>
      </c>
      <c r="E83" s="20" t="s">
        <v>118</v>
      </c>
      <c r="F83" s="20" t="s">
        <v>110</v>
      </c>
      <c r="G83" s="20" t="s">
        <v>167</v>
      </c>
      <c r="H83" s="46">
        <v>60.0</v>
      </c>
      <c r="I83" s="47">
        <v>16.0</v>
      </c>
      <c r="J83" s="20" t="s">
        <v>161</v>
      </c>
      <c r="K83" s="48">
        <v>5.1</v>
      </c>
      <c r="L83" s="20" t="s">
        <v>162</v>
      </c>
      <c r="M83" s="20" t="str">
        <f t="shared" si="1"/>
        <v>Easy</v>
      </c>
      <c r="N83" s="20" t="s">
        <v>297</v>
      </c>
      <c r="O83" s="20">
        <f>'Priority Scoring'!B83</f>
        <v>3</v>
      </c>
      <c r="P83" s="49">
        <f>'Priority Scoring'!I83</f>
        <v>76</v>
      </c>
      <c r="Q83" s="20" t="str">
        <f>'Priority Scoring'!J83</f>
        <v>High</v>
      </c>
      <c r="R83" s="20" t="s">
        <v>298</v>
      </c>
      <c r="S83" s="20" t="s">
        <v>165</v>
      </c>
      <c r="T83" s="20" t="s">
        <v>168</v>
      </c>
    </row>
    <row r="84" ht="15.75" customHeight="1">
      <c r="A84" s="18" t="s">
        <v>303</v>
      </c>
      <c r="B84" s="18" t="s">
        <v>172</v>
      </c>
      <c r="C84" s="18" t="s">
        <v>295</v>
      </c>
      <c r="D84" s="18" t="s">
        <v>296</v>
      </c>
      <c r="E84" s="18" t="s">
        <v>118</v>
      </c>
      <c r="F84" s="18" t="s">
        <v>110</v>
      </c>
      <c r="G84" s="18" t="s">
        <v>167</v>
      </c>
      <c r="H84" s="42">
        <v>70.0</v>
      </c>
      <c r="I84" s="43">
        <v>20.0</v>
      </c>
      <c r="J84" s="18" t="s">
        <v>161</v>
      </c>
      <c r="K84" s="44">
        <v>5.2</v>
      </c>
      <c r="L84" s="18" t="s">
        <v>162</v>
      </c>
      <c r="M84" s="18" t="str">
        <f t="shared" si="1"/>
        <v>Easy</v>
      </c>
      <c r="N84" s="18" t="s">
        <v>297</v>
      </c>
      <c r="O84" s="18">
        <f>'Priority Scoring'!B84</f>
        <v>3</v>
      </c>
      <c r="P84" s="45">
        <f>'Priority Scoring'!I84</f>
        <v>76</v>
      </c>
      <c r="Q84" s="18" t="str">
        <f>'Priority Scoring'!J84</f>
        <v>High</v>
      </c>
      <c r="R84" s="18" t="s">
        <v>298</v>
      </c>
      <c r="S84" s="18" t="s">
        <v>165</v>
      </c>
      <c r="T84" s="18" t="s">
        <v>168</v>
      </c>
    </row>
    <row r="85" ht="15.75" customHeight="1">
      <c r="A85" s="20" t="s">
        <v>304</v>
      </c>
      <c r="B85" s="20" t="s">
        <v>116</v>
      </c>
      <c r="C85" s="20" t="s">
        <v>295</v>
      </c>
      <c r="D85" s="20" t="s">
        <v>296</v>
      </c>
      <c r="E85" s="20" t="s">
        <v>116</v>
      </c>
      <c r="F85" s="20" t="s">
        <v>108</v>
      </c>
      <c r="G85" s="20" t="s">
        <v>167</v>
      </c>
      <c r="H85" s="46">
        <v>1300.0</v>
      </c>
      <c r="I85" s="47">
        <v>28.0</v>
      </c>
      <c r="J85" s="20" t="s">
        <v>161</v>
      </c>
      <c r="K85" s="48">
        <v>3.4</v>
      </c>
      <c r="L85" s="20" t="s">
        <v>162</v>
      </c>
      <c r="M85" s="20" t="str">
        <f t="shared" si="1"/>
        <v>Moderate</v>
      </c>
      <c r="N85" s="20" t="s">
        <v>297</v>
      </c>
      <c r="O85" s="20">
        <f>'Priority Scoring'!B85</f>
        <v>3</v>
      </c>
      <c r="P85" s="49">
        <f>'Priority Scoring'!I85</f>
        <v>75</v>
      </c>
      <c r="Q85" s="20" t="str">
        <f>'Priority Scoring'!J85</f>
        <v>High</v>
      </c>
      <c r="R85" s="20" t="s">
        <v>298</v>
      </c>
      <c r="S85" s="20" t="s">
        <v>165</v>
      </c>
      <c r="T85" s="20" t="s">
        <v>239</v>
      </c>
    </row>
    <row r="86" ht="15.75" customHeight="1">
      <c r="A86" s="18" t="s">
        <v>305</v>
      </c>
      <c r="B86" s="18" t="s">
        <v>13</v>
      </c>
      <c r="C86" s="18" t="s">
        <v>295</v>
      </c>
      <c r="D86" s="18" t="s">
        <v>296</v>
      </c>
      <c r="E86" s="18" t="s">
        <v>118</v>
      </c>
      <c r="F86" s="18" t="s">
        <v>110</v>
      </c>
      <c r="G86" s="18" t="s">
        <v>167</v>
      </c>
      <c r="H86" s="42">
        <v>480.0</v>
      </c>
      <c r="I86" s="43">
        <v>46.0</v>
      </c>
      <c r="J86" s="18" t="s">
        <v>161</v>
      </c>
      <c r="K86" s="44">
        <v>8.0</v>
      </c>
      <c r="L86" s="18" t="s">
        <v>162</v>
      </c>
      <c r="M86" s="18" t="str">
        <f t="shared" si="1"/>
        <v>Competitive</v>
      </c>
      <c r="N86" s="18" t="s">
        <v>297</v>
      </c>
      <c r="O86" s="18">
        <f>'Priority Scoring'!B86</f>
        <v>3</v>
      </c>
      <c r="P86" s="45">
        <f>'Priority Scoring'!I86</f>
        <v>74</v>
      </c>
      <c r="Q86" s="18" t="str">
        <f>'Priority Scoring'!J86</f>
        <v>Medium</v>
      </c>
      <c r="R86" s="18" t="s">
        <v>298</v>
      </c>
      <c r="S86" s="18" t="s">
        <v>165</v>
      </c>
      <c r="T86" s="18" t="s">
        <v>306</v>
      </c>
    </row>
    <row r="87" ht="15.75" customHeight="1">
      <c r="A87" s="20" t="s">
        <v>307</v>
      </c>
      <c r="B87" s="20" t="s">
        <v>172</v>
      </c>
      <c r="C87" s="20" t="s">
        <v>295</v>
      </c>
      <c r="D87" s="20" t="s">
        <v>296</v>
      </c>
      <c r="E87" s="20" t="s">
        <v>118</v>
      </c>
      <c r="F87" s="20" t="s">
        <v>110</v>
      </c>
      <c r="G87" s="20" t="s">
        <v>167</v>
      </c>
      <c r="H87" s="46">
        <v>90.0</v>
      </c>
      <c r="I87" s="47">
        <v>20.0</v>
      </c>
      <c r="J87" s="20" t="s">
        <v>161</v>
      </c>
      <c r="K87" s="48">
        <v>4.4</v>
      </c>
      <c r="L87" s="20" t="s">
        <v>162</v>
      </c>
      <c r="M87" s="20" t="str">
        <f t="shared" si="1"/>
        <v>Easy</v>
      </c>
      <c r="N87" s="20" t="s">
        <v>297</v>
      </c>
      <c r="O87" s="20">
        <f>'Priority Scoring'!B87</f>
        <v>3</v>
      </c>
      <c r="P87" s="49">
        <f>'Priority Scoring'!I87</f>
        <v>79</v>
      </c>
      <c r="Q87" s="20" t="str">
        <f>'Priority Scoring'!J87</f>
        <v>High</v>
      </c>
      <c r="R87" s="20" t="s">
        <v>298</v>
      </c>
      <c r="S87" s="20" t="s">
        <v>165</v>
      </c>
      <c r="T87" s="20" t="s">
        <v>239</v>
      </c>
    </row>
    <row r="88" ht="15.75" customHeight="1">
      <c r="A88" s="18" t="s">
        <v>308</v>
      </c>
      <c r="B88" s="18" t="s">
        <v>112</v>
      </c>
      <c r="C88" s="18" t="s">
        <v>295</v>
      </c>
      <c r="D88" s="18" t="s">
        <v>309</v>
      </c>
      <c r="E88" s="18" t="s">
        <v>112</v>
      </c>
      <c r="F88" s="18" t="s">
        <v>106</v>
      </c>
      <c r="G88" s="18" t="s">
        <v>160</v>
      </c>
      <c r="H88" s="42">
        <v>3600.0</v>
      </c>
      <c r="I88" s="43">
        <v>26.0</v>
      </c>
      <c r="J88" s="18" t="s">
        <v>161</v>
      </c>
      <c r="K88" s="44">
        <v>1.3</v>
      </c>
      <c r="L88" s="18" t="s">
        <v>162</v>
      </c>
      <c r="M88" s="18" t="str">
        <f t="shared" si="1"/>
        <v>Moderate</v>
      </c>
      <c r="N88" s="18" t="s">
        <v>310</v>
      </c>
      <c r="O88" s="18">
        <f>'Priority Scoring'!B88</f>
        <v>2</v>
      </c>
      <c r="P88" s="45">
        <f>'Priority Scoring'!I88</f>
        <v>56</v>
      </c>
      <c r="Q88" s="18" t="str">
        <f>'Priority Scoring'!J88</f>
        <v>Low</v>
      </c>
      <c r="R88" s="18" t="s">
        <v>311</v>
      </c>
      <c r="S88" s="18" t="s">
        <v>198</v>
      </c>
      <c r="T88" s="18" t="s">
        <v>239</v>
      </c>
    </row>
    <row r="89" ht="15.75" customHeight="1">
      <c r="A89" s="20" t="s">
        <v>312</v>
      </c>
      <c r="B89" s="20" t="s">
        <v>112</v>
      </c>
      <c r="C89" s="20" t="s">
        <v>295</v>
      </c>
      <c r="D89" s="20" t="s">
        <v>309</v>
      </c>
      <c r="E89" s="20" t="s">
        <v>112</v>
      </c>
      <c r="F89" s="20" t="s">
        <v>106</v>
      </c>
      <c r="G89" s="20" t="s">
        <v>167</v>
      </c>
      <c r="H89" s="46">
        <v>1900.0</v>
      </c>
      <c r="I89" s="47">
        <v>22.0</v>
      </c>
      <c r="J89" s="20" t="s">
        <v>161</v>
      </c>
      <c r="K89" s="48">
        <v>1.2</v>
      </c>
      <c r="L89" s="20" t="s">
        <v>162</v>
      </c>
      <c r="M89" s="20" t="str">
        <f t="shared" si="1"/>
        <v>Moderate</v>
      </c>
      <c r="N89" s="20" t="s">
        <v>310</v>
      </c>
      <c r="O89" s="20">
        <f>'Priority Scoring'!B89</f>
        <v>2</v>
      </c>
      <c r="P89" s="49">
        <f>'Priority Scoring'!I89</f>
        <v>56</v>
      </c>
      <c r="Q89" s="20" t="str">
        <f>'Priority Scoring'!J89</f>
        <v>Low</v>
      </c>
      <c r="R89" s="20" t="s">
        <v>311</v>
      </c>
      <c r="S89" s="20" t="s">
        <v>198</v>
      </c>
      <c r="T89" s="20" t="s">
        <v>239</v>
      </c>
    </row>
    <row r="90" ht="15.75" customHeight="1">
      <c r="A90" s="18" t="s">
        <v>313</v>
      </c>
      <c r="B90" s="18" t="s">
        <v>112</v>
      </c>
      <c r="C90" s="18" t="s">
        <v>295</v>
      </c>
      <c r="D90" s="18" t="s">
        <v>309</v>
      </c>
      <c r="E90" s="18" t="s">
        <v>112</v>
      </c>
      <c r="F90" s="18" t="s">
        <v>106</v>
      </c>
      <c r="G90" s="18" t="s">
        <v>167</v>
      </c>
      <c r="H90" s="42">
        <v>1000.0</v>
      </c>
      <c r="I90" s="43">
        <v>24.0</v>
      </c>
      <c r="J90" s="18" t="s">
        <v>161</v>
      </c>
      <c r="K90" s="44">
        <v>1.6</v>
      </c>
      <c r="L90" s="18" t="s">
        <v>162</v>
      </c>
      <c r="M90" s="18" t="str">
        <f t="shared" si="1"/>
        <v>Moderate</v>
      </c>
      <c r="N90" s="18" t="s">
        <v>310</v>
      </c>
      <c r="O90" s="18">
        <f>'Priority Scoring'!B90</f>
        <v>2</v>
      </c>
      <c r="P90" s="45">
        <f>'Priority Scoring'!I90</f>
        <v>56</v>
      </c>
      <c r="Q90" s="18" t="str">
        <f>'Priority Scoring'!J90</f>
        <v>Low</v>
      </c>
      <c r="R90" s="18" t="s">
        <v>311</v>
      </c>
      <c r="S90" s="18" t="s">
        <v>198</v>
      </c>
      <c r="T90" s="18" t="s">
        <v>239</v>
      </c>
    </row>
    <row r="91" ht="15.75" customHeight="1">
      <c r="A91" s="20" t="s">
        <v>314</v>
      </c>
      <c r="B91" s="20" t="s">
        <v>116</v>
      </c>
      <c r="C91" s="20" t="s">
        <v>295</v>
      </c>
      <c r="D91" s="20" t="s">
        <v>309</v>
      </c>
      <c r="E91" s="20" t="s">
        <v>116</v>
      </c>
      <c r="F91" s="20" t="s">
        <v>108</v>
      </c>
      <c r="G91" s="20" t="s">
        <v>167</v>
      </c>
      <c r="H91" s="46">
        <v>880.0</v>
      </c>
      <c r="I91" s="47">
        <v>20.0</v>
      </c>
      <c r="J91" s="20" t="s">
        <v>161</v>
      </c>
      <c r="K91" s="48">
        <v>1.4</v>
      </c>
      <c r="L91" s="20" t="s">
        <v>162</v>
      </c>
      <c r="M91" s="20" t="str">
        <f t="shared" si="1"/>
        <v>Easy</v>
      </c>
      <c r="N91" s="20" t="s">
        <v>310</v>
      </c>
      <c r="O91" s="20">
        <f>'Priority Scoring'!B91</f>
        <v>2</v>
      </c>
      <c r="P91" s="49">
        <f>'Priority Scoring'!I91</f>
        <v>69</v>
      </c>
      <c r="Q91" s="20" t="str">
        <f>'Priority Scoring'!J91</f>
        <v>Medium</v>
      </c>
      <c r="R91" s="20" t="s">
        <v>311</v>
      </c>
      <c r="S91" s="20" t="s">
        <v>198</v>
      </c>
      <c r="T91" s="20" t="s">
        <v>239</v>
      </c>
    </row>
    <row r="92" ht="15.75" customHeight="1">
      <c r="A92" s="18" t="s">
        <v>315</v>
      </c>
      <c r="B92" s="18" t="s">
        <v>116</v>
      </c>
      <c r="C92" s="18" t="s">
        <v>295</v>
      </c>
      <c r="D92" s="18" t="s">
        <v>309</v>
      </c>
      <c r="E92" s="18" t="s">
        <v>116</v>
      </c>
      <c r="F92" s="18" t="s">
        <v>108</v>
      </c>
      <c r="G92" s="18" t="s">
        <v>167</v>
      </c>
      <c r="H92" s="42">
        <v>720.0</v>
      </c>
      <c r="I92" s="43">
        <v>22.0</v>
      </c>
      <c r="J92" s="18" t="s">
        <v>161</v>
      </c>
      <c r="K92" s="44">
        <v>1.3</v>
      </c>
      <c r="L92" s="18" t="s">
        <v>162</v>
      </c>
      <c r="M92" s="18" t="str">
        <f t="shared" si="1"/>
        <v>Moderate</v>
      </c>
      <c r="N92" s="18" t="s">
        <v>310</v>
      </c>
      <c r="O92" s="18">
        <f>'Priority Scoring'!B92</f>
        <v>2</v>
      </c>
      <c r="P92" s="45">
        <f>'Priority Scoring'!I92</f>
        <v>65</v>
      </c>
      <c r="Q92" s="18" t="str">
        <f>'Priority Scoring'!J92</f>
        <v>Medium</v>
      </c>
      <c r="R92" s="18" t="s">
        <v>311</v>
      </c>
      <c r="S92" s="18" t="s">
        <v>198</v>
      </c>
      <c r="T92" s="18" t="s">
        <v>239</v>
      </c>
    </row>
    <row r="93" ht="15.75" customHeight="1">
      <c r="A93" s="20" t="s">
        <v>316</v>
      </c>
      <c r="B93" s="20" t="s">
        <v>112</v>
      </c>
      <c r="C93" s="20" t="s">
        <v>295</v>
      </c>
      <c r="D93" s="20" t="s">
        <v>309</v>
      </c>
      <c r="E93" s="20" t="s">
        <v>112</v>
      </c>
      <c r="F93" s="20" t="s">
        <v>106</v>
      </c>
      <c r="G93" s="20" t="s">
        <v>167</v>
      </c>
      <c r="H93" s="46">
        <v>480.0</v>
      </c>
      <c r="I93" s="47">
        <v>14.0</v>
      </c>
      <c r="J93" s="20" t="s">
        <v>161</v>
      </c>
      <c r="K93" s="48">
        <v>1.0</v>
      </c>
      <c r="L93" s="20" t="s">
        <v>162</v>
      </c>
      <c r="M93" s="20" t="str">
        <f t="shared" si="1"/>
        <v>Easy</v>
      </c>
      <c r="N93" s="20" t="s">
        <v>310</v>
      </c>
      <c r="O93" s="20">
        <f>'Priority Scoring'!B93</f>
        <v>2</v>
      </c>
      <c r="P93" s="49">
        <f>'Priority Scoring'!I93</f>
        <v>54</v>
      </c>
      <c r="Q93" s="20" t="str">
        <f>'Priority Scoring'!J93</f>
        <v>Low</v>
      </c>
      <c r="R93" s="20" t="s">
        <v>311</v>
      </c>
      <c r="S93" s="20" t="s">
        <v>198</v>
      </c>
      <c r="T93" s="20" t="s">
        <v>239</v>
      </c>
    </row>
    <row r="94" ht="15.75" customHeight="1">
      <c r="A94" s="18" t="s">
        <v>317</v>
      </c>
      <c r="B94" s="18" t="s">
        <v>318</v>
      </c>
      <c r="C94" s="18" t="s">
        <v>295</v>
      </c>
      <c r="D94" s="18" t="s">
        <v>309</v>
      </c>
      <c r="E94" s="18" t="s">
        <v>116</v>
      </c>
      <c r="F94" s="18" t="s">
        <v>108</v>
      </c>
      <c r="G94" s="18" t="s">
        <v>167</v>
      </c>
      <c r="H94" s="42">
        <v>210.0</v>
      </c>
      <c r="I94" s="43">
        <v>16.0</v>
      </c>
      <c r="J94" s="18" t="s">
        <v>161</v>
      </c>
      <c r="K94" s="44">
        <v>1.8</v>
      </c>
      <c r="L94" s="18" t="s">
        <v>162</v>
      </c>
      <c r="M94" s="18" t="str">
        <f t="shared" si="1"/>
        <v>Easy</v>
      </c>
      <c r="N94" s="18" t="s">
        <v>310</v>
      </c>
      <c r="O94" s="18">
        <f>'Priority Scoring'!B94</f>
        <v>2</v>
      </c>
      <c r="P94" s="45">
        <f>'Priority Scoring'!I94</f>
        <v>66</v>
      </c>
      <c r="Q94" s="18" t="str">
        <f>'Priority Scoring'!J94</f>
        <v>Medium</v>
      </c>
      <c r="R94" s="18" t="s">
        <v>311</v>
      </c>
      <c r="S94" s="18" t="s">
        <v>198</v>
      </c>
      <c r="T94" s="18" t="s">
        <v>239</v>
      </c>
    </row>
    <row r="95" ht="15.75" customHeight="1">
      <c r="A95" s="20" t="s">
        <v>319</v>
      </c>
      <c r="B95" s="20" t="s">
        <v>172</v>
      </c>
      <c r="C95" s="20" t="s">
        <v>320</v>
      </c>
      <c r="D95" s="20" t="s">
        <v>321</v>
      </c>
      <c r="E95" s="20" t="s">
        <v>118</v>
      </c>
      <c r="F95" s="20" t="s">
        <v>110</v>
      </c>
      <c r="G95" s="20" t="s">
        <v>160</v>
      </c>
      <c r="H95" s="46">
        <v>2900.0</v>
      </c>
      <c r="I95" s="47">
        <v>62.0</v>
      </c>
      <c r="J95" s="20" t="s">
        <v>161</v>
      </c>
      <c r="K95" s="48">
        <v>17.8</v>
      </c>
      <c r="L95" s="20" t="s">
        <v>162</v>
      </c>
      <c r="M95" s="20" t="str">
        <f t="shared" si="1"/>
        <v>Competitive</v>
      </c>
      <c r="N95" s="20" t="s">
        <v>322</v>
      </c>
      <c r="O95" s="20">
        <f>'Priority Scoring'!B95</f>
        <v>5</v>
      </c>
      <c r="P95" s="49">
        <f>'Priority Scoring'!I95</f>
        <v>88</v>
      </c>
      <c r="Q95" s="20" t="str">
        <f>'Priority Scoring'!J95</f>
        <v>High</v>
      </c>
      <c r="R95" s="20" t="s">
        <v>323</v>
      </c>
      <c r="S95" s="20" t="s">
        <v>165</v>
      </c>
      <c r="T95" s="20" t="s">
        <v>324</v>
      </c>
    </row>
    <row r="96" ht="15.75" customHeight="1">
      <c r="A96" s="18" t="s">
        <v>325</v>
      </c>
      <c r="B96" s="18" t="s">
        <v>172</v>
      </c>
      <c r="C96" s="18" t="s">
        <v>320</v>
      </c>
      <c r="D96" s="18" t="s">
        <v>321</v>
      </c>
      <c r="E96" s="18" t="s">
        <v>118</v>
      </c>
      <c r="F96" s="18" t="s">
        <v>110</v>
      </c>
      <c r="G96" s="18" t="s">
        <v>167</v>
      </c>
      <c r="H96" s="42">
        <v>880.0</v>
      </c>
      <c r="I96" s="43">
        <v>58.0</v>
      </c>
      <c r="J96" s="18" t="s">
        <v>161</v>
      </c>
      <c r="K96" s="44">
        <v>17.2</v>
      </c>
      <c r="L96" s="18" t="s">
        <v>162</v>
      </c>
      <c r="M96" s="18" t="str">
        <f t="shared" si="1"/>
        <v>Competitive</v>
      </c>
      <c r="N96" s="18" t="s">
        <v>322</v>
      </c>
      <c r="O96" s="18">
        <f>'Priority Scoring'!B96</f>
        <v>5</v>
      </c>
      <c r="P96" s="45">
        <f>'Priority Scoring'!I96</f>
        <v>85</v>
      </c>
      <c r="Q96" s="18" t="str">
        <f>'Priority Scoring'!J96</f>
        <v>High</v>
      </c>
      <c r="R96" s="18" t="s">
        <v>323</v>
      </c>
      <c r="S96" s="18" t="s">
        <v>165</v>
      </c>
      <c r="T96" s="18" t="s">
        <v>168</v>
      </c>
    </row>
    <row r="97" ht="15.75" customHeight="1">
      <c r="A97" s="20" t="s">
        <v>326</v>
      </c>
      <c r="B97" s="20" t="s">
        <v>172</v>
      </c>
      <c r="C97" s="20" t="s">
        <v>320</v>
      </c>
      <c r="D97" s="20" t="s">
        <v>321</v>
      </c>
      <c r="E97" s="20" t="s">
        <v>118</v>
      </c>
      <c r="F97" s="20" t="s">
        <v>110</v>
      </c>
      <c r="G97" s="20" t="s">
        <v>160</v>
      </c>
      <c r="H97" s="46">
        <v>320.0</v>
      </c>
      <c r="I97" s="47">
        <v>40.0</v>
      </c>
      <c r="J97" s="20" t="s">
        <v>161</v>
      </c>
      <c r="K97" s="48">
        <v>12.6</v>
      </c>
      <c r="L97" s="20" t="s">
        <v>162</v>
      </c>
      <c r="M97" s="20" t="str">
        <f t="shared" si="1"/>
        <v>Moderate</v>
      </c>
      <c r="N97" s="20" t="s">
        <v>322</v>
      </c>
      <c r="O97" s="20">
        <f>'Priority Scoring'!B97</f>
        <v>5</v>
      </c>
      <c r="P97" s="49">
        <f>'Priority Scoring'!I97</f>
        <v>86</v>
      </c>
      <c r="Q97" s="20" t="str">
        <f>'Priority Scoring'!J97</f>
        <v>High</v>
      </c>
      <c r="R97" s="20" t="s">
        <v>323</v>
      </c>
      <c r="S97" s="20" t="s">
        <v>165</v>
      </c>
      <c r="T97" s="20" t="s">
        <v>327</v>
      </c>
    </row>
    <row r="98" ht="15.75" customHeight="1">
      <c r="A98" s="18" t="s">
        <v>137</v>
      </c>
      <c r="B98" s="18" t="s">
        <v>172</v>
      </c>
      <c r="C98" s="18" t="s">
        <v>320</v>
      </c>
      <c r="D98" s="18" t="s">
        <v>321</v>
      </c>
      <c r="E98" s="18" t="s">
        <v>118</v>
      </c>
      <c r="F98" s="18" t="s">
        <v>110</v>
      </c>
      <c r="G98" s="18" t="s">
        <v>167</v>
      </c>
      <c r="H98" s="42">
        <v>590.0</v>
      </c>
      <c r="I98" s="43">
        <v>48.0</v>
      </c>
      <c r="J98" s="18" t="s">
        <v>161</v>
      </c>
      <c r="K98" s="44">
        <v>14.8</v>
      </c>
      <c r="L98" s="18" t="s">
        <v>162</v>
      </c>
      <c r="M98" s="18" t="str">
        <f t="shared" si="1"/>
        <v>Competitive</v>
      </c>
      <c r="N98" s="18" t="s">
        <v>322</v>
      </c>
      <c r="O98" s="18">
        <f>'Priority Scoring'!B98</f>
        <v>5</v>
      </c>
      <c r="P98" s="45">
        <f>'Priority Scoring'!I98</f>
        <v>89</v>
      </c>
      <c r="Q98" s="18" t="str">
        <f>'Priority Scoring'!J98</f>
        <v>High</v>
      </c>
      <c r="R98" s="18" t="s">
        <v>323</v>
      </c>
      <c r="S98" s="18" t="s">
        <v>165</v>
      </c>
      <c r="T98" s="18" t="s">
        <v>168</v>
      </c>
    </row>
    <row r="99" ht="15.75" customHeight="1">
      <c r="A99" s="20" t="s">
        <v>328</v>
      </c>
      <c r="B99" s="20" t="s">
        <v>172</v>
      </c>
      <c r="C99" s="20" t="s">
        <v>320</v>
      </c>
      <c r="D99" s="20" t="s">
        <v>321</v>
      </c>
      <c r="E99" s="20" t="s">
        <v>118</v>
      </c>
      <c r="F99" s="20" t="s">
        <v>110</v>
      </c>
      <c r="G99" s="20" t="s">
        <v>167</v>
      </c>
      <c r="H99" s="46">
        <v>390.0</v>
      </c>
      <c r="I99" s="47">
        <v>46.0</v>
      </c>
      <c r="J99" s="20" t="s">
        <v>161</v>
      </c>
      <c r="K99" s="48">
        <v>15.0</v>
      </c>
      <c r="L99" s="20" t="s">
        <v>162</v>
      </c>
      <c r="M99" s="20" t="str">
        <f t="shared" si="1"/>
        <v>Competitive</v>
      </c>
      <c r="N99" s="20" t="s">
        <v>322</v>
      </c>
      <c r="O99" s="20">
        <f>'Priority Scoring'!B99</f>
        <v>5</v>
      </c>
      <c r="P99" s="49">
        <f>'Priority Scoring'!I99</f>
        <v>86</v>
      </c>
      <c r="Q99" s="20" t="str">
        <f>'Priority Scoring'!J99</f>
        <v>High</v>
      </c>
      <c r="R99" s="20" t="s">
        <v>323</v>
      </c>
      <c r="S99" s="20" t="s">
        <v>165</v>
      </c>
      <c r="T99" s="20" t="s">
        <v>168</v>
      </c>
    </row>
    <row r="100" ht="15.75" customHeight="1">
      <c r="A100" s="18" t="s">
        <v>329</v>
      </c>
      <c r="B100" s="18" t="s">
        <v>172</v>
      </c>
      <c r="C100" s="18" t="s">
        <v>320</v>
      </c>
      <c r="D100" s="18" t="s">
        <v>321</v>
      </c>
      <c r="E100" s="18" t="s">
        <v>118</v>
      </c>
      <c r="F100" s="18" t="s">
        <v>110</v>
      </c>
      <c r="G100" s="18" t="s">
        <v>167</v>
      </c>
      <c r="H100" s="42">
        <v>3600.0</v>
      </c>
      <c r="I100" s="43">
        <v>74.0</v>
      </c>
      <c r="J100" s="18" t="s">
        <v>161</v>
      </c>
      <c r="K100" s="44">
        <v>14.2</v>
      </c>
      <c r="L100" s="18" t="s">
        <v>162</v>
      </c>
      <c r="M100" s="18" t="str">
        <f t="shared" si="1"/>
        <v>Very Competitive</v>
      </c>
      <c r="N100" s="18" t="s">
        <v>322</v>
      </c>
      <c r="O100" s="18">
        <f>'Priority Scoring'!B100</f>
        <v>5</v>
      </c>
      <c r="P100" s="45">
        <f>'Priority Scoring'!I100</f>
        <v>84</v>
      </c>
      <c r="Q100" s="18" t="str">
        <f>'Priority Scoring'!J100</f>
        <v>High</v>
      </c>
      <c r="R100" s="18" t="s">
        <v>323</v>
      </c>
      <c r="S100" s="18" t="s">
        <v>165</v>
      </c>
      <c r="T100" s="18" t="s">
        <v>239</v>
      </c>
    </row>
    <row r="101" ht="15.75" customHeight="1">
      <c r="A101" s="20" t="s">
        <v>330</v>
      </c>
      <c r="B101" s="20" t="s">
        <v>118</v>
      </c>
      <c r="C101" s="20" t="s">
        <v>320</v>
      </c>
      <c r="D101" s="20" t="s">
        <v>321</v>
      </c>
      <c r="E101" s="20" t="s">
        <v>118</v>
      </c>
      <c r="F101" s="20" t="s">
        <v>110</v>
      </c>
      <c r="G101" s="20" t="s">
        <v>167</v>
      </c>
      <c r="H101" s="46">
        <v>140.0</v>
      </c>
      <c r="I101" s="47">
        <v>34.0</v>
      </c>
      <c r="J101" s="20" t="s">
        <v>161</v>
      </c>
      <c r="K101" s="48">
        <v>13.2</v>
      </c>
      <c r="L101" s="20" t="s">
        <v>162</v>
      </c>
      <c r="M101" s="20" t="str">
        <f t="shared" si="1"/>
        <v>Moderate</v>
      </c>
      <c r="N101" s="20" t="s">
        <v>322</v>
      </c>
      <c r="O101" s="20">
        <f>'Priority Scoring'!B101</f>
        <v>5</v>
      </c>
      <c r="P101" s="49">
        <f>'Priority Scoring'!I101</f>
        <v>87</v>
      </c>
      <c r="Q101" s="20" t="str">
        <f>'Priority Scoring'!J101</f>
        <v>High</v>
      </c>
      <c r="R101" s="20" t="s">
        <v>323</v>
      </c>
      <c r="S101" s="20" t="s">
        <v>165</v>
      </c>
      <c r="T101" s="20" t="s">
        <v>168</v>
      </c>
    </row>
    <row r="102" ht="15.75" customHeight="1">
      <c r="A102" s="18" t="s">
        <v>331</v>
      </c>
      <c r="B102" s="18" t="s">
        <v>172</v>
      </c>
      <c r="C102" s="18" t="s">
        <v>320</v>
      </c>
      <c r="D102" s="18" t="s">
        <v>321</v>
      </c>
      <c r="E102" s="18" t="s">
        <v>118</v>
      </c>
      <c r="F102" s="18" t="s">
        <v>110</v>
      </c>
      <c r="G102" s="18" t="s">
        <v>167</v>
      </c>
      <c r="H102" s="42">
        <v>210.0</v>
      </c>
      <c r="I102" s="43">
        <v>36.0</v>
      </c>
      <c r="J102" s="18" t="s">
        <v>161</v>
      </c>
      <c r="K102" s="44">
        <v>13.0</v>
      </c>
      <c r="L102" s="18" t="s">
        <v>162</v>
      </c>
      <c r="M102" s="18" t="str">
        <f t="shared" si="1"/>
        <v>Moderate</v>
      </c>
      <c r="N102" s="18" t="s">
        <v>322</v>
      </c>
      <c r="O102" s="18">
        <f>'Priority Scoring'!B102</f>
        <v>5</v>
      </c>
      <c r="P102" s="45">
        <f>'Priority Scoring'!I102</f>
        <v>86</v>
      </c>
      <c r="Q102" s="18" t="str">
        <f>'Priority Scoring'!J102</f>
        <v>High</v>
      </c>
      <c r="R102" s="18" t="s">
        <v>323</v>
      </c>
      <c r="S102" s="18" t="s">
        <v>165</v>
      </c>
      <c r="T102" s="18" t="s">
        <v>168</v>
      </c>
    </row>
    <row r="103" ht="15.75" customHeight="1">
      <c r="A103" s="20" t="s">
        <v>332</v>
      </c>
      <c r="B103" s="20" t="s">
        <v>116</v>
      </c>
      <c r="C103" s="20" t="s">
        <v>320</v>
      </c>
      <c r="D103" s="20" t="s">
        <v>321</v>
      </c>
      <c r="E103" s="20" t="s">
        <v>116</v>
      </c>
      <c r="F103" s="20" t="s">
        <v>108</v>
      </c>
      <c r="G103" s="20" t="s">
        <v>167</v>
      </c>
      <c r="H103" s="46">
        <v>210.0</v>
      </c>
      <c r="I103" s="47">
        <v>44.0</v>
      </c>
      <c r="J103" s="20" t="s">
        <v>161</v>
      </c>
      <c r="K103" s="48">
        <v>13.8</v>
      </c>
      <c r="L103" s="20" t="s">
        <v>162</v>
      </c>
      <c r="M103" s="20" t="str">
        <f t="shared" si="1"/>
        <v>Competitive</v>
      </c>
      <c r="N103" s="20" t="s">
        <v>322</v>
      </c>
      <c r="O103" s="20">
        <f>'Priority Scoring'!B103</f>
        <v>5</v>
      </c>
      <c r="P103" s="49">
        <f>'Priority Scoring'!I103</f>
        <v>77</v>
      </c>
      <c r="Q103" s="20" t="str">
        <f>'Priority Scoring'!J103</f>
        <v>High</v>
      </c>
      <c r="R103" s="20" t="s">
        <v>323</v>
      </c>
      <c r="S103" s="20" t="s">
        <v>165</v>
      </c>
      <c r="T103" s="20" t="s">
        <v>168</v>
      </c>
    </row>
    <row r="104" ht="15.75" customHeight="1">
      <c r="A104" s="18" t="s">
        <v>333</v>
      </c>
      <c r="B104" s="18" t="s">
        <v>118</v>
      </c>
      <c r="C104" s="18" t="s">
        <v>320</v>
      </c>
      <c r="D104" s="18" t="s">
        <v>321</v>
      </c>
      <c r="E104" s="18" t="s">
        <v>118</v>
      </c>
      <c r="F104" s="18" t="s">
        <v>110</v>
      </c>
      <c r="G104" s="18" t="s">
        <v>167</v>
      </c>
      <c r="H104" s="42">
        <v>170.0</v>
      </c>
      <c r="I104" s="43">
        <v>30.0</v>
      </c>
      <c r="J104" s="18" t="s">
        <v>161</v>
      </c>
      <c r="K104" s="44">
        <v>12.0</v>
      </c>
      <c r="L104" s="18" t="s">
        <v>162</v>
      </c>
      <c r="M104" s="18" t="str">
        <f t="shared" si="1"/>
        <v>Moderate</v>
      </c>
      <c r="N104" s="18" t="s">
        <v>322</v>
      </c>
      <c r="O104" s="18">
        <f>'Priority Scoring'!B104</f>
        <v>5</v>
      </c>
      <c r="P104" s="45">
        <f>'Priority Scoring'!I104</f>
        <v>87</v>
      </c>
      <c r="Q104" s="18" t="str">
        <f>'Priority Scoring'!J104</f>
        <v>High</v>
      </c>
      <c r="R104" s="18" t="s">
        <v>323</v>
      </c>
      <c r="S104" s="18" t="s">
        <v>165</v>
      </c>
      <c r="T104" s="18" t="s">
        <v>334</v>
      </c>
    </row>
    <row r="105" ht="15.75" customHeight="1">
      <c r="A105" s="20" t="s">
        <v>335</v>
      </c>
      <c r="B105" s="20" t="s">
        <v>172</v>
      </c>
      <c r="C105" s="20" t="s">
        <v>320</v>
      </c>
      <c r="D105" s="20" t="s">
        <v>321</v>
      </c>
      <c r="E105" s="20" t="s">
        <v>118</v>
      </c>
      <c r="F105" s="20" t="s">
        <v>110</v>
      </c>
      <c r="G105" s="20" t="s">
        <v>167</v>
      </c>
      <c r="H105" s="46">
        <v>1300.0</v>
      </c>
      <c r="I105" s="47">
        <v>54.0</v>
      </c>
      <c r="J105" s="20" t="s">
        <v>161</v>
      </c>
      <c r="K105" s="48">
        <v>9.2</v>
      </c>
      <c r="L105" s="20" t="s">
        <v>162</v>
      </c>
      <c r="M105" s="20" t="str">
        <f t="shared" si="1"/>
        <v>Competitive</v>
      </c>
      <c r="N105" s="20" t="s">
        <v>322</v>
      </c>
      <c r="O105" s="20">
        <f>'Priority Scoring'!B105</f>
        <v>5</v>
      </c>
      <c r="P105" s="49">
        <f>'Priority Scoring'!I105</f>
        <v>88</v>
      </c>
      <c r="Q105" s="20" t="str">
        <f>'Priority Scoring'!J105</f>
        <v>High</v>
      </c>
      <c r="R105" s="20" t="s">
        <v>323</v>
      </c>
      <c r="S105" s="20" t="s">
        <v>165</v>
      </c>
      <c r="T105" s="20" t="s">
        <v>239</v>
      </c>
    </row>
    <row r="106" ht="15.75" customHeight="1">
      <c r="A106" s="18" t="s">
        <v>336</v>
      </c>
      <c r="B106" s="18" t="s">
        <v>180</v>
      </c>
      <c r="C106" s="18" t="s">
        <v>320</v>
      </c>
      <c r="D106" s="18" t="s">
        <v>321</v>
      </c>
      <c r="E106" s="18" t="s">
        <v>118</v>
      </c>
      <c r="F106" s="18" t="s">
        <v>110</v>
      </c>
      <c r="G106" s="18" t="s">
        <v>167</v>
      </c>
      <c r="H106" s="42">
        <v>170.0</v>
      </c>
      <c r="I106" s="43">
        <v>30.0</v>
      </c>
      <c r="J106" s="18" t="s">
        <v>161</v>
      </c>
      <c r="K106" s="44">
        <v>11.4</v>
      </c>
      <c r="L106" s="18" t="s">
        <v>162</v>
      </c>
      <c r="M106" s="18" t="str">
        <f t="shared" si="1"/>
        <v>Moderate</v>
      </c>
      <c r="N106" s="18" t="s">
        <v>322</v>
      </c>
      <c r="O106" s="18">
        <f>'Priority Scoring'!B106</f>
        <v>5</v>
      </c>
      <c r="P106" s="45">
        <f>'Priority Scoring'!I106</f>
        <v>87</v>
      </c>
      <c r="Q106" s="18" t="str">
        <f>'Priority Scoring'!J106</f>
        <v>High</v>
      </c>
      <c r="R106" s="18" t="s">
        <v>323</v>
      </c>
      <c r="S106" s="18" t="s">
        <v>165</v>
      </c>
      <c r="T106" s="18" t="s">
        <v>168</v>
      </c>
    </row>
    <row r="107" ht="15.75" customHeight="1">
      <c r="A107" s="20" t="s">
        <v>337</v>
      </c>
      <c r="B107" s="20" t="s">
        <v>118</v>
      </c>
      <c r="C107" s="20" t="s">
        <v>320</v>
      </c>
      <c r="D107" s="20" t="s">
        <v>338</v>
      </c>
      <c r="E107" s="20" t="s">
        <v>118</v>
      </c>
      <c r="F107" s="20" t="s">
        <v>110</v>
      </c>
      <c r="G107" s="20" t="s">
        <v>160</v>
      </c>
      <c r="H107" s="46">
        <v>590.0</v>
      </c>
      <c r="I107" s="47">
        <v>46.0</v>
      </c>
      <c r="J107" s="20" t="s">
        <v>161</v>
      </c>
      <c r="K107" s="48">
        <v>14.5</v>
      </c>
      <c r="L107" s="20" t="s">
        <v>162</v>
      </c>
      <c r="M107" s="20" t="str">
        <f t="shared" si="1"/>
        <v>Competitive</v>
      </c>
      <c r="N107" s="20" t="s">
        <v>339</v>
      </c>
      <c r="O107" s="20">
        <f>'Priority Scoring'!B107</f>
        <v>5</v>
      </c>
      <c r="P107" s="49">
        <f>'Priority Scoring'!I107</f>
        <v>87</v>
      </c>
      <c r="Q107" s="20" t="str">
        <f>'Priority Scoring'!J107</f>
        <v>High</v>
      </c>
      <c r="R107" s="20" t="s">
        <v>340</v>
      </c>
      <c r="S107" s="20" t="s">
        <v>198</v>
      </c>
      <c r="T107" s="20" t="s">
        <v>168</v>
      </c>
    </row>
    <row r="108" ht="15.75" customHeight="1">
      <c r="A108" s="18" t="s">
        <v>341</v>
      </c>
      <c r="B108" s="18" t="s">
        <v>116</v>
      </c>
      <c r="C108" s="18" t="s">
        <v>320</v>
      </c>
      <c r="D108" s="18" t="s">
        <v>338</v>
      </c>
      <c r="E108" s="18" t="s">
        <v>116</v>
      </c>
      <c r="F108" s="18" t="s">
        <v>108</v>
      </c>
      <c r="G108" s="18" t="s">
        <v>167</v>
      </c>
      <c r="H108" s="42">
        <v>18100.0</v>
      </c>
      <c r="I108" s="43">
        <v>50.0</v>
      </c>
      <c r="J108" s="18" t="s">
        <v>161</v>
      </c>
      <c r="K108" s="44">
        <v>9.8</v>
      </c>
      <c r="L108" s="18" t="s">
        <v>162</v>
      </c>
      <c r="M108" s="18" t="str">
        <f t="shared" si="1"/>
        <v>Competitive</v>
      </c>
      <c r="N108" s="18" t="s">
        <v>339</v>
      </c>
      <c r="O108" s="18">
        <f>'Priority Scoring'!B108</f>
        <v>5</v>
      </c>
      <c r="P108" s="45">
        <f>'Priority Scoring'!I108</f>
        <v>81</v>
      </c>
      <c r="Q108" s="18" t="str">
        <f>'Priority Scoring'!J108</f>
        <v>High</v>
      </c>
      <c r="R108" s="18" t="s">
        <v>340</v>
      </c>
      <c r="S108" s="18" t="s">
        <v>198</v>
      </c>
      <c r="T108" s="18" t="s">
        <v>342</v>
      </c>
    </row>
    <row r="109" ht="15.75" customHeight="1">
      <c r="A109" s="20" t="s">
        <v>343</v>
      </c>
      <c r="B109" s="20" t="s">
        <v>116</v>
      </c>
      <c r="C109" s="20" t="s">
        <v>320</v>
      </c>
      <c r="D109" s="20" t="s">
        <v>338</v>
      </c>
      <c r="E109" s="20" t="s">
        <v>116</v>
      </c>
      <c r="F109" s="20" t="s">
        <v>108</v>
      </c>
      <c r="G109" s="20" t="s">
        <v>167</v>
      </c>
      <c r="H109" s="46">
        <v>3600.0</v>
      </c>
      <c r="I109" s="47">
        <v>40.0</v>
      </c>
      <c r="J109" s="20" t="s">
        <v>161</v>
      </c>
      <c r="K109" s="48">
        <v>8.2</v>
      </c>
      <c r="L109" s="20" t="s">
        <v>162</v>
      </c>
      <c r="M109" s="20" t="str">
        <f t="shared" si="1"/>
        <v>Moderate</v>
      </c>
      <c r="N109" s="20" t="s">
        <v>339</v>
      </c>
      <c r="O109" s="20">
        <f>'Priority Scoring'!B109</f>
        <v>5</v>
      </c>
      <c r="P109" s="49">
        <f>'Priority Scoring'!I109</f>
        <v>81</v>
      </c>
      <c r="Q109" s="20" t="str">
        <f>'Priority Scoring'!J109</f>
        <v>High</v>
      </c>
      <c r="R109" s="20" t="s">
        <v>340</v>
      </c>
      <c r="S109" s="20" t="s">
        <v>198</v>
      </c>
      <c r="T109" s="20" t="s">
        <v>239</v>
      </c>
    </row>
    <row r="110" ht="15.75" customHeight="1">
      <c r="A110" s="18" t="s">
        <v>344</v>
      </c>
      <c r="B110" s="18" t="s">
        <v>116</v>
      </c>
      <c r="C110" s="18" t="s">
        <v>320</v>
      </c>
      <c r="D110" s="18" t="s">
        <v>338</v>
      </c>
      <c r="E110" s="18" t="s">
        <v>116</v>
      </c>
      <c r="F110" s="18" t="s">
        <v>108</v>
      </c>
      <c r="G110" s="18" t="s">
        <v>167</v>
      </c>
      <c r="H110" s="42">
        <v>1000.0</v>
      </c>
      <c r="I110" s="43">
        <v>30.0</v>
      </c>
      <c r="J110" s="18" t="s">
        <v>161</v>
      </c>
      <c r="K110" s="44">
        <v>7.5</v>
      </c>
      <c r="L110" s="18" t="s">
        <v>162</v>
      </c>
      <c r="M110" s="18" t="str">
        <f t="shared" si="1"/>
        <v>Moderate</v>
      </c>
      <c r="N110" s="18" t="s">
        <v>339</v>
      </c>
      <c r="O110" s="18">
        <f>'Priority Scoring'!B110</f>
        <v>5</v>
      </c>
      <c r="P110" s="45">
        <f>'Priority Scoring'!I110</f>
        <v>85</v>
      </c>
      <c r="Q110" s="18" t="str">
        <f>'Priority Scoring'!J110</f>
        <v>High</v>
      </c>
      <c r="R110" s="18" t="s">
        <v>340</v>
      </c>
      <c r="S110" s="18" t="s">
        <v>198</v>
      </c>
      <c r="T110" s="18" t="s">
        <v>239</v>
      </c>
    </row>
    <row r="111" ht="15.75" customHeight="1">
      <c r="A111" s="20" t="s">
        <v>345</v>
      </c>
      <c r="B111" s="20" t="s">
        <v>116</v>
      </c>
      <c r="C111" s="20" t="s">
        <v>320</v>
      </c>
      <c r="D111" s="20" t="s">
        <v>338</v>
      </c>
      <c r="E111" s="20" t="s">
        <v>116</v>
      </c>
      <c r="F111" s="20" t="s">
        <v>108</v>
      </c>
      <c r="G111" s="20" t="s">
        <v>167</v>
      </c>
      <c r="H111" s="46">
        <v>2900.0</v>
      </c>
      <c r="I111" s="47">
        <v>36.0</v>
      </c>
      <c r="J111" s="20" t="s">
        <v>161</v>
      </c>
      <c r="K111" s="48">
        <v>4.2</v>
      </c>
      <c r="L111" s="20" t="s">
        <v>162</v>
      </c>
      <c r="M111" s="20" t="str">
        <f t="shared" si="1"/>
        <v>Moderate</v>
      </c>
      <c r="N111" s="20" t="s">
        <v>339</v>
      </c>
      <c r="O111" s="20">
        <f>'Priority Scoring'!B111</f>
        <v>5</v>
      </c>
      <c r="P111" s="49">
        <f>'Priority Scoring'!I111</f>
        <v>81</v>
      </c>
      <c r="Q111" s="20" t="str">
        <f>'Priority Scoring'!J111</f>
        <v>High</v>
      </c>
      <c r="R111" s="20" t="s">
        <v>340</v>
      </c>
      <c r="S111" s="20" t="s">
        <v>198</v>
      </c>
      <c r="T111" s="20" t="s">
        <v>239</v>
      </c>
    </row>
    <row r="112" ht="15.75" customHeight="1">
      <c r="A112" s="18" t="s">
        <v>346</v>
      </c>
      <c r="B112" s="18" t="s">
        <v>116</v>
      </c>
      <c r="C112" s="18" t="s">
        <v>320</v>
      </c>
      <c r="D112" s="18" t="s">
        <v>338</v>
      </c>
      <c r="E112" s="18" t="s">
        <v>116</v>
      </c>
      <c r="F112" s="18" t="s">
        <v>108</v>
      </c>
      <c r="G112" s="18" t="s">
        <v>167</v>
      </c>
      <c r="H112" s="42">
        <v>1900.0</v>
      </c>
      <c r="I112" s="43">
        <v>34.0</v>
      </c>
      <c r="J112" s="18" t="s">
        <v>161</v>
      </c>
      <c r="K112" s="44">
        <v>6.2</v>
      </c>
      <c r="L112" s="18" t="s">
        <v>162</v>
      </c>
      <c r="M112" s="18" t="str">
        <f t="shared" si="1"/>
        <v>Moderate</v>
      </c>
      <c r="N112" s="18" t="s">
        <v>339</v>
      </c>
      <c r="O112" s="18">
        <f>'Priority Scoring'!B112</f>
        <v>5</v>
      </c>
      <c r="P112" s="45">
        <f>'Priority Scoring'!I112</f>
        <v>85</v>
      </c>
      <c r="Q112" s="18" t="str">
        <f>'Priority Scoring'!J112</f>
        <v>High</v>
      </c>
      <c r="R112" s="18" t="s">
        <v>340</v>
      </c>
      <c r="S112" s="18" t="s">
        <v>198</v>
      </c>
      <c r="T112" s="18" t="s">
        <v>239</v>
      </c>
    </row>
    <row r="113" ht="15.75" customHeight="1">
      <c r="A113" s="20" t="s">
        <v>347</v>
      </c>
      <c r="B113" s="20" t="s">
        <v>116</v>
      </c>
      <c r="C113" s="20" t="s">
        <v>320</v>
      </c>
      <c r="D113" s="20" t="s">
        <v>338</v>
      </c>
      <c r="E113" s="20" t="s">
        <v>116</v>
      </c>
      <c r="F113" s="20" t="s">
        <v>108</v>
      </c>
      <c r="G113" s="20" t="s">
        <v>167</v>
      </c>
      <c r="H113" s="46">
        <v>1300.0</v>
      </c>
      <c r="I113" s="47">
        <v>32.0</v>
      </c>
      <c r="J113" s="20" t="s">
        <v>161</v>
      </c>
      <c r="K113" s="48">
        <v>7.0</v>
      </c>
      <c r="L113" s="20" t="s">
        <v>162</v>
      </c>
      <c r="M113" s="20" t="str">
        <f t="shared" si="1"/>
        <v>Moderate</v>
      </c>
      <c r="N113" s="20" t="s">
        <v>339</v>
      </c>
      <c r="O113" s="20">
        <f>'Priority Scoring'!B113</f>
        <v>5</v>
      </c>
      <c r="P113" s="49">
        <f>'Priority Scoring'!I113</f>
        <v>85</v>
      </c>
      <c r="Q113" s="20" t="str">
        <f>'Priority Scoring'!J113</f>
        <v>High</v>
      </c>
      <c r="R113" s="20" t="s">
        <v>340</v>
      </c>
      <c r="S113" s="20" t="s">
        <v>198</v>
      </c>
      <c r="T113" s="20" t="s">
        <v>239</v>
      </c>
    </row>
    <row r="114" ht="15.75" customHeight="1">
      <c r="A114" s="18" t="s">
        <v>348</v>
      </c>
      <c r="B114" s="18" t="s">
        <v>318</v>
      </c>
      <c r="C114" s="18" t="s">
        <v>320</v>
      </c>
      <c r="D114" s="18" t="s">
        <v>349</v>
      </c>
      <c r="E114" s="18" t="s">
        <v>116</v>
      </c>
      <c r="F114" s="18" t="s">
        <v>108</v>
      </c>
      <c r="G114" s="18" t="s">
        <v>160</v>
      </c>
      <c r="H114" s="42">
        <v>6600.0</v>
      </c>
      <c r="I114" s="43">
        <v>56.0</v>
      </c>
      <c r="J114" s="18" t="s">
        <v>161</v>
      </c>
      <c r="K114" s="44">
        <v>5.5</v>
      </c>
      <c r="L114" s="18" t="s">
        <v>162</v>
      </c>
      <c r="M114" s="18" t="str">
        <f t="shared" si="1"/>
        <v>Competitive</v>
      </c>
      <c r="N114" s="18" t="s">
        <v>350</v>
      </c>
      <c r="O114" s="18">
        <f>'Priority Scoring'!B114</f>
        <v>3</v>
      </c>
      <c r="P114" s="45">
        <f>'Priority Scoring'!I114</f>
        <v>67</v>
      </c>
      <c r="Q114" s="18" t="str">
        <f>'Priority Scoring'!J114</f>
        <v>Medium</v>
      </c>
      <c r="R114" s="18" t="s">
        <v>351</v>
      </c>
      <c r="S114" s="18" t="s">
        <v>198</v>
      </c>
      <c r="T114" s="18" t="s">
        <v>239</v>
      </c>
    </row>
    <row r="115" ht="15.75" customHeight="1">
      <c r="A115" s="20" t="s">
        <v>352</v>
      </c>
      <c r="B115" s="20" t="s">
        <v>318</v>
      </c>
      <c r="C115" s="20" t="s">
        <v>320</v>
      </c>
      <c r="D115" s="20" t="s">
        <v>349</v>
      </c>
      <c r="E115" s="20" t="s">
        <v>116</v>
      </c>
      <c r="F115" s="20" t="s">
        <v>108</v>
      </c>
      <c r="G115" s="20" t="s">
        <v>167</v>
      </c>
      <c r="H115" s="46">
        <v>880.0</v>
      </c>
      <c r="I115" s="47">
        <v>40.0</v>
      </c>
      <c r="J115" s="20" t="s">
        <v>161</v>
      </c>
      <c r="K115" s="48">
        <v>4.8</v>
      </c>
      <c r="L115" s="20" t="s">
        <v>162</v>
      </c>
      <c r="M115" s="20" t="str">
        <f t="shared" si="1"/>
        <v>Moderate</v>
      </c>
      <c r="N115" s="20" t="s">
        <v>350</v>
      </c>
      <c r="O115" s="20">
        <f>'Priority Scoring'!B115</f>
        <v>3</v>
      </c>
      <c r="P115" s="49">
        <f>'Priority Scoring'!I115</f>
        <v>68</v>
      </c>
      <c r="Q115" s="20" t="str">
        <f>'Priority Scoring'!J115</f>
        <v>Medium</v>
      </c>
      <c r="R115" s="20" t="s">
        <v>351</v>
      </c>
      <c r="S115" s="20" t="s">
        <v>198</v>
      </c>
      <c r="T115" s="20" t="s">
        <v>239</v>
      </c>
    </row>
    <row r="116" ht="15.75" customHeight="1">
      <c r="A116" s="18" t="s">
        <v>353</v>
      </c>
      <c r="B116" s="18" t="s">
        <v>318</v>
      </c>
      <c r="C116" s="18" t="s">
        <v>320</v>
      </c>
      <c r="D116" s="18" t="s">
        <v>349</v>
      </c>
      <c r="E116" s="18" t="s">
        <v>116</v>
      </c>
      <c r="F116" s="18" t="s">
        <v>108</v>
      </c>
      <c r="G116" s="18" t="s">
        <v>167</v>
      </c>
      <c r="H116" s="42">
        <v>590.0</v>
      </c>
      <c r="I116" s="43">
        <v>40.0</v>
      </c>
      <c r="J116" s="18" t="s">
        <v>161</v>
      </c>
      <c r="K116" s="44">
        <v>5.2</v>
      </c>
      <c r="L116" s="18" t="s">
        <v>162</v>
      </c>
      <c r="M116" s="18" t="str">
        <f t="shared" si="1"/>
        <v>Moderate</v>
      </c>
      <c r="N116" s="18" t="s">
        <v>350</v>
      </c>
      <c r="O116" s="18">
        <f>'Priority Scoring'!B116</f>
        <v>3</v>
      </c>
      <c r="P116" s="45">
        <f>'Priority Scoring'!I116</f>
        <v>68</v>
      </c>
      <c r="Q116" s="18" t="str">
        <f>'Priority Scoring'!J116</f>
        <v>Medium</v>
      </c>
      <c r="R116" s="18" t="s">
        <v>351</v>
      </c>
      <c r="S116" s="18" t="s">
        <v>198</v>
      </c>
      <c r="T116" s="18" t="s">
        <v>239</v>
      </c>
    </row>
    <row r="117" ht="15.75" customHeight="1">
      <c r="A117" s="20" t="s">
        <v>354</v>
      </c>
      <c r="B117" s="20" t="s">
        <v>355</v>
      </c>
      <c r="C117" s="20" t="s">
        <v>320</v>
      </c>
      <c r="D117" s="20" t="s">
        <v>349</v>
      </c>
      <c r="E117" s="20" t="s">
        <v>112</v>
      </c>
      <c r="F117" s="20" t="s">
        <v>106</v>
      </c>
      <c r="G117" s="20" t="s">
        <v>167</v>
      </c>
      <c r="H117" s="46">
        <v>4400.0</v>
      </c>
      <c r="I117" s="47">
        <v>36.0</v>
      </c>
      <c r="J117" s="20" t="s">
        <v>161</v>
      </c>
      <c r="K117" s="48">
        <v>2.5</v>
      </c>
      <c r="L117" s="20" t="s">
        <v>162</v>
      </c>
      <c r="M117" s="20" t="str">
        <f t="shared" si="1"/>
        <v>Moderate</v>
      </c>
      <c r="N117" s="20" t="s">
        <v>350</v>
      </c>
      <c r="O117" s="20">
        <f>'Priority Scoring'!B117</f>
        <v>3</v>
      </c>
      <c r="P117" s="49">
        <f>'Priority Scoring'!I117</f>
        <v>59</v>
      </c>
      <c r="Q117" s="20" t="str">
        <f>'Priority Scoring'!J117</f>
        <v>Low</v>
      </c>
      <c r="R117" s="20" t="s">
        <v>351</v>
      </c>
      <c r="S117" s="20" t="s">
        <v>198</v>
      </c>
      <c r="T117" s="20" t="s">
        <v>239</v>
      </c>
    </row>
    <row r="118" ht="15.75" customHeight="1">
      <c r="A118" s="18" t="s">
        <v>356</v>
      </c>
      <c r="B118" s="18" t="s">
        <v>248</v>
      </c>
      <c r="C118" s="18" t="s">
        <v>320</v>
      </c>
      <c r="D118" s="18" t="s">
        <v>349</v>
      </c>
      <c r="E118" s="18" t="s">
        <v>112</v>
      </c>
      <c r="F118" s="18" t="s">
        <v>106</v>
      </c>
      <c r="G118" s="18" t="s">
        <v>167</v>
      </c>
      <c r="H118" s="42">
        <v>1300.0</v>
      </c>
      <c r="I118" s="43">
        <v>30.0</v>
      </c>
      <c r="J118" s="18" t="s">
        <v>161</v>
      </c>
      <c r="K118" s="44">
        <v>3.0</v>
      </c>
      <c r="L118" s="18" t="s">
        <v>162</v>
      </c>
      <c r="M118" s="18" t="str">
        <f t="shared" si="1"/>
        <v>Moderate</v>
      </c>
      <c r="N118" s="18" t="s">
        <v>350</v>
      </c>
      <c r="O118" s="18">
        <f>'Priority Scoring'!B118</f>
        <v>3</v>
      </c>
      <c r="P118" s="45">
        <f>'Priority Scoring'!I118</f>
        <v>63</v>
      </c>
      <c r="Q118" s="18" t="str">
        <f>'Priority Scoring'!J118</f>
        <v>Medium</v>
      </c>
      <c r="R118" s="18" t="s">
        <v>351</v>
      </c>
      <c r="S118" s="18" t="s">
        <v>198</v>
      </c>
      <c r="T118" s="18" t="s">
        <v>239</v>
      </c>
    </row>
    <row r="119" ht="15.75" customHeight="1">
      <c r="A119" s="20" t="s">
        <v>357</v>
      </c>
      <c r="B119" s="20" t="s">
        <v>318</v>
      </c>
      <c r="C119" s="20" t="s">
        <v>320</v>
      </c>
      <c r="D119" s="20" t="s">
        <v>349</v>
      </c>
      <c r="E119" s="20" t="s">
        <v>116</v>
      </c>
      <c r="F119" s="20" t="s">
        <v>108</v>
      </c>
      <c r="G119" s="20" t="s">
        <v>167</v>
      </c>
      <c r="H119" s="46">
        <v>720.0</v>
      </c>
      <c r="I119" s="47">
        <v>36.0</v>
      </c>
      <c r="J119" s="20" t="s">
        <v>161</v>
      </c>
      <c r="K119" s="48">
        <v>4.1</v>
      </c>
      <c r="L119" s="20" t="s">
        <v>162</v>
      </c>
      <c r="M119" s="20" t="str">
        <f t="shared" si="1"/>
        <v>Moderate</v>
      </c>
      <c r="N119" s="20" t="s">
        <v>350</v>
      </c>
      <c r="O119" s="20">
        <f>'Priority Scoring'!B119</f>
        <v>3</v>
      </c>
      <c r="P119" s="49">
        <f>'Priority Scoring'!I119</f>
        <v>68</v>
      </c>
      <c r="Q119" s="20" t="str">
        <f>'Priority Scoring'!J119</f>
        <v>Medium</v>
      </c>
      <c r="R119" s="20" t="s">
        <v>351</v>
      </c>
      <c r="S119" s="20" t="s">
        <v>198</v>
      </c>
      <c r="T119" s="20" t="s">
        <v>239</v>
      </c>
    </row>
    <row r="120" ht="15.75" customHeight="1">
      <c r="A120" s="18" t="s">
        <v>358</v>
      </c>
      <c r="B120" s="18" t="s">
        <v>318</v>
      </c>
      <c r="C120" s="18" t="s">
        <v>320</v>
      </c>
      <c r="D120" s="18" t="s">
        <v>349</v>
      </c>
      <c r="E120" s="18" t="s">
        <v>116</v>
      </c>
      <c r="F120" s="18" t="s">
        <v>108</v>
      </c>
      <c r="G120" s="18" t="s">
        <v>167</v>
      </c>
      <c r="H120" s="42">
        <v>480.0</v>
      </c>
      <c r="I120" s="43">
        <v>34.0</v>
      </c>
      <c r="J120" s="18" t="s">
        <v>161</v>
      </c>
      <c r="K120" s="44">
        <v>4.4</v>
      </c>
      <c r="L120" s="18" t="s">
        <v>162</v>
      </c>
      <c r="M120" s="18" t="str">
        <f t="shared" si="1"/>
        <v>Moderate</v>
      </c>
      <c r="N120" s="18" t="s">
        <v>350</v>
      </c>
      <c r="O120" s="18">
        <f>'Priority Scoring'!B120</f>
        <v>3</v>
      </c>
      <c r="P120" s="45">
        <f>'Priority Scoring'!I120</f>
        <v>69</v>
      </c>
      <c r="Q120" s="18" t="str">
        <f>'Priority Scoring'!J120</f>
        <v>Medium</v>
      </c>
      <c r="R120" s="18" t="s">
        <v>351</v>
      </c>
      <c r="S120" s="18" t="s">
        <v>198</v>
      </c>
      <c r="T120" s="18" t="s">
        <v>239</v>
      </c>
    </row>
    <row r="121" ht="15.75" customHeight="1">
      <c r="A121" s="20" t="s">
        <v>359</v>
      </c>
      <c r="B121" s="20" t="s">
        <v>112</v>
      </c>
      <c r="C121" s="20" t="s">
        <v>320</v>
      </c>
      <c r="D121" s="20" t="s">
        <v>360</v>
      </c>
      <c r="E121" s="20" t="s">
        <v>112</v>
      </c>
      <c r="F121" s="20" t="s">
        <v>106</v>
      </c>
      <c r="G121" s="20" t="s">
        <v>160</v>
      </c>
      <c r="H121" s="46">
        <v>6600.0</v>
      </c>
      <c r="I121" s="47">
        <v>30.0</v>
      </c>
      <c r="J121" s="20" t="s">
        <v>161</v>
      </c>
      <c r="K121" s="48">
        <v>2.4</v>
      </c>
      <c r="L121" s="20" t="s">
        <v>162</v>
      </c>
      <c r="M121" s="20" t="str">
        <f t="shared" si="1"/>
        <v>Moderate</v>
      </c>
      <c r="N121" s="20" t="s">
        <v>361</v>
      </c>
      <c r="O121" s="20">
        <f>'Priority Scoring'!B121</f>
        <v>3</v>
      </c>
      <c r="P121" s="49">
        <f>'Priority Scoring'!I121</f>
        <v>63</v>
      </c>
      <c r="Q121" s="20" t="str">
        <f>'Priority Scoring'!J121</f>
        <v>Medium</v>
      </c>
      <c r="R121" s="20" t="s">
        <v>362</v>
      </c>
      <c r="S121" s="20" t="s">
        <v>198</v>
      </c>
      <c r="T121" s="20" t="s">
        <v>239</v>
      </c>
    </row>
    <row r="122" ht="15.75" customHeight="1">
      <c r="A122" s="18" t="s">
        <v>363</v>
      </c>
      <c r="B122" s="18" t="s">
        <v>112</v>
      </c>
      <c r="C122" s="18" t="s">
        <v>320</v>
      </c>
      <c r="D122" s="18" t="s">
        <v>360</v>
      </c>
      <c r="E122" s="18" t="s">
        <v>112</v>
      </c>
      <c r="F122" s="18" t="s">
        <v>106</v>
      </c>
      <c r="G122" s="18" t="s">
        <v>167</v>
      </c>
      <c r="H122" s="42">
        <v>4400.0</v>
      </c>
      <c r="I122" s="43">
        <v>26.0</v>
      </c>
      <c r="J122" s="18" t="s">
        <v>161</v>
      </c>
      <c r="K122" s="44">
        <v>1.9</v>
      </c>
      <c r="L122" s="18" t="s">
        <v>162</v>
      </c>
      <c r="M122" s="18" t="str">
        <f t="shared" si="1"/>
        <v>Moderate</v>
      </c>
      <c r="N122" s="18" t="s">
        <v>361</v>
      </c>
      <c r="O122" s="18">
        <f>'Priority Scoring'!B122</f>
        <v>3</v>
      </c>
      <c r="P122" s="45">
        <f>'Priority Scoring'!I122</f>
        <v>63</v>
      </c>
      <c r="Q122" s="18" t="str">
        <f>'Priority Scoring'!J122</f>
        <v>Medium</v>
      </c>
      <c r="R122" s="18" t="s">
        <v>362</v>
      </c>
      <c r="S122" s="18" t="s">
        <v>198</v>
      </c>
      <c r="T122" s="18" t="s">
        <v>239</v>
      </c>
    </row>
    <row r="123" ht="15.75" customHeight="1">
      <c r="A123" s="20" t="s">
        <v>364</v>
      </c>
      <c r="B123" s="20" t="s">
        <v>180</v>
      </c>
      <c r="C123" s="20" t="s">
        <v>320</v>
      </c>
      <c r="D123" s="20" t="s">
        <v>360</v>
      </c>
      <c r="E123" s="20" t="s">
        <v>112</v>
      </c>
      <c r="F123" s="20" t="s">
        <v>106</v>
      </c>
      <c r="G123" s="20" t="s">
        <v>167</v>
      </c>
      <c r="H123" s="46">
        <v>1900.0</v>
      </c>
      <c r="I123" s="47">
        <v>22.0</v>
      </c>
      <c r="J123" s="20" t="s">
        <v>161</v>
      </c>
      <c r="K123" s="48">
        <v>2.1</v>
      </c>
      <c r="L123" s="20" t="s">
        <v>162</v>
      </c>
      <c r="M123" s="20" t="str">
        <f t="shared" si="1"/>
        <v>Moderate</v>
      </c>
      <c r="N123" s="20" t="s">
        <v>361</v>
      </c>
      <c r="O123" s="20">
        <f>'Priority Scoring'!B123</f>
        <v>3</v>
      </c>
      <c r="P123" s="49">
        <f>'Priority Scoring'!I123</f>
        <v>63</v>
      </c>
      <c r="Q123" s="20" t="str">
        <f>'Priority Scoring'!J123</f>
        <v>Medium</v>
      </c>
      <c r="R123" s="20" t="s">
        <v>362</v>
      </c>
      <c r="S123" s="20" t="s">
        <v>198</v>
      </c>
      <c r="T123" s="20" t="s">
        <v>239</v>
      </c>
    </row>
    <row r="124" ht="15.75" customHeight="1">
      <c r="A124" s="18" t="s">
        <v>365</v>
      </c>
      <c r="B124" s="18" t="s">
        <v>116</v>
      </c>
      <c r="C124" s="18" t="s">
        <v>320</v>
      </c>
      <c r="D124" s="18" t="s">
        <v>360</v>
      </c>
      <c r="E124" s="18" t="s">
        <v>116</v>
      </c>
      <c r="F124" s="18" t="s">
        <v>108</v>
      </c>
      <c r="G124" s="18" t="s">
        <v>167</v>
      </c>
      <c r="H124" s="42">
        <v>9900.0</v>
      </c>
      <c r="I124" s="43">
        <v>44.0</v>
      </c>
      <c r="J124" s="18" t="s">
        <v>161</v>
      </c>
      <c r="K124" s="44">
        <v>3.1</v>
      </c>
      <c r="L124" s="18" t="s">
        <v>162</v>
      </c>
      <c r="M124" s="18" t="str">
        <f t="shared" si="1"/>
        <v>Competitive</v>
      </c>
      <c r="N124" s="18" t="s">
        <v>361</v>
      </c>
      <c r="O124" s="18">
        <f>'Priority Scoring'!B124</f>
        <v>3</v>
      </c>
      <c r="P124" s="45">
        <f>'Priority Scoring'!I124</f>
        <v>71</v>
      </c>
      <c r="Q124" s="18" t="str">
        <f>'Priority Scoring'!J124</f>
        <v>Medium</v>
      </c>
      <c r="R124" s="18" t="s">
        <v>362</v>
      </c>
      <c r="S124" s="18" t="s">
        <v>198</v>
      </c>
      <c r="T124" s="18" t="s">
        <v>239</v>
      </c>
    </row>
    <row r="125" ht="15.75" customHeight="1">
      <c r="A125" s="20" t="s">
        <v>366</v>
      </c>
      <c r="B125" s="20" t="s">
        <v>116</v>
      </c>
      <c r="C125" s="20" t="s">
        <v>320</v>
      </c>
      <c r="D125" s="20" t="s">
        <v>360</v>
      </c>
      <c r="E125" s="20" t="s">
        <v>116</v>
      </c>
      <c r="F125" s="20" t="s">
        <v>108</v>
      </c>
      <c r="G125" s="20" t="s">
        <v>167</v>
      </c>
      <c r="H125" s="46">
        <v>1600.0</v>
      </c>
      <c r="I125" s="47">
        <v>38.0</v>
      </c>
      <c r="J125" s="20" t="s">
        <v>161</v>
      </c>
      <c r="K125" s="48">
        <v>7.8</v>
      </c>
      <c r="L125" s="20" t="s">
        <v>162</v>
      </c>
      <c r="M125" s="20" t="str">
        <f t="shared" si="1"/>
        <v>Moderate</v>
      </c>
      <c r="N125" s="20" t="s">
        <v>361</v>
      </c>
      <c r="O125" s="20">
        <f>'Priority Scoring'!B125</f>
        <v>3</v>
      </c>
      <c r="P125" s="49">
        <f>'Priority Scoring'!I125</f>
        <v>71</v>
      </c>
      <c r="Q125" s="20" t="str">
        <f>'Priority Scoring'!J125</f>
        <v>Medium</v>
      </c>
      <c r="R125" s="20" t="s">
        <v>362</v>
      </c>
      <c r="S125" s="20" t="s">
        <v>198</v>
      </c>
      <c r="T125" s="20" t="s">
        <v>239</v>
      </c>
    </row>
    <row r="126" ht="15.75" customHeight="1">
      <c r="A126" s="18" t="s">
        <v>367</v>
      </c>
      <c r="B126" s="18" t="s">
        <v>248</v>
      </c>
      <c r="C126" s="18" t="s">
        <v>320</v>
      </c>
      <c r="D126" s="18" t="s">
        <v>360</v>
      </c>
      <c r="E126" s="18" t="s">
        <v>112</v>
      </c>
      <c r="F126" s="18" t="s">
        <v>106</v>
      </c>
      <c r="G126" s="18" t="s">
        <v>167</v>
      </c>
      <c r="H126" s="42">
        <v>1300.0</v>
      </c>
      <c r="I126" s="43">
        <v>28.0</v>
      </c>
      <c r="J126" s="18" t="s">
        <v>161</v>
      </c>
      <c r="K126" s="44">
        <v>3.2</v>
      </c>
      <c r="L126" s="18" t="s">
        <v>162</v>
      </c>
      <c r="M126" s="18" t="str">
        <f t="shared" si="1"/>
        <v>Moderate</v>
      </c>
      <c r="N126" s="18" t="s">
        <v>361</v>
      </c>
      <c r="O126" s="18">
        <f>'Priority Scoring'!B126</f>
        <v>3</v>
      </c>
      <c r="P126" s="45">
        <f>'Priority Scoring'!I126</f>
        <v>63</v>
      </c>
      <c r="Q126" s="18" t="str">
        <f>'Priority Scoring'!J126</f>
        <v>Medium</v>
      </c>
      <c r="R126" s="18" t="s">
        <v>362</v>
      </c>
      <c r="S126" s="18" t="s">
        <v>198</v>
      </c>
      <c r="T126" s="18" t="s">
        <v>239</v>
      </c>
    </row>
    <row r="127" ht="15.75" customHeight="1">
      <c r="A127" s="20" t="s">
        <v>368</v>
      </c>
      <c r="B127" s="20" t="s">
        <v>180</v>
      </c>
      <c r="C127" s="20" t="s">
        <v>320</v>
      </c>
      <c r="D127" s="20" t="s">
        <v>360</v>
      </c>
      <c r="E127" s="20" t="s">
        <v>112</v>
      </c>
      <c r="F127" s="20" t="s">
        <v>106</v>
      </c>
      <c r="G127" s="20" t="s">
        <v>167</v>
      </c>
      <c r="H127" s="46">
        <v>880.0</v>
      </c>
      <c r="I127" s="47">
        <v>20.0</v>
      </c>
      <c r="J127" s="20" t="s">
        <v>161</v>
      </c>
      <c r="K127" s="48">
        <v>2.0</v>
      </c>
      <c r="L127" s="20" t="s">
        <v>162</v>
      </c>
      <c r="M127" s="20" t="str">
        <f t="shared" si="1"/>
        <v>Easy</v>
      </c>
      <c r="N127" s="20" t="s">
        <v>361</v>
      </c>
      <c r="O127" s="20">
        <f>'Priority Scoring'!B127</f>
        <v>3</v>
      </c>
      <c r="P127" s="49">
        <f>'Priority Scoring'!I127</f>
        <v>64</v>
      </c>
      <c r="Q127" s="20" t="str">
        <f>'Priority Scoring'!J127</f>
        <v>Medium</v>
      </c>
      <c r="R127" s="20" t="s">
        <v>362</v>
      </c>
      <c r="S127" s="20" t="s">
        <v>198</v>
      </c>
      <c r="T127" s="20" t="s">
        <v>239</v>
      </c>
    </row>
    <row r="128" ht="15.75" customHeight="1">
      <c r="A128" s="18" t="s">
        <v>369</v>
      </c>
      <c r="B128" s="18" t="s">
        <v>112</v>
      </c>
      <c r="C128" s="18" t="s">
        <v>320</v>
      </c>
      <c r="D128" s="18" t="s">
        <v>360</v>
      </c>
      <c r="E128" s="18" t="s">
        <v>112</v>
      </c>
      <c r="F128" s="18" t="s">
        <v>106</v>
      </c>
      <c r="G128" s="18" t="s">
        <v>167</v>
      </c>
      <c r="H128" s="42">
        <v>3600.0</v>
      </c>
      <c r="I128" s="43">
        <v>24.0</v>
      </c>
      <c r="J128" s="18" t="s">
        <v>161</v>
      </c>
      <c r="K128" s="44">
        <v>1.5</v>
      </c>
      <c r="L128" s="18" t="s">
        <v>162</v>
      </c>
      <c r="M128" s="18" t="str">
        <f t="shared" si="1"/>
        <v>Moderate</v>
      </c>
      <c r="N128" s="18" t="s">
        <v>361</v>
      </c>
      <c r="O128" s="18">
        <f>'Priority Scoring'!B128</f>
        <v>3</v>
      </c>
      <c r="P128" s="45">
        <f>'Priority Scoring'!I128</f>
        <v>63</v>
      </c>
      <c r="Q128" s="18" t="str">
        <f>'Priority Scoring'!J128</f>
        <v>Medium</v>
      </c>
      <c r="R128" s="18" t="s">
        <v>362</v>
      </c>
      <c r="S128" s="18" t="s">
        <v>198</v>
      </c>
      <c r="T128" s="18" t="s">
        <v>239</v>
      </c>
    </row>
    <row r="129" ht="15.75" customHeight="1">
      <c r="A129" s="20" t="s">
        <v>370</v>
      </c>
      <c r="B129" s="20" t="s">
        <v>172</v>
      </c>
      <c r="C129" s="20" t="s">
        <v>371</v>
      </c>
      <c r="D129" s="20" t="s">
        <v>372</v>
      </c>
      <c r="E129" s="20" t="s">
        <v>118</v>
      </c>
      <c r="F129" s="20" t="s">
        <v>110</v>
      </c>
      <c r="G129" s="20" t="s">
        <v>160</v>
      </c>
      <c r="H129" s="46">
        <v>210.0</v>
      </c>
      <c r="I129" s="47">
        <v>34.0</v>
      </c>
      <c r="J129" s="20" t="s">
        <v>161</v>
      </c>
      <c r="K129" s="48">
        <v>7.9</v>
      </c>
      <c r="L129" s="20" t="s">
        <v>162</v>
      </c>
      <c r="M129" s="20" t="str">
        <f t="shared" si="1"/>
        <v>Moderate</v>
      </c>
      <c r="N129" s="20" t="s">
        <v>285</v>
      </c>
      <c r="O129" s="20">
        <f>'Priority Scoring'!B129</f>
        <v>4</v>
      </c>
      <c r="P129" s="49">
        <f>'Priority Scoring'!I129</f>
        <v>85</v>
      </c>
      <c r="Q129" s="20" t="str">
        <f>'Priority Scoring'!J129</f>
        <v>High</v>
      </c>
      <c r="R129" s="20" t="s">
        <v>373</v>
      </c>
      <c r="S129" s="20" t="s">
        <v>165</v>
      </c>
      <c r="T129" s="20" t="s">
        <v>168</v>
      </c>
    </row>
    <row r="130" ht="15.75" customHeight="1">
      <c r="A130" s="18" t="s">
        <v>374</v>
      </c>
      <c r="B130" s="18" t="s">
        <v>172</v>
      </c>
      <c r="C130" s="18" t="s">
        <v>371</v>
      </c>
      <c r="D130" s="18" t="s">
        <v>372</v>
      </c>
      <c r="E130" s="18" t="s">
        <v>118</v>
      </c>
      <c r="F130" s="18" t="s">
        <v>110</v>
      </c>
      <c r="G130" s="18" t="s">
        <v>167</v>
      </c>
      <c r="H130" s="42">
        <v>140.0</v>
      </c>
      <c r="I130" s="43">
        <v>32.0</v>
      </c>
      <c r="J130" s="18" t="s">
        <v>161</v>
      </c>
      <c r="K130" s="44">
        <v>8.1</v>
      </c>
      <c r="L130" s="18" t="s">
        <v>162</v>
      </c>
      <c r="M130" s="18" t="str">
        <f t="shared" si="1"/>
        <v>Moderate</v>
      </c>
      <c r="N130" s="18" t="s">
        <v>285</v>
      </c>
      <c r="O130" s="18">
        <f>'Priority Scoring'!B130</f>
        <v>4</v>
      </c>
      <c r="P130" s="45">
        <f>'Priority Scoring'!I130</f>
        <v>82</v>
      </c>
      <c r="Q130" s="18" t="str">
        <f>'Priority Scoring'!J130</f>
        <v>High</v>
      </c>
      <c r="R130" s="18" t="s">
        <v>373</v>
      </c>
      <c r="S130" s="18" t="s">
        <v>165</v>
      </c>
      <c r="T130" s="18" t="s">
        <v>168</v>
      </c>
    </row>
    <row r="131" ht="15.75" customHeight="1">
      <c r="A131" s="20" t="s">
        <v>375</v>
      </c>
      <c r="B131" s="20" t="s">
        <v>248</v>
      </c>
      <c r="C131" s="20" t="s">
        <v>371</v>
      </c>
      <c r="D131" s="20" t="s">
        <v>372</v>
      </c>
      <c r="E131" s="20" t="s">
        <v>118</v>
      </c>
      <c r="F131" s="20" t="s">
        <v>110</v>
      </c>
      <c r="G131" s="20" t="s">
        <v>167</v>
      </c>
      <c r="H131" s="46">
        <v>110.0</v>
      </c>
      <c r="I131" s="47">
        <v>30.0</v>
      </c>
      <c r="J131" s="20" t="s">
        <v>161</v>
      </c>
      <c r="K131" s="48">
        <v>8.8</v>
      </c>
      <c r="L131" s="20" t="s">
        <v>162</v>
      </c>
      <c r="M131" s="20" t="str">
        <f t="shared" si="1"/>
        <v>Moderate</v>
      </c>
      <c r="N131" s="20" t="s">
        <v>285</v>
      </c>
      <c r="O131" s="20">
        <f>'Priority Scoring'!B131</f>
        <v>4</v>
      </c>
      <c r="P131" s="49">
        <f>'Priority Scoring'!I131</f>
        <v>82</v>
      </c>
      <c r="Q131" s="20" t="str">
        <f>'Priority Scoring'!J131</f>
        <v>High</v>
      </c>
      <c r="R131" s="20" t="s">
        <v>373</v>
      </c>
      <c r="S131" s="20" t="s">
        <v>165</v>
      </c>
      <c r="T131" s="20" t="s">
        <v>168</v>
      </c>
    </row>
    <row r="132" ht="15.75" customHeight="1">
      <c r="A132" s="18" t="s">
        <v>376</v>
      </c>
      <c r="B132" s="18" t="s">
        <v>172</v>
      </c>
      <c r="C132" s="18" t="s">
        <v>371</v>
      </c>
      <c r="D132" s="18" t="s">
        <v>372</v>
      </c>
      <c r="E132" s="18" t="s">
        <v>118</v>
      </c>
      <c r="F132" s="18" t="s">
        <v>110</v>
      </c>
      <c r="G132" s="18" t="s">
        <v>167</v>
      </c>
      <c r="H132" s="42">
        <v>90.0</v>
      </c>
      <c r="I132" s="43">
        <v>24.0</v>
      </c>
      <c r="J132" s="18" t="s">
        <v>161</v>
      </c>
      <c r="K132" s="44">
        <v>7.2</v>
      </c>
      <c r="L132" s="18" t="s">
        <v>162</v>
      </c>
      <c r="M132" s="18" t="str">
        <f t="shared" si="1"/>
        <v>Moderate</v>
      </c>
      <c r="N132" s="18" t="s">
        <v>285</v>
      </c>
      <c r="O132" s="18">
        <f>'Priority Scoring'!B132</f>
        <v>4</v>
      </c>
      <c r="P132" s="45">
        <f>'Priority Scoring'!I132</f>
        <v>82</v>
      </c>
      <c r="Q132" s="18" t="str">
        <f>'Priority Scoring'!J132</f>
        <v>High</v>
      </c>
      <c r="R132" s="18" t="s">
        <v>373</v>
      </c>
      <c r="S132" s="18" t="s">
        <v>165</v>
      </c>
      <c r="T132" s="18" t="s">
        <v>168</v>
      </c>
    </row>
    <row r="133" ht="15.75" customHeight="1">
      <c r="A133" s="20" t="s">
        <v>377</v>
      </c>
      <c r="B133" s="20" t="s">
        <v>180</v>
      </c>
      <c r="C133" s="20" t="s">
        <v>371</v>
      </c>
      <c r="D133" s="20" t="s">
        <v>372</v>
      </c>
      <c r="E133" s="20" t="s">
        <v>118</v>
      </c>
      <c r="F133" s="20" t="s">
        <v>110</v>
      </c>
      <c r="G133" s="20" t="s">
        <v>167</v>
      </c>
      <c r="H133" s="46">
        <v>70.0</v>
      </c>
      <c r="I133" s="47">
        <v>22.0</v>
      </c>
      <c r="J133" s="20" t="s">
        <v>161</v>
      </c>
      <c r="K133" s="48">
        <v>7.0</v>
      </c>
      <c r="L133" s="20" t="s">
        <v>162</v>
      </c>
      <c r="M133" s="20" t="str">
        <f t="shared" si="1"/>
        <v>Moderate</v>
      </c>
      <c r="N133" s="20" t="s">
        <v>285</v>
      </c>
      <c r="O133" s="20">
        <f>'Priority Scoring'!B133</f>
        <v>4</v>
      </c>
      <c r="P133" s="49">
        <f>'Priority Scoring'!I133</f>
        <v>79</v>
      </c>
      <c r="Q133" s="20" t="str">
        <f>'Priority Scoring'!J133</f>
        <v>High</v>
      </c>
      <c r="R133" s="20" t="s">
        <v>373</v>
      </c>
      <c r="S133" s="20" t="s">
        <v>165</v>
      </c>
      <c r="T133" s="20" t="s">
        <v>168</v>
      </c>
    </row>
    <row r="134" ht="15.75" customHeight="1">
      <c r="A134" s="18" t="s">
        <v>378</v>
      </c>
      <c r="B134" s="18" t="s">
        <v>172</v>
      </c>
      <c r="C134" s="18" t="s">
        <v>371</v>
      </c>
      <c r="D134" s="18" t="s">
        <v>372</v>
      </c>
      <c r="E134" s="18" t="s">
        <v>118</v>
      </c>
      <c r="F134" s="18" t="s">
        <v>110</v>
      </c>
      <c r="G134" s="18" t="s">
        <v>167</v>
      </c>
      <c r="H134" s="42">
        <v>880.0</v>
      </c>
      <c r="I134" s="43">
        <v>52.0</v>
      </c>
      <c r="J134" s="18" t="s">
        <v>161</v>
      </c>
      <c r="K134" s="44">
        <v>7.2</v>
      </c>
      <c r="L134" s="18" t="s">
        <v>162</v>
      </c>
      <c r="M134" s="18" t="str">
        <f t="shared" si="1"/>
        <v>Competitive</v>
      </c>
      <c r="N134" s="18" t="s">
        <v>285</v>
      </c>
      <c r="O134" s="18">
        <f>'Priority Scoring'!B134</f>
        <v>4</v>
      </c>
      <c r="P134" s="45">
        <f>'Priority Scoring'!I134</f>
        <v>80</v>
      </c>
      <c r="Q134" s="18" t="str">
        <f>'Priority Scoring'!J134</f>
        <v>High</v>
      </c>
      <c r="R134" s="18" t="s">
        <v>373</v>
      </c>
      <c r="S134" s="18" t="s">
        <v>165</v>
      </c>
      <c r="T134" s="18" t="s">
        <v>239</v>
      </c>
    </row>
    <row r="135" ht="15.75" customHeight="1">
      <c r="A135" s="20" t="s">
        <v>379</v>
      </c>
      <c r="B135" s="20" t="s">
        <v>172</v>
      </c>
      <c r="C135" s="20" t="s">
        <v>371</v>
      </c>
      <c r="D135" s="20" t="s">
        <v>372</v>
      </c>
      <c r="E135" s="20" t="s">
        <v>118</v>
      </c>
      <c r="F135" s="20" t="s">
        <v>110</v>
      </c>
      <c r="G135" s="20" t="s">
        <v>167</v>
      </c>
      <c r="H135" s="46">
        <v>50.0</v>
      </c>
      <c r="I135" s="47">
        <v>18.0</v>
      </c>
      <c r="J135" s="20" t="s">
        <v>161</v>
      </c>
      <c r="K135" s="48">
        <v>6.9</v>
      </c>
      <c r="L135" s="20" t="s">
        <v>162</v>
      </c>
      <c r="M135" s="20" t="str">
        <f t="shared" si="1"/>
        <v>Easy</v>
      </c>
      <c r="N135" s="20" t="s">
        <v>285</v>
      </c>
      <c r="O135" s="20">
        <f>'Priority Scoring'!B135</f>
        <v>4</v>
      </c>
      <c r="P135" s="49">
        <f>'Priority Scoring'!I135</f>
        <v>83</v>
      </c>
      <c r="Q135" s="20" t="str">
        <f>'Priority Scoring'!J135</f>
        <v>High</v>
      </c>
      <c r="R135" s="20" t="s">
        <v>373</v>
      </c>
      <c r="S135" s="20" t="s">
        <v>165</v>
      </c>
      <c r="T135" s="20" t="s">
        <v>168</v>
      </c>
    </row>
    <row r="136" ht="15.75" customHeight="1">
      <c r="A136" s="18" t="s">
        <v>380</v>
      </c>
      <c r="B136" s="18" t="s">
        <v>172</v>
      </c>
      <c r="C136" s="18" t="s">
        <v>371</v>
      </c>
      <c r="D136" s="18" t="s">
        <v>372</v>
      </c>
      <c r="E136" s="18" t="s">
        <v>118</v>
      </c>
      <c r="F136" s="18" t="s">
        <v>110</v>
      </c>
      <c r="G136" s="18" t="s">
        <v>167</v>
      </c>
      <c r="H136" s="42">
        <v>60.0</v>
      </c>
      <c r="I136" s="43">
        <v>24.0</v>
      </c>
      <c r="J136" s="18" t="s">
        <v>161</v>
      </c>
      <c r="K136" s="44">
        <v>6.5</v>
      </c>
      <c r="L136" s="18" t="s">
        <v>162</v>
      </c>
      <c r="M136" s="18" t="str">
        <f t="shared" si="1"/>
        <v>Moderate</v>
      </c>
      <c r="N136" s="18" t="s">
        <v>285</v>
      </c>
      <c r="O136" s="18">
        <f>'Priority Scoring'!B136</f>
        <v>4</v>
      </c>
      <c r="P136" s="45">
        <f>'Priority Scoring'!I136</f>
        <v>79</v>
      </c>
      <c r="Q136" s="18" t="str">
        <f>'Priority Scoring'!J136</f>
        <v>High</v>
      </c>
      <c r="R136" s="18" t="s">
        <v>373</v>
      </c>
      <c r="S136" s="18" t="s">
        <v>165</v>
      </c>
      <c r="T136" s="18" t="s">
        <v>168</v>
      </c>
    </row>
    <row r="137" ht="15.75" customHeight="1">
      <c r="A137" s="20" t="s">
        <v>381</v>
      </c>
      <c r="B137" s="20" t="s">
        <v>172</v>
      </c>
      <c r="C137" s="20" t="s">
        <v>371</v>
      </c>
      <c r="D137" s="20" t="s">
        <v>372</v>
      </c>
      <c r="E137" s="20" t="s">
        <v>118</v>
      </c>
      <c r="F137" s="20" t="s">
        <v>110</v>
      </c>
      <c r="G137" s="20" t="s">
        <v>167</v>
      </c>
      <c r="H137" s="46">
        <v>70.0</v>
      </c>
      <c r="I137" s="47">
        <v>26.0</v>
      </c>
      <c r="J137" s="20" t="s">
        <v>161</v>
      </c>
      <c r="K137" s="48">
        <v>6.8</v>
      </c>
      <c r="L137" s="20" t="s">
        <v>162</v>
      </c>
      <c r="M137" s="20" t="str">
        <f t="shared" si="1"/>
        <v>Moderate</v>
      </c>
      <c r="N137" s="20" t="s">
        <v>285</v>
      </c>
      <c r="O137" s="20">
        <f>'Priority Scoring'!B137</f>
        <v>4</v>
      </c>
      <c r="P137" s="49">
        <f>'Priority Scoring'!I137</f>
        <v>79</v>
      </c>
      <c r="Q137" s="20" t="str">
        <f>'Priority Scoring'!J137</f>
        <v>High</v>
      </c>
      <c r="R137" s="20" t="s">
        <v>373</v>
      </c>
      <c r="S137" s="20" t="s">
        <v>165</v>
      </c>
      <c r="T137" s="20" t="s">
        <v>168</v>
      </c>
    </row>
    <row r="138" ht="15.75" customHeight="1">
      <c r="A138" s="18" t="s">
        <v>382</v>
      </c>
      <c r="B138" s="18" t="s">
        <v>116</v>
      </c>
      <c r="C138" s="18" t="s">
        <v>371</v>
      </c>
      <c r="D138" s="18" t="s">
        <v>372</v>
      </c>
      <c r="E138" s="18" t="s">
        <v>116</v>
      </c>
      <c r="F138" s="18" t="s">
        <v>108</v>
      </c>
      <c r="G138" s="18" t="s">
        <v>167</v>
      </c>
      <c r="H138" s="42">
        <v>4400.0</v>
      </c>
      <c r="I138" s="43">
        <v>34.0</v>
      </c>
      <c r="J138" s="18" t="s">
        <v>161</v>
      </c>
      <c r="K138" s="44">
        <v>3.6</v>
      </c>
      <c r="L138" s="18" t="s">
        <v>162</v>
      </c>
      <c r="M138" s="18" t="str">
        <f t="shared" si="1"/>
        <v>Moderate</v>
      </c>
      <c r="N138" s="18" t="s">
        <v>285</v>
      </c>
      <c r="O138" s="18">
        <f>'Priority Scoring'!B138</f>
        <v>4</v>
      </c>
      <c r="P138" s="45">
        <f>'Priority Scoring'!I138</f>
        <v>82</v>
      </c>
      <c r="Q138" s="18" t="str">
        <f>'Priority Scoring'!J138</f>
        <v>High</v>
      </c>
      <c r="R138" s="18" t="s">
        <v>373</v>
      </c>
      <c r="S138" s="18" t="s">
        <v>165</v>
      </c>
      <c r="T138" s="18" t="s">
        <v>239</v>
      </c>
    </row>
    <row r="139" ht="15.75" customHeight="1">
      <c r="A139" s="20" t="s">
        <v>383</v>
      </c>
      <c r="B139" s="20" t="s">
        <v>248</v>
      </c>
      <c r="C139" s="20" t="s">
        <v>371</v>
      </c>
      <c r="D139" s="20" t="s">
        <v>384</v>
      </c>
      <c r="E139" s="20" t="s">
        <v>112</v>
      </c>
      <c r="F139" s="20" t="s">
        <v>106</v>
      </c>
      <c r="G139" s="20" t="s">
        <v>160</v>
      </c>
      <c r="H139" s="46">
        <v>3600.0</v>
      </c>
      <c r="I139" s="47">
        <v>26.0</v>
      </c>
      <c r="J139" s="20" t="s">
        <v>161</v>
      </c>
      <c r="K139" s="48">
        <v>1.8</v>
      </c>
      <c r="L139" s="20" t="s">
        <v>162</v>
      </c>
      <c r="M139" s="20" t="str">
        <f t="shared" si="1"/>
        <v>Moderate</v>
      </c>
      <c r="N139" s="20" t="s">
        <v>310</v>
      </c>
      <c r="O139" s="20">
        <f>'Priority Scoring'!B139</f>
        <v>2</v>
      </c>
      <c r="P139" s="49">
        <f>'Priority Scoring'!I139</f>
        <v>58</v>
      </c>
      <c r="Q139" s="20" t="str">
        <f>'Priority Scoring'!J139</f>
        <v>Low</v>
      </c>
      <c r="R139" s="20" t="s">
        <v>385</v>
      </c>
      <c r="S139" s="20" t="s">
        <v>198</v>
      </c>
      <c r="T139" s="20" t="s">
        <v>239</v>
      </c>
    </row>
    <row r="140" ht="15.75" customHeight="1">
      <c r="A140" s="18" t="s">
        <v>386</v>
      </c>
      <c r="B140" s="18" t="s">
        <v>318</v>
      </c>
      <c r="C140" s="18" t="s">
        <v>371</v>
      </c>
      <c r="D140" s="18" t="s">
        <v>384</v>
      </c>
      <c r="E140" s="18" t="s">
        <v>116</v>
      </c>
      <c r="F140" s="18" t="s">
        <v>108</v>
      </c>
      <c r="G140" s="18" t="s">
        <v>167</v>
      </c>
      <c r="H140" s="42">
        <v>1900.0</v>
      </c>
      <c r="I140" s="43">
        <v>28.0</v>
      </c>
      <c r="J140" s="18" t="s">
        <v>161</v>
      </c>
      <c r="K140" s="44">
        <v>2.4</v>
      </c>
      <c r="L140" s="18" t="s">
        <v>162</v>
      </c>
      <c r="M140" s="18" t="str">
        <f t="shared" si="1"/>
        <v>Moderate</v>
      </c>
      <c r="N140" s="18" t="s">
        <v>310</v>
      </c>
      <c r="O140" s="18">
        <f>'Priority Scoring'!B140</f>
        <v>2</v>
      </c>
      <c r="P140" s="45">
        <f>'Priority Scoring'!I140</f>
        <v>70</v>
      </c>
      <c r="Q140" s="18" t="str">
        <f>'Priority Scoring'!J140</f>
        <v>Medium</v>
      </c>
      <c r="R140" s="18" t="s">
        <v>385</v>
      </c>
      <c r="S140" s="18" t="s">
        <v>198</v>
      </c>
      <c r="T140" s="18" t="s">
        <v>239</v>
      </c>
    </row>
    <row r="141" ht="15.75" customHeight="1">
      <c r="A141" s="20" t="s">
        <v>387</v>
      </c>
      <c r="B141" s="20" t="s">
        <v>112</v>
      </c>
      <c r="C141" s="20" t="s">
        <v>371</v>
      </c>
      <c r="D141" s="20" t="s">
        <v>384</v>
      </c>
      <c r="E141" s="20" t="s">
        <v>112</v>
      </c>
      <c r="F141" s="20" t="s">
        <v>106</v>
      </c>
      <c r="G141" s="20" t="s">
        <v>167</v>
      </c>
      <c r="H141" s="46">
        <v>2900.0</v>
      </c>
      <c r="I141" s="47">
        <v>24.0</v>
      </c>
      <c r="J141" s="20" t="s">
        <v>161</v>
      </c>
      <c r="K141" s="48">
        <v>1.5</v>
      </c>
      <c r="L141" s="20" t="s">
        <v>162</v>
      </c>
      <c r="M141" s="20" t="str">
        <f t="shared" si="1"/>
        <v>Moderate</v>
      </c>
      <c r="N141" s="20" t="s">
        <v>310</v>
      </c>
      <c r="O141" s="20">
        <f>'Priority Scoring'!B141</f>
        <v>2</v>
      </c>
      <c r="P141" s="49">
        <f>'Priority Scoring'!I141</f>
        <v>58</v>
      </c>
      <c r="Q141" s="20" t="str">
        <f>'Priority Scoring'!J141</f>
        <v>Low</v>
      </c>
      <c r="R141" s="20" t="s">
        <v>385</v>
      </c>
      <c r="S141" s="20" t="s">
        <v>198</v>
      </c>
      <c r="T141" s="20" t="s">
        <v>239</v>
      </c>
    </row>
    <row r="142" ht="15.75" customHeight="1">
      <c r="A142" s="18" t="s">
        <v>388</v>
      </c>
      <c r="B142" s="18" t="s">
        <v>248</v>
      </c>
      <c r="C142" s="18" t="s">
        <v>371</v>
      </c>
      <c r="D142" s="18" t="s">
        <v>384</v>
      </c>
      <c r="E142" s="18" t="s">
        <v>112</v>
      </c>
      <c r="F142" s="18" t="s">
        <v>106</v>
      </c>
      <c r="G142" s="18" t="s">
        <v>167</v>
      </c>
      <c r="H142" s="42">
        <v>2400.0</v>
      </c>
      <c r="I142" s="43">
        <v>24.0</v>
      </c>
      <c r="J142" s="18" t="s">
        <v>161</v>
      </c>
      <c r="K142" s="44">
        <v>1.1</v>
      </c>
      <c r="L142" s="18" t="s">
        <v>162</v>
      </c>
      <c r="M142" s="18" t="str">
        <f t="shared" si="1"/>
        <v>Moderate</v>
      </c>
      <c r="N142" s="18" t="s">
        <v>310</v>
      </c>
      <c r="O142" s="18">
        <f>'Priority Scoring'!B142</f>
        <v>2</v>
      </c>
      <c r="P142" s="45">
        <f>'Priority Scoring'!I142</f>
        <v>58</v>
      </c>
      <c r="Q142" s="18" t="str">
        <f>'Priority Scoring'!J142</f>
        <v>Low</v>
      </c>
      <c r="R142" s="18" t="s">
        <v>385</v>
      </c>
      <c r="S142" s="18" t="s">
        <v>198</v>
      </c>
      <c r="T142" s="18" t="s">
        <v>239</v>
      </c>
    </row>
    <row r="143" ht="15.75" customHeight="1">
      <c r="A143" s="20" t="s">
        <v>389</v>
      </c>
      <c r="B143" s="20" t="s">
        <v>248</v>
      </c>
      <c r="C143" s="20" t="s">
        <v>371</v>
      </c>
      <c r="D143" s="20" t="s">
        <v>384</v>
      </c>
      <c r="E143" s="20" t="s">
        <v>112</v>
      </c>
      <c r="F143" s="20" t="s">
        <v>106</v>
      </c>
      <c r="G143" s="20" t="s">
        <v>167</v>
      </c>
      <c r="H143" s="46">
        <v>880.0</v>
      </c>
      <c r="I143" s="47">
        <v>20.0</v>
      </c>
      <c r="J143" s="20" t="s">
        <v>161</v>
      </c>
      <c r="K143" s="48">
        <v>1.2</v>
      </c>
      <c r="L143" s="20" t="s">
        <v>162</v>
      </c>
      <c r="M143" s="20" t="str">
        <f t="shared" si="1"/>
        <v>Easy</v>
      </c>
      <c r="N143" s="20" t="s">
        <v>310</v>
      </c>
      <c r="O143" s="20">
        <f>'Priority Scoring'!B143</f>
        <v>2</v>
      </c>
      <c r="P143" s="49">
        <f>'Priority Scoring'!I143</f>
        <v>59</v>
      </c>
      <c r="Q143" s="20" t="str">
        <f>'Priority Scoring'!J143</f>
        <v>Low</v>
      </c>
      <c r="R143" s="20" t="s">
        <v>385</v>
      </c>
      <c r="S143" s="20" t="s">
        <v>198</v>
      </c>
      <c r="T143" s="20" t="s">
        <v>239</v>
      </c>
    </row>
    <row r="144" ht="15.75" customHeight="1">
      <c r="A144" s="18" t="s">
        <v>390</v>
      </c>
      <c r="B144" s="18" t="s">
        <v>112</v>
      </c>
      <c r="C144" s="18" t="s">
        <v>371</v>
      </c>
      <c r="D144" s="18" t="s">
        <v>384</v>
      </c>
      <c r="E144" s="18" t="s">
        <v>112</v>
      </c>
      <c r="F144" s="18" t="s">
        <v>106</v>
      </c>
      <c r="G144" s="18" t="s">
        <v>167</v>
      </c>
      <c r="H144" s="42">
        <v>1000.0</v>
      </c>
      <c r="I144" s="43">
        <v>18.0</v>
      </c>
      <c r="J144" s="18" t="s">
        <v>161</v>
      </c>
      <c r="K144" s="44">
        <v>1.2</v>
      </c>
      <c r="L144" s="18" t="s">
        <v>162</v>
      </c>
      <c r="M144" s="18" t="str">
        <f t="shared" si="1"/>
        <v>Easy</v>
      </c>
      <c r="N144" s="18" t="s">
        <v>310</v>
      </c>
      <c r="O144" s="18">
        <f>'Priority Scoring'!B144</f>
        <v>2</v>
      </c>
      <c r="P144" s="45">
        <f>'Priority Scoring'!I144</f>
        <v>62</v>
      </c>
      <c r="Q144" s="18" t="str">
        <f>'Priority Scoring'!J144</f>
        <v>Medium</v>
      </c>
      <c r="R144" s="18" t="s">
        <v>385</v>
      </c>
      <c r="S144" s="18" t="s">
        <v>198</v>
      </c>
      <c r="T144" s="18" t="s">
        <v>239</v>
      </c>
    </row>
    <row r="145" ht="15.75" customHeight="1">
      <c r="A145" s="20" t="s">
        <v>391</v>
      </c>
      <c r="B145" s="20" t="s">
        <v>180</v>
      </c>
      <c r="C145" s="20" t="s">
        <v>371</v>
      </c>
      <c r="D145" s="20" t="s">
        <v>384</v>
      </c>
      <c r="E145" s="20" t="s">
        <v>112</v>
      </c>
      <c r="F145" s="20" t="s">
        <v>106</v>
      </c>
      <c r="G145" s="20" t="s">
        <v>167</v>
      </c>
      <c r="H145" s="46">
        <v>1900.0</v>
      </c>
      <c r="I145" s="47">
        <v>28.0</v>
      </c>
      <c r="J145" s="20" t="s">
        <v>161</v>
      </c>
      <c r="K145" s="48">
        <v>1.4</v>
      </c>
      <c r="L145" s="20" t="s">
        <v>162</v>
      </c>
      <c r="M145" s="20" t="str">
        <f t="shared" si="1"/>
        <v>Moderate</v>
      </c>
      <c r="N145" s="20" t="s">
        <v>310</v>
      </c>
      <c r="O145" s="20">
        <f>'Priority Scoring'!B145</f>
        <v>2</v>
      </c>
      <c r="P145" s="49">
        <f>'Priority Scoring'!I145</f>
        <v>58</v>
      </c>
      <c r="Q145" s="20" t="str">
        <f>'Priority Scoring'!J145</f>
        <v>Low</v>
      </c>
      <c r="R145" s="20" t="s">
        <v>385</v>
      </c>
      <c r="S145" s="20" t="s">
        <v>198</v>
      </c>
      <c r="T145" s="20" t="s">
        <v>239</v>
      </c>
    </row>
    <row r="146" ht="15.75" customHeight="1">
      <c r="A146" s="18" t="s">
        <v>127</v>
      </c>
      <c r="B146" s="18" t="s">
        <v>172</v>
      </c>
      <c r="C146" s="18" t="s">
        <v>392</v>
      </c>
      <c r="D146" s="18" t="s">
        <v>393</v>
      </c>
      <c r="E146" s="18" t="s">
        <v>118</v>
      </c>
      <c r="F146" s="18" t="s">
        <v>110</v>
      </c>
      <c r="G146" s="18" t="s">
        <v>160</v>
      </c>
      <c r="H146" s="42">
        <v>1000.0</v>
      </c>
      <c r="I146" s="43">
        <v>48.0</v>
      </c>
      <c r="J146" s="18" t="s">
        <v>161</v>
      </c>
      <c r="K146" s="44">
        <v>10.5</v>
      </c>
      <c r="L146" s="18" t="s">
        <v>162</v>
      </c>
      <c r="M146" s="18" t="str">
        <f t="shared" si="1"/>
        <v>Competitive</v>
      </c>
      <c r="N146" s="18" t="s">
        <v>394</v>
      </c>
      <c r="O146" s="18">
        <f>'Priority Scoring'!B146</f>
        <v>5</v>
      </c>
      <c r="P146" s="45">
        <f>'Priority Scoring'!I146</f>
        <v>92</v>
      </c>
      <c r="Q146" s="18" t="str">
        <f>'Priority Scoring'!J146</f>
        <v>Critical</v>
      </c>
      <c r="R146" s="18" t="s">
        <v>395</v>
      </c>
      <c r="S146" s="18" t="s">
        <v>165</v>
      </c>
      <c r="T146" s="18" t="s">
        <v>168</v>
      </c>
    </row>
    <row r="147" ht="15.75" customHeight="1">
      <c r="A147" s="20" t="s">
        <v>396</v>
      </c>
      <c r="B147" s="20" t="s">
        <v>172</v>
      </c>
      <c r="C147" s="20" t="s">
        <v>392</v>
      </c>
      <c r="D147" s="20" t="s">
        <v>393</v>
      </c>
      <c r="E147" s="20" t="s">
        <v>118</v>
      </c>
      <c r="F147" s="20" t="s">
        <v>110</v>
      </c>
      <c r="G147" s="20" t="s">
        <v>167</v>
      </c>
      <c r="H147" s="46">
        <v>480.0</v>
      </c>
      <c r="I147" s="47">
        <v>46.0</v>
      </c>
      <c r="J147" s="20" t="s">
        <v>161</v>
      </c>
      <c r="K147" s="48">
        <v>10.2</v>
      </c>
      <c r="L147" s="20" t="s">
        <v>162</v>
      </c>
      <c r="M147" s="20" t="str">
        <f t="shared" si="1"/>
        <v>Competitive</v>
      </c>
      <c r="N147" s="20" t="s">
        <v>394</v>
      </c>
      <c r="O147" s="20">
        <f>'Priority Scoring'!B147</f>
        <v>5</v>
      </c>
      <c r="P147" s="49">
        <f>'Priority Scoring'!I147</f>
        <v>86</v>
      </c>
      <c r="Q147" s="20" t="str">
        <f>'Priority Scoring'!J147</f>
        <v>High</v>
      </c>
      <c r="R147" s="20" t="s">
        <v>395</v>
      </c>
      <c r="S147" s="20" t="s">
        <v>165</v>
      </c>
      <c r="T147" s="20" t="s">
        <v>168</v>
      </c>
    </row>
    <row r="148" ht="15.75" customHeight="1">
      <c r="A148" s="18" t="s">
        <v>397</v>
      </c>
      <c r="B148" s="18" t="s">
        <v>172</v>
      </c>
      <c r="C148" s="18" t="s">
        <v>392</v>
      </c>
      <c r="D148" s="18" t="s">
        <v>393</v>
      </c>
      <c r="E148" s="18" t="s">
        <v>118</v>
      </c>
      <c r="F148" s="18" t="s">
        <v>110</v>
      </c>
      <c r="G148" s="18" t="s">
        <v>167</v>
      </c>
      <c r="H148" s="42">
        <v>260.0</v>
      </c>
      <c r="I148" s="43">
        <v>40.0</v>
      </c>
      <c r="J148" s="18" t="s">
        <v>161</v>
      </c>
      <c r="K148" s="44">
        <v>9.9</v>
      </c>
      <c r="L148" s="18" t="s">
        <v>162</v>
      </c>
      <c r="M148" s="18" t="str">
        <f t="shared" si="1"/>
        <v>Moderate</v>
      </c>
      <c r="N148" s="18" t="s">
        <v>394</v>
      </c>
      <c r="O148" s="18">
        <f>'Priority Scoring'!B148</f>
        <v>5</v>
      </c>
      <c r="P148" s="45">
        <f>'Priority Scoring'!I148</f>
        <v>86</v>
      </c>
      <c r="Q148" s="18" t="str">
        <f>'Priority Scoring'!J148</f>
        <v>High</v>
      </c>
      <c r="R148" s="18" t="s">
        <v>395</v>
      </c>
      <c r="S148" s="18" t="s">
        <v>165</v>
      </c>
      <c r="T148" s="18" t="s">
        <v>168</v>
      </c>
    </row>
    <row r="149" ht="15.75" customHeight="1">
      <c r="A149" s="20" t="s">
        <v>398</v>
      </c>
      <c r="B149" s="20" t="s">
        <v>172</v>
      </c>
      <c r="C149" s="20" t="s">
        <v>392</v>
      </c>
      <c r="D149" s="20" t="s">
        <v>393</v>
      </c>
      <c r="E149" s="20" t="s">
        <v>118</v>
      </c>
      <c r="F149" s="20" t="s">
        <v>110</v>
      </c>
      <c r="G149" s="20" t="s">
        <v>167</v>
      </c>
      <c r="H149" s="46">
        <v>140.0</v>
      </c>
      <c r="I149" s="47">
        <v>34.0</v>
      </c>
      <c r="J149" s="20" t="s">
        <v>161</v>
      </c>
      <c r="K149" s="48">
        <v>9.6</v>
      </c>
      <c r="L149" s="20" t="s">
        <v>162</v>
      </c>
      <c r="M149" s="20" t="str">
        <f t="shared" si="1"/>
        <v>Moderate</v>
      </c>
      <c r="N149" s="20" t="s">
        <v>394</v>
      </c>
      <c r="O149" s="20">
        <f>'Priority Scoring'!B149</f>
        <v>5</v>
      </c>
      <c r="P149" s="49">
        <f>'Priority Scoring'!I149</f>
        <v>87</v>
      </c>
      <c r="Q149" s="20" t="str">
        <f>'Priority Scoring'!J149</f>
        <v>High</v>
      </c>
      <c r="R149" s="20" t="s">
        <v>395</v>
      </c>
      <c r="S149" s="20" t="s">
        <v>165</v>
      </c>
      <c r="T149" s="20" t="s">
        <v>168</v>
      </c>
    </row>
    <row r="150" ht="15.75" customHeight="1">
      <c r="A150" s="18" t="s">
        <v>399</v>
      </c>
      <c r="B150" s="18" t="s">
        <v>172</v>
      </c>
      <c r="C150" s="18" t="s">
        <v>392</v>
      </c>
      <c r="D150" s="18" t="s">
        <v>393</v>
      </c>
      <c r="E150" s="18" t="s">
        <v>118</v>
      </c>
      <c r="F150" s="18" t="s">
        <v>110</v>
      </c>
      <c r="G150" s="18" t="s">
        <v>167</v>
      </c>
      <c r="H150" s="42">
        <v>170.0</v>
      </c>
      <c r="I150" s="43">
        <v>34.0</v>
      </c>
      <c r="J150" s="18" t="s">
        <v>161</v>
      </c>
      <c r="K150" s="44">
        <v>9.4</v>
      </c>
      <c r="L150" s="18" t="s">
        <v>162</v>
      </c>
      <c r="M150" s="18" t="str">
        <f t="shared" si="1"/>
        <v>Moderate</v>
      </c>
      <c r="N150" s="18" t="s">
        <v>394</v>
      </c>
      <c r="O150" s="18">
        <f>'Priority Scoring'!B150</f>
        <v>5</v>
      </c>
      <c r="P150" s="45">
        <f>'Priority Scoring'!I150</f>
        <v>87</v>
      </c>
      <c r="Q150" s="18" t="str">
        <f>'Priority Scoring'!J150</f>
        <v>High</v>
      </c>
      <c r="R150" s="18" t="s">
        <v>395</v>
      </c>
      <c r="S150" s="18" t="s">
        <v>165</v>
      </c>
      <c r="T150" s="18" t="s">
        <v>168</v>
      </c>
    </row>
    <row r="151" ht="15.75" customHeight="1">
      <c r="A151" s="20" t="s">
        <v>400</v>
      </c>
      <c r="B151" s="20" t="s">
        <v>116</v>
      </c>
      <c r="C151" s="20" t="s">
        <v>392</v>
      </c>
      <c r="D151" s="20" t="s">
        <v>393</v>
      </c>
      <c r="E151" s="20" t="s">
        <v>116</v>
      </c>
      <c r="F151" s="20" t="s">
        <v>108</v>
      </c>
      <c r="G151" s="20" t="s">
        <v>167</v>
      </c>
      <c r="H151" s="46">
        <v>390.0</v>
      </c>
      <c r="I151" s="47">
        <v>42.0</v>
      </c>
      <c r="J151" s="20" t="s">
        <v>161</v>
      </c>
      <c r="K151" s="48">
        <v>8.1</v>
      </c>
      <c r="L151" s="20" t="s">
        <v>162</v>
      </c>
      <c r="M151" s="20" t="str">
        <f t="shared" si="1"/>
        <v>Competitive</v>
      </c>
      <c r="N151" s="20" t="s">
        <v>394</v>
      </c>
      <c r="O151" s="20">
        <f>'Priority Scoring'!B151</f>
        <v>5</v>
      </c>
      <c r="P151" s="49">
        <f>'Priority Scoring'!I151</f>
        <v>77</v>
      </c>
      <c r="Q151" s="20" t="str">
        <f>'Priority Scoring'!J151</f>
        <v>High</v>
      </c>
      <c r="R151" s="20" t="s">
        <v>395</v>
      </c>
      <c r="S151" s="20" t="s">
        <v>165</v>
      </c>
      <c r="T151" s="20" t="s">
        <v>168</v>
      </c>
    </row>
    <row r="152" ht="15.75" customHeight="1">
      <c r="A152" s="18" t="s">
        <v>140</v>
      </c>
      <c r="B152" s="18" t="s">
        <v>172</v>
      </c>
      <c r="C152" s="18" t="s">
        <v>392</v>
      </c>
      <c r="D152" s="18" t="s">
        <v>393</v>
      </c>
      <c r="E152" s="18" t="s">
        <v>118</v>
      </c>
      <c r="F152" s="18" t="s">
        <v>110</v>
      </c>
      <c r="G152" s="18" t="s">
        <v>167</v>
      </c>
      <c r="H152" s="42">
        <v>4400.0</v>
      </c>
      <c r="I152" s="43">
        <v>64.0</v>
      </c>
      <c r="J152" s="18" t="s">
        <v>161</v>
      </c>
      <c r="K152" s="44">
        <v>9.2</v>
      </c>
      <c r="L152" s="18" t="s">
        <v>162</v>
      </c>
      <c r="M152" s="18" t="str">
        <f t="shared" si="1"/>
        <v>Competitive</v>
      </c>
      <c r="N152" s="18" t="s">
        <v>394</v>
      </c>
      <c r="O152" s="18">
        <f>'Priority Scoring'!B152</f>
        <v>5</v>
      </c>
      <c r="P152" s="45">
        <f>'Priority Scoring'!I152</f>
        <v>88</v>
      </c>
      <c r="Q152" s="18" t="str">
        <f>'Priority Scoring'!J152</f>
        <v>High</v>
      </c>
      <c r="R152" s="18" t="s">
        <v>395</v>
      </c>
      <c r="S152" s="18" t="s">
        <v>165</v>
      </c>
      <c r="T152" s="18" t="s">
        <v>239</v>
      </c>
    </row>
    <row r="153" ht="15.75" customHeight="1">
      <c r="A153" s="20" t="s">
        <v>401</v>
      </c>
      <c r="B153" s="20" t="s">
        <v>118</v>
      </c>
      <c r="C153" s="20" t="s">
        <v>392</v>
      </c>
      <c r="D153" s="20" t="s">
        <v>393</v>
      </c>
      <c r="E153" s="20" t="s">
        <v>118</v>
      </c>
      <c r="F153" s="20" t="s">
        <v>110</v>
      </c>
      <c r="G153" s="20" t="s">
        <v>167</v>
      </c>
      <c r="H153" s="46">
        <v>140.0</v>
      </c>
      <c r="I153" s="47">
        <v>34.0</v>
      </c>
      <c r="J153" s="20" t="s">
        <v>161</v>
      </c>
      <c r="K153" s="48">
        <v>9.8</v>
      </c>
      <c r="L153" s="20" t="s">
        <v>162</v>
      </c>
      <c r="M153" s="20" t="str">
        <f t="shared" si="1"/>
        <v>Moderate</v>
      </c>
      <c r="N153" s="20" t="s">
        <v>394</v>
      </c>
      <c r="O153" s="20">
        <f>'Priority Scoring'!B153</f>
        <v>5</v>
      </c>
      <c r="P153" s="49">
        <f>'Priority Scoring'!I153</f>
        <v>87</v>
      </c>
      <c r="Q153" s="20" t="str">
        <f>'Priority Scoring'!J153</f>
        <v>High</v>
      </c>
      <c r="R153" s="20" t="s">
        <v>395</v>
      </c>
      <c r="S153" s="20" t="s">
        <v>165</v>
      </c>
      <c r="T153" s="20" t="s">
        <v>402</v>
      </c>
    </row>
    <row r="154" ht="15.75" customHeight="1">
      <c r="A154" s="18" t="s">
        <v>403</v>
      </c>
      <c r="B154" s="18" t="s">
        <v>118</v>
      </c>
      <c r="C154" s="18" t="s">
        <v>392</v>
      </c>
      <c r="D154" s="18" t="s">
        <v>393</v>
      </c>
      <c r="E154" s="18" t="s">
        <v>118</v>
      </c>
      <c r="F154" s="18" t="s">
        <v>110</v>
      </c>
      <c r="G154" s="18" t="s">
        <v>167</v>
      </c>
      <c r="H154" s="42">
        <v>110.0</v>
      </c>
      <c r="I154" s="43">
        <v>28.0</v>
      </c>
      <c r="J154" s="18" t="s">
        <v>161</v>
      </c>
      <c r="K154" s="44">
        <v>7.6</v>
      </c>
      <c r="L154" s="18" t="s">
        <v>162</v>
      </c>
      <c r="M154" s="18" t="str">
        <f t="shared" si="1"/>
        <v>Moderate</v>
      </c>
      <c r="N154" s="18" t="s">
        <v>394</v>
      </c>
      <c r="O154" s="18">
        <f>'Priority Scoring'!B154</f>
        <v>5</v>
      </c>
      <c r="P154" s="45">
        <f>'Priority Scoring'!I154</f>
        <v>87</v>
      </c>
      <c r="Q154" s="18" t="str">
        <f>'Priority Scoring'!J154</f>
        <v>High</v>
      </c>
      <c r="R154" s="18" t="s">
        <v>395</v>
      </c>
      <c r="S154" s="18" t="s">
        <v>165</v>
      </c>
      <c r="T154" s="18" t="s">
        <v>404</v>
      </c>
    </row>
    <row r="155" ht="15.75" customHeight="1">
      <c r="A155" s="20" t="s">
        <v>405</v>
      </c>
      <c r="B155" s="20" t="s">
        <v>116</v>
      </c>
      <c r="C155" s="20" t="s">
        <v>392</v>
      </c>
      <c r="D155" s="20" t="s">
        <v>406</v>
      </c>
      <c r="E155" s="20" t="s">
        <v>116</v>
      </c>
      <c r="F155" s="20" t="s">
        <v>108</v>
      </c>
      <c r="G155" s="20" t="s">
        <v>160</v>
      </c>
      <c r="H155" s="46">
        <v>6600.0</v>
      </c>
      <c r="I155" s="47">
        <v>44.0</v>
      </c>
      <c r="J155" s="20" t="s">
        <v>161</v>
      </c>
      <c r="K155" s="48">
        <v>5.8</v>
      </c>
      <c r="L155" s="20" t="s">
        <v>162</v>
      </c>
      <c r="M155" s="20" t="str">
        <f t="shared" si="1"/>
        <v>Competitive</v>
      </c>
      <c r="N155" s="20" t="s">
        <v>407</v>
      </c>
      <c r="O155" s="20">
        <f>'Priority Scoring'!B155</f>
        <v>3</v>
      </c>
      <c r="P155" s="49">
        <f>'Priority Scoring'!I155</f>
        <v>71</v>
      </c>
      <c r="Q155" s="20" t="str">
        <f>'Priority Scoring'!J155</f>
        <v>Medium</v>
      </c>
      <c r="R155" s="20" t="s">
        <v>408</v>
      </c>
      <c r="S155" s="20" t="s">
        <v>198</v>
      </c>
      <c r="T155" s="20" t="s">
        <v>239</v>
      </c>
    </row>
    <row r="156" ht="15.75" customHeight="1">
      <c r="A156" s="18" t="s">
        <v>409</v>
      </c>
      <c r="B156" s="18" t="s">
        <v>318</v>
      </c>
      <c r="C156" s="18" t="s">
        <v>392</v>
      </c>
      <c r="D156" s="18" t="s">
        <v>406</v>
      </c>
      <c r="E156" s="18" t="s">
        <v>116</v>
      </c>
      <c r="F156" s="18" t="s">
        <v>108</v>
      </c>
      <c r="G156" s="18" t="s">
        <v>167</v>
      </c>
      <c r="H156" s="42">
        <v>1300.0</v>
      </c>
      <c r="I156" s="43">
        <v>30.0</v>
      </c>
      <c r="J156" s="18" t="s">
        <v>161</v>
      </c>
      <c r="K156" s="44">
        <v>3.8</v>
      </c>
      <c r="L156" s="18" t="s">
        <v>162</v>
      </c>
      <c r="M156" s="18" t="str">
        <f t="shared" si="1"/>
        <v>Moderate</v>
      </c>
      <c r="N156" s="18" t="s">
        <v>407</v>
      </c>
      <c r="O156" s="18">
        <f>'Priority Scoring'!B156</f>
        <v>3</v>
      </c>
      <c r="P156" s="45">
        <f>'Priority Scoring'!I156</f>
        <v>75</v>
      </c>
      <c r="Q156" s="18" t="str">
        <f>'Priority Scoring'!J156</f>
        <v>High</v>
      </c>
      <c r="R156" s="18" t="s">
        <v>408</v>
      </c>
      <c r="S156" s="18" t="s">
        <v>198</v>
      </c>
      <c r="T156" s="18" t="s">
        <v>239</v>
      </c>
    </row>
    <row r="157" ht="15.75" customHeight="1">
      <c r="A157" s="20" t="s">
        <v>410</v>
      </c>
      <c r="B157" s="20" t="s">
        <v>318</v>
      </c>
      <c r="C157" s="20" t="s">
        <v>392</v>
      </c>
      <c r="D157" s="20" t="s">
        <v>406</v>
      </c>
      <c r="E157" s="20" t="s">
        <v>116</v>
      </c>
      <c r="F157" s="20" t="s">
        <v>108</v>
      </c>
      <c r="G157" s="20" t="s">
        <v>167</v>
      </c>
      <c r="H157" s="46">
        <v>2900.0</v>
      </c>
      <c r="I157" s="47">
        <v>38.0</v>
      </c>
      <c r="J157" s="20" t="s">
        <v>161</v>
      </c>
      <c r="K157" s="48">
        <v>6.4</v>
      </c>
      <c r="L157" s="20" t="s">
        <v>162</v>
      </c>
      <c r="M157" s="20" t="str">
        <f t="shared" si="1"/>
        <v>Moderate</v>
      </c>
      <c r="N157" s="20" t="s">
        <v>407</v>
      </c>
      <c r="O157" s="20">
        <f>'Priority Scoring'!B157</f>
        <v>3</v>
      </c>
      <c r="P157" s="49">
        <f>'Priority Scoring'!I157</f>
        <v>71</v>
      </c>
      <c r="Q157" s="20" t="str">
        <f>'Priority Scoring'!J157</f>
        <v>Medium</v>
      </c>
      <c r="R157" s="20" t="s">
        <v>408</v>
      </c>
      <c r="S157" s="20" t="s">
        <v>198</v>
      </c>
      <c r="T157" s="20" t="s">
        <v>239</v>
      </c>
    </row>
    <row r="158" ht="15.75" customHeight="1">
      <c r="A158" s="18" t="s">
        <v>411</v>
      </c>
      <c r="B158" s="18" t="s">
        <v>318</v>
      </c>
      <c r="C158" s="18" t="s">
        <v>392</v>
      </c>
      <c r="D158" s="18" t="s">
        <v>406</v>
      </c>
      <c r="E158" s="18" t="s">
        <v>116</v>
      </c>
      <c r="F158" s="18" t="s">
        <v>108</v>
      </c>
      <c r="G158" s="18" t="s">
        <v>167</v>
      </c>
      <c r="H158" s="42">
        <v>590.0</v>
      </c>
      <c r="I158" s="43">
        <v>28.0</v>
      </c>
      <c r="J158" s="18" t="s">
        <v>161</v>
      </c>
      <c r="K158" s="44">
        <v>4.2</v>
      </c>
      <c r="L158" s="18" t="s">
        <v>162</v>
      </c>
      <c r="M158" s="18" t="str">
        <f t="shared" si="1"/>
        <v>Moderate</v>
      </c>
      <c r="N158" s="18" t="s">
        <v>407</v>
      </c>
      <c r="O158" s="18">
        <f>'Priority Scoring'!B158</f>
        <v>3</v>
      </c>
      <c r="P158" s="45">
        <f>'Priority Scoring'!I158</f>
        <v>72</v>
      </c>
      <c r="Q158" s="18" t="str">
        <f>'Priority Scoring'!J158</f>
        <v>Medium</v>
      </c>
      <c r="R158" s="18" t="s">
        <v>408</v>
      </c>
      <c r="S158" s="18" t="s">
        <v>198</v>
      </c>
      <c r="T158" s="18" t="s">
        <v>239</v>
      </c>
    </row>
    <row r="159" ht="15.75" customHeight="1">
      <c r="A159" s="20" t="s">
        <v>412</v>
      </c>
      <c r="B159" s="20" t="s">
        <v>112</v>
      </c>
      <c r="C159" s="20" t="s">
        <v>392</v>
      </c>
      <c r="D159" s="20" t="s">
        <v>406</v>
      </c>
      <c r="E159" s="20" t="s">
        <v>112</v>
      </c>
      <c r="F159" s="20" t="s">
        <v>106</v>
      </c>
      <c r="G159" s="20" t="s">
        <v>167</v>
      </c>
      <c r="H159" s="46">
        <v>3600.0</v>
      </c>
      <c r="I159" s="47">
        <v>28.0</v>
      </c>
      <c r="J159" s="20" t="s">
        <v>161</v>
      </c>
      <c r="K159" s="48">
        <v>1.9</v>
      </c>
      <c r="L159" s="20" t="s">
        <v>162</v>
      </c>
      <c r="M159" s="20" t="str">
        <f t="shared" si="1"/>
        <v>Moderate</v>
      </c>
      <c r="N159" s="20" t="s">
        <v>407</v>
      </c>
      <c r="O159" s="20">
        <f>'Priority Scoring'!B159</f>
        <v>3</v>
      </c>
      <c r="P159" s="49">
        <f>'Priority Scoring'!I159</f>
        <v>63</v>
      </c>
      <c r="Q159" s="20" t="str">
        <f>'Priority Scoring'!J159</f>
        <v>Medium</v>
      </c>
      <c r="R159" s="20" t="s">
        <v>408</v>
      </c>
      <c r="S159" s="20" t="s">
        <v>198</v>
      </c>
      <c r="T159" s="20" t="s">
        <v>239</v>
      </c>
    </row>
    <row r="160" ht="15.75" customHeight="1">
      <c r="A160" s="18" t="s">
        <v>413</v>
      </c>
      <c r="B160" s="18" t="s">
        <v>112</v>
      </c>
      <c r="C160" s="18" t="s">
        <v>392</v>
      </c>
      <c r="D160" s="18" t="s">
        <v>406</v>
      </c>
      <c r="E160" s="18" t="s">
        <v>112</v>
      </c>
      <c r="F160" s="18" t="s">
        <v>106</v>
      </c>
      <c r="G160" s="18" t="s">
        <v>167</v>
      </c>
      <c r="H160" s="42">
        <v>1900.0</v>
      </c>
      <c r="I160" s="43">
        <v>24.0</v>
      </c>
      <c r="J160" s="18" t="s">
        <v>161</v>
      </c>
      <c r="K160" s="44">
        <v>1.8</v>
      </c>
      <c r="L160" s="18" t="s">
        <v>162</v>
      </c>
      <c r="M160" s="18" t="str">
        <f t="shared" si="1"/>
        <v>Moderate</v>
      </c>
      <c r="N160" s="18" t="s">
        <v>407</v>
      </c>
      <c r="O160" s="18">
        <f>'Priority Scoring'!B160</f>
        <v>3</v>
      </c>
      <c r="P160" s="45">
        <f>'Priority Scoring'!I160</f>
        <v>63</v>
      </c>
      <c r="Q160" s="18" t="str">
        <f>'Priority Scoring'!J160</f>
        <v>Medium</v>
      </c>
      <c r="R160" s="18" t="s">
        <v>408</v>
      </c>
      <c r="S160" s="18" t="s">
        <v>198</v>
      </c>
      <c r="T160" s="18" t="s">
        <v>239</v>
      </c>
    </row>
    <row r="161" ht="15.75" customHeight="1">
      <c r="A161" s="20" t="s">
        <v>414</v>
      </c>
      <c r="B161" s="20" t="s">
        <v>112</v>
      </c>
      <c r="C161" s="20" t="s">
        <v>392</v>
      </c>
      <c r="D161" s="20" t="s">
        <v>415</v>
      </c>
      <c r="E161" s="20" t="s">
        <v>112</v>
      </c>
      <c r="F161" s="20" t="s">
        <v>106</v>
      </c>
      <c r="G161" s="20" t="s">
        <v>160</v>
      </c>
      <c r="H161" s="46">
        <v>2900.0</v>
      </c>
      <c r="I161" s="47">
        <v>22.0</v>
      </c>
      <c r="J161" s="20" t="s">
        <v>161</v>
      </c>
      <c r="K161" s="48">
        <v>1.3</v>
      </c>
      <c r="L161" s="20" t="s">
        <v>162</v>
      </c>
      <c r="M161" s="20" t="str">
        <f t="shared" si="1"/>
        <v>Moderate</v>
      </c>
      <c r="N161" s="20" t="s">
        <v>310</v>
      </c>
      <c r="O161" s="20">
        <f>'Priority Scoring'!B161</f>
        <v>2</v>
      </c>
      <c r="P161" s="49">
        <f>'Priority Scoring'!I161</f>
        <v>56</v>
      </c>
      <c r="Q161" s="20" t="str">
        <f>'Priority Scoring'!J161</f>
        <v>Low</v>
      </c>
      <c r="R161" s="20" t="s">
        <v>416</v>
      </c>
      <c r="S161" s="20" t="s">
        <v>198</v>
      </c>
      <c r="T161" s="20" t="s">
        <v>239</v>
      </c>
    </row>
    <row r="162" ht="15.75" customHeight="1">
      <c r="A162" s="18" t="s">
        <v>417</v>
      </c>
      <c r="B162" s="18" t="s">
        <v>248</v>
      </c>
      <c r="C162" s="18" t="s">
        <v>392</v>
      </c>
      <c r="D162" s="18" t="s">
        <v>415</v>
      </c>
      <c r="E162" s="18" t="s">
        <v>112</v>
      </c>
      <c r="F162" s="18" t="s">
        <v>106</v>
      </c>
      <c r="G162" s="18" t="s">
        <v>167</v>
      </c>
      <c r="H162" s="42">
        <v>1300.0</v>
      </c>
      <c r="I162" s="43">
        <v>20.0</v>
      </c>
      <c r="J162" s="18" t="s">
        <v>161</v>
      </c>
      <c r="K162" s="44">
        <v>1.2</v>
      </c>
      <c r="L162" s="18" t="s">
        <v>162</v>
      </c>
      <c r="M162" s="18" t="str">
        <f t="shared" si="1"/>
        <v>Easy</v>
      </c>
      <c r="N162" s="18" t="s">
        <v>310</v>
      </c>
      <c r="O162" s="18">
        <f>'Priority Scoring'!B162</f>
        <v>2</v>
      </c>
      <c r="P162" s="45">
        <f>'Priority Scoring'!I162</f>
        <v>60</v>
      </c>
      <c r="Q162" s="18" t="str">
        <f>'Priority Scoring'!J162</f>
        <v>Medium</v>
      </c>
      <c r="R162" s="18" t="s">
        <v>416</v>
      </c>
      <c r="S162" s="18" t="s">
        <v>198</v>
      </c>
      <c r="T162" s="18" t="s">
        <v>239</v>
      </c>
    </row>
    <row r="163" ht="15.75" customHeight="1">
      <c r="A163" s="20" t="s">
        <v>418</v>
      </c>
      <c r="B163" s="20" t="s">
        <v>248</v>
      </c>
      <c r="C163" s="20" t="s">
        <v>392</v>
      </c>
      <c r="D163" s="20" t="s">
        <v>415</v>
      </c>
      <c r="E163" s="20" t="s">
        <v>112</v>
      </c>
      <c r="F163" s="20" t="s">
        <v>106</v>
      </c>
      <c r="G163" s="20" t="s">
        <v>167</v>
      </c>
      <c r="H163" s="46">
        <v>880.0</v>
      </c>
      <c r="I163" s="47">
        <v>18.0</v>
      </c>
      <c r="J163" s="20" t="s">
        <v>161</v>
      </c>
      <c r="K163" s="48">
        <v>1.0</v>
      </c>
      <c r="L163" s="20" t="s">
        <v>162</v>
      </c>
      <c r="M163" s="20" t="str">
        <f t="shared" si="1"/>
        <v>Easy</v>
      </c>
      <c r="N163" s="20" t="s">
        <v>310</v>
      </c>
      <c r="O163" s="20">
        <f>'Priority Scoring'!B163</f>
        <v>2</v>
      </c>
      <c r="P163" s="49">
        <f>'Priority Scoring'!I163</f>
        <v>57</v>
      </c>
      <c r="Q163" s="20" t="str">
        <f>'Priority Scoring'!J163</f>
        <v>Low</v>
      </c>
      <c r="R163" s="20" t="s">
        <v>416</v>
      </c>
      <c r="S163" s="20" t="s">
        <v>198</v>
      </c>
      <c r="T163" s="20" t="s">
        <v>239</v>
      </c>
    </row>
    <row r="164" ht="15.75" customHeight="1">
      <c r="A164" s="18" t="s">
        <v>419</v>
      </c>
      <c r="B164" s="18" t="s">
        <v>112</v>
      </c>
      <c r="C164" s="18" t="s">
        <v>392</v>
      </c>
      <c r="D164" s="18" t="s">
        <v>415</v>
      </c>
      <c r="E164" s="18" t="s">
        <v>112</v>
      </c>
      <c r="F164" s="18" t="s">
        <v>106</v>
      </c>
      <c r="G164" s="18" t="s">
        <v>167</v>
      </c>
      <c r="H164" s="42">
        <v>4400.0</v>
      </c>
      <c r="I164" s="43">
        <v>24.0</v>
      </c>
      <c r="J164" s="18" t="s">
        <v>161</v>
      </c>
      <c r="K164" s="44">
        <v>1.1</v>
      </c>
      <c r="L164" s="18" t="s">
        <v>162</v>
      </c>
      <c r="M164" s="18" t="str">
        <f t="shared" si="1"/>
        <v>Moderate</v>
      </c>
      <c r="N164" s="18" t="s">
        <v>310</v>
      </c>
      <c r="O164" s="18">
        <f>'Priority Scoring'!B164</f>
        <v>2</v>
      </c>
      <c r="P164" s="45">
        <f>'Priority Scoring'!I164</f>
        <v>56</v>
      </c>
      <c r="Q164" s="18" t="str">
        <f>'Priority Scoring'!J164</f>
        <v>Low</v>
      </c>
      <c r="R164" s="18" t="s">
        <v>416</v>
      </c>
      <c r="S164" s="18" t="s">
        <v>198</v>
      </c>
      <c r="T164" s="18" t="s">
        <v>239</v>
      </c>
    </row>
    <row r="165" ht="15.75" customHeight="1">
      <c r="A165" s="20" t="s">
        <v>420</v>
      </c>
      <c r="B165" s="20" t="s">
        <v>172</v>
      </c>
      <c r="C165" s="20" t="s">
        <v>421</v>
      </c>
      <c r="D165" s="20" t="s">
        <v>422</v>
      </c>
      <c r="E165" s="20" t="s">
        <v>118</v>
      </c>
      <c r="F165" s="20" t="s">
        <v>110</v>
      </c>
      <c r="G165" s="20" t="s">
        <v>160</v>
      </c>
      <c r="H165" s="46">
        <v>260.0</v>
      </c>
      <c r="I165" s="47">
        <v>36.0</v>
      </c>
      <c r="J165" s="20" t="s">
        <v>161</v>
      </c>
      <c r="K165" s="48">
        <v>11.2</v>
      </c>
      <c r="L165" s="20" t="s">
        <v>162</v>
      </c>
      <c r="M165" s="20" t="str">
        <f t="shared" si="1"/>
        <v>Moderate</v>
      </c>
      <c r="N165" s="20" t="s">
        <v>394</v>
      </c>
      <c r="O165" s="20">
        <f>'Priority Scoring'!B165</f>
        <v>4</v>
      </c>
      <c r="P165" s="49">
        <f>'Priority Scoring'!I165</f>
        <v>81</v>
      </c>
      <c r="Q165" s="20" t="str">
        <f>'Priority Scoring'!J165</f>
        <v>High</v>
      </c>
      <c r="R165" s="20" t="s">
        <v>423</v>
      </c>
      <c r="S165" s="20" t="s">
        <v>165</v>
      </c>
      <c r="T165" s="20" t="s">
        <v>168</v>
      </c>
    </row>
    <row r="166" ht="15.75" customHeight="1">
      <c r="A166" s="18" t="s">
        <v>424</v>
      </c>
      <c r="B166" s="18" t="s">
        <v>172</v>
      </c>
      <c r="C166" s="18" t="s">
        <v>421</v>
      </c>
      <c r="D166" s="18" t="s">
        <v>422</v>
      </c>
      <c r="E166" s="18" t="s">
        <v>118</v>
      </c>
      <c r="F166" s="18" t="s">
        <v>110</v>
      </c>
      <c r="G166" s="18" t="s">
        <v>167</v>
      </c>
      <c r="H166" s="42">
        <v>1300.0</v>
      </c>
      <c r="I166" s="43">
        <v>54.0</v>
      </c>
      <c r="J166" s="18" t="s">
        <v>161</v>
      </c>
      <c r="K166" s="44">
        <v>9.8</v>
      </c>
      <c r="L166" s="18" t="s">
        <v>162</v>
      </c>
      <c r="M166" s="18" t="str">
        <f t="shared" si="1"/>
        <v>Competitive</v>
      </c>
      <c r="N166" s="18" t="s">
        <v>394</v>
      </c>
      <c r="O166" s="18">
        <f>'Priority Scoring'!B166</f>
        <v>4</v>
      </c>
      <c r="P166" s="45">
        <f>'Priority Scoring'!I166</f>
        <v>83</v>
      </c>
      <c r="Q166" s="18" t="str">
        <f>'Priority Scoring'!J166</f>
        <v>High</v>
      </c>
      <c r="R166" s="18" t="s">
        <v>423</v>
      </c>
      <c r="S166" s="18" t="s">
        <v>165</v>
      </c>
      <c r="T166" s="18" t="s">
        <v>239</v>
      </c>
    </row>
    <row r="167" ht="15.75" customHeight="1">
      <c r="A167" s="20" t="s">
        <v>425</v>
      </c>
      <c r="B167" s="20" t="s">
        <v>172</v>
      </c>
      <c r="C167" s="20" t="s">
        <v>421</v>
      </c>
      <c r="D167" s="20" t="s">
        <v>422</v>
      </c>
      <c r="E167" s="20" t="s">
        <v>118</v>
      </c>
      <c r="F167" s="20" t="s">
        <v>110</v>
      </c>
      <c r="G167" s="20" t="s">
        <v>167</v>
      </c>
      <c r="H167" s="46">
        <v>90.0</v>
      </c>
      <c r="I167" s="47">
        <v>28.0</v>
      </c>
      <c r="J167" s="20" t="s">
        <v>161</v>
      </c>
      <c r="K167" s="48">
        <v>10.4</v>
      </c>
      <c r="L167" s="20" t="s">
        <v>162</v>
      </c>
      <c r="M167" s="20" t="str">
        <f t="shared" si="1"/>
        <v>Moderate</v>
      </c>
      <c r="N167" s="20" t="s">
        <v>394</v>
      </c>
      <c r="O167" s="20">
        <f>'Priority Scoring'!B167</f>
        <v>4</v>
      </c>
      <c r="P167" s="49">
        <f>'Priority Scoring'!I167</f>
        <v>82</v>
      </c>
      <c r="Q167" s="20" t="str">
        <f>'Priority Scoring'!J167</f>
        <v>High</v>
      </c>
      <c r="R167" s="20" t="s">
        <v>423</v>
      </c>
      <c r="S167" s="20" t="s">
        <v>165</v>
      </c>
      <c r="T167" s="20" t="s">
        <v>168</v>
      </c>
    </row>
    <row r="168" ht="15.75" customHeight="1">
      <c r="A168" s="18" t="s">
        <v>426</v>
      </c>
      <c r="B168" s="18" t="s">
        <v>355</v>
      </c>
      <c r="C168" s="18" t="s">
        <v>421</v>
      </c>
      <c r="D168" s="18" t="s">
        <v>422</v>
      </c>
      <c r="E168" s="18" t="s">
        <v>118</v>
      </c>
      <c r="F168" s="18" t="s">
        <v>110</v>
      </c>
      <c r="G168" s="18" t="s">
        <v>167</v>
      </c>
      <c r="H168" s="42">
        <v>90.0</v>
      </c>
      <c r="I168" s="43">
        <v>26.0</v>
      </c>
      <c r="J168" s="18" t="s">
        <v>161</v>
      </c>
      <c r="K168" s="44">
        <v>10.1</v>
      </c>
      <c r="L168" s="18" t="s">
        <v>162</v>
      </c>
      <c r="M168" s="18" t="str">
        <f t="shared" si="1"/>
        <v>Moderate</v>
      </c>
      <c r="N168" s="18" t="s">
        <v>394</v>
      </c>
      <c r="O168" s="18">
        <f>'Priority Scoring'!B168</f>
        <v>4</v>
      </c>
      <c r="P168" s="45">
        <f>'Priority Scoring'!I168</f>
        <v>82</v>
      </c>
      <c r="Q168" s="18" t="str">
        <f>'Priority Scoring'!J168</f>
        <v>High</v>
      </c>
      <c r="R168" s="18" t="s">
        <v>423</v>
      </c>
      <c r="S168" s="18" t="s">
        <v>165</v>
      </c>
      <c r="T168" s="18" t="s">
        <v>168</v>
      </c>
    </row>
    <row r="169" ht="15.75" customHeight="1">
      <c r="A169" s="20" t="s">
        <v>427</v>
      </c>
      <c r="B169" s="20" t="s">
        <v>180</v>
      </c>
      <c r="C169" s="20" t="s">
        <v>421</v>
      </c>
      <c r="D169" s="20" t="s">
        <v>422</v>
      </c>
      <c r="E169" s="20" t="s">
        <v>118</v>
      </c>
      <c r="F169" s="20" t="s">
        <v>110</v>
      </c>
      <c r="G169" s="20" t="s">
        <v>167</v>
      </c>
      <c r="H169" s="46">
        <v>60.0</v>
      </c>
      <c r="I169" s="47">
        <v>24.0</v>
      </c>
      <c r="J169" s="20" t="s">
        <v>161</v>
      </c>
      <c r="K169" s="48">
        <v>9.2</v>
      </c>
      <c r="L169" s="20" t="s">
        <v>162</v>
      </c>
      <c r="M169" s="20" t="str">
        <f t="shared" si="1"/>
        <v>Moderate</v>
      </c>
      <c r="N169" s="20" t="s">
        <v>394</v>
      </c>
      <c r="O169" s="20">
        <f>'Priority Scoring'!B169</f>
        <v>4</v>
      </c>
      <c r="P169" s="49">
        <f>'Priority Scoring'!I169</f>
        <v>79</v>
      </c>
      <c r="Q169" s="20" t="str">
        <f>'Priority Scoring'!J169</f>
        <v>High</v>
      </c>
      <c r="R169" s="20" t="s">
        <v>423</v>
      </c>
      <c r="S169" s="20" t="s">
        <v>165</v>
      </c>
      <c r="T169" s="20" t="s">
        <v>168</v>
      </c>
    </row>
    <row r="170" ht="15.75" customHeight="1">
      <c r="A170" s="18" t="s">
        <v>428</v>
      </c>
      <c r="B170" s="18" t="s">
        <v>248</v>
      </c>
      <c r="C170" s="18" t="s">
        <v>421</v>
      </c>
      <c r="D170" s="18" t="s">
        <v>422</v>
      </c>
      <c r="E170" s="18" t="s">
        <v>118</v>
      </c>
      <c r="F170" s="18" t="s">
        <v>110</v>
      </c>
      <c r="G170" s="18" t="s">
        <v>167</v>
      </c>
      <c r="H170" s="42">
        <v>320.0</v>
      </c>
      <c r="I170" s="43">
        <v>38.0</v>
      </c>
      <c r="J170" s="18" t="s">
        <v>161</v>
      </c>
      <c r="K170" s="44">
        <v>10.8</v>
      </c>
      <c r="L170" s="18" t="s">
        <v>162</v>
      </c>
      <c r="M170" s="18" t="str">
        <f t="shared" si="1"/>
        <v>Moderate</v>
      </c>
      <c r="N170" s="18" t="s">
        <v>394</v>
      </c>
      <c r="O170" s="18">
        <f>'Priority Scoring'!B170</f>
        <v>4</v>
      </c>
      <c r="P170" s="45">
        <f>'Priority Scoring'!I170</f>
        <v>81</v>
      </c>
      <c r="Q170" s="18" t="str">
        <f>'Priority Scoring'!J170</f>
        <v>High</v>
      </c>
      <c r="R170" s="18" t="s">
        <v>423</v>
      </c>
      <c r="S170" s="18" t="s">
        <v>165</v>
      </c>
      <c r="T170" s="18" t="s">
        <v>168</v>
      </c>
    </row>
    <row r="171" ht="15.75" customHeight="1">
      <c r="A171" s="20" t="s">
        <v>429</v>
      </c>
      <c r="B171" s="20" t="s">
        <v>116</v>
      </c>
      <c r="C171" s="20" t="s">
        <v>421</v>
      </c>
      <c r="D171" s="20" t="s">
        <v>430</v>
      </c>
      <c r="E171" s="20" t="s">
        <v>116</v>
      </c>
      <c r="F171" s="20" t="s">
        <v>108</v>
      </c>
      <c r="G171" s="20" t="s">
        <v>160</v>
      </c>
      <c r="H171" s="46">
        <v>8100.0</v>
      </c>
      <c r="I171" s="47">
        <v>36.0</v>
      </c>
      <c r="J171" s="20" t="s">
        <v>161</v>
      </c>
      <c r="K171" s="48">
        <v>4.9</v>
      </c>
      <c r="L171" s="20" t="s">
        <v>162</v>
      </c>
      <c r="M171" s="20" t="str">
        <f t="shared" si="1"/>
        <v>Moderate</v>
      </c>
      <c r="N171" s="20" t="s">
        <v>310</v>
      </c>
      <c r="O171" s="20">
        <f>'Priority Scoring'!B171</f>
        <v>3</v>
      </c>
      <c r="P171" s="49">
        <f>'Priority Scoring'!I171</f>
        <v>71</v>
      </c>
      <c r="Q171" s="20" t="str">
        <f>'Priority Scoring'!J171</f>
        <v>Medium</v>
      </c>
      <c r="R171" s="20" t="s">
        <v>431</v>
      </c>
      <c r="S171" s="20" t="s">
        <v>198</v>
      </c>
      <c r="T171" s="20" t="s">
        <v>239</v>
      </c>
    </row>
    <row r="172" ht="15.75" customHeight="1">
      <c r="A172" s="18" t="s">
        <v>432</v>
      </c>
      <c r="B172" s="18" t="s">
        <v>112</v>
      </c>
      <c r="C172" s="18" t="s">
        <v>421</v>
      </c>
      <c r="D172" s="18" t="s">
        <v>430</v>
      </c>
      <c r="E172" s="18" t="s">
        <v>112</v>
      </c>
      <c r="F172" s="18" t="s">
        <v>106</v>
      </c>
      <c r="G172" s="18" t="s">
        <v>167</v>
      </c>
      <c r="H172" s="42">
        <v>2900.0</v>
      </c>
      <c r="I172" s="43">
        <v>26.0</v>
      </c>
      <c r="J172" s="18" t="s">
        <v>161</v>
      </c>
      <c r="K172" s="44">
        <v>1.6</v>
      </c>
      <c r="L172" s="18" t="s">
        <v>162</v>
      </c>
      <c r="M172" s="18" t="str">
        <f t="shared" si="1"/>
        <v>Moderate</v>
      </c>
      <c r="N172" s="18" t="s">
        <v>310</v>
      </c>
      <c r="O172" s="18">
        <f>'Priority Scoring'!B172</f>
        <v>3</v>
      </c>
      <c r="P172" s="45">
        <f>'Priority Scoring'!I172</f>
        <v>63</v>
      </c>
      <c r="Q172" s="18" t="str">
        <f>'Priority Scoring'!J172</f>
        <v>Medium</v>
      </c>
      <c r="R172" s="18" t="s">
        <v>431</v>
      </c>
      <c r="S172" s="18" t="s">
        <v>198</v>
      </c>
      <c r="T172" s="18" t="s">
        <v>239</v>
      </c>
    </row>
    <row r="173" ht="15.75" customHeight="1">
      <c r="A173" s="20" t="s">
        <v>433</v>
      </c>
      <c r="B173" s="20" t="s">
        <v>318</v>
      </c>
      <c r="C173" s="20" t="s">
        <v>421</v>
      </c>
      <c r="D173" s="20" t="s">
        <v>430</v>
      </c>
      <c r="E173" s="20" t="s">
        <v>116</v>
      </c>
      <c r="F173" s="20" t="s">
        <v>108</v>
      </c>
      <c r="G173" s="20" t="s">
        <v>167</v>
      </c>
      <c r="H173" s="46">
        <v>3600.0</v>
      </c>
      <c r="I173" s="47">
        <v>40.0</v>
      </c>
      <c r="J173" s="20" t="s">
        <v>161</v>
      </c>
      <c r="K173" s="48">
        <v>6.1</v>
      </c>
      <c r="L173" s="20" t="s">
        <v>162</v>
      </c>
      <c r="M173" s="20" t="str">
        <f t="shared" si="1"/>
        <v>Moderate</v>
      </c>
      <c r="N173" s="20" t="s">
        <v>310</v>
      </c>
      <c r="O173" s="20">
        <f>'Priority Scoring'!B173</f>
        <v>3</v>
      </c>
      <c r="P173" s="49">
        <f>'Priority Scoring'!I173</f>
        <v>71</v>
      </c>
      <c r="Q173" s="20" t="str">
        <f>'Priority Scoring'!J173</f>
        <v>Medium</v>
      </c>
      <c r="R173" s="20" t="s">
        <v>431</v>
      </c>
      <c r="S173" s="20" t="s">
        <v>198</v>
      </c>
      <c r="T173" s="20" t="s">
        <v>239</v>
      </c>
    </row>
    <row r="174" ht="15.75" customHeight="1">
      <c r="A174" s="18" t="s">
        <v>434</v>
      </c>
      <c r="B174" s="18" t="s">
        <v>180</v>
      </c>
      <c r="C174" s="18" t="s">
        <v>421</v>
      </c>
      <c r="D174" s="18" t="s">
        <v>430</v>
      </c>
      <c r="E174" s="18" t="s">
        <v>112</v>
      </c>
      <c r="F174" s="18" t="s">
        <v>106</v>
      </c>
      <c r="G174" s="18" t="s">
        <v>167</v>
      </c>
      <c r="H174" s="42">
        <v>1300.0</v>
      </c>
      <c r="I174" s="43">
        <v>22.0</v>
      </c>
      <c r="J174" s="18" t="s">
        <v>161</v>
      </c>
      <c r="K174" s="44">
        <v>1.5</v>
      </c>
      <c r="L174" s="18" t="s">
        <v>162</v>
      </c>
      <c r="M174" s="18" t="str">
        <f t="shared" si="1"/>
        <v>Moderate</v>
      </c>
      <c r="N174" s="18" t="s">
        <v>310</v>
      </c>
      <c r="O174" s="18">
        <f>'Priority Scoring'!B174</f>
        <v>3</v>
      </c>
      <c r="P174" s="45">
        <f>'Priority Scoring'!I174</f>
        <v>63</v>
      </c>
      <c r="Q174" s="18" t="str">
        <f>'Priority Scoring'!J174</f>
        <v>Medium</v>
      </c>
      <c r="R174" s="18" t="s">
        <v>431</v>
      </c>
      <c r="S174" s="18" t="s">
        <v>198</v>
      </c>
      <c r="T174" s="18" t="s">
        <v>239</v>
      </c>
    </row>
    <row r="175" ht="15.75" customHeight="1">
      <c r="A175" s="20" t="s">
        <v>435</v>
      </c>
      <c r="B175" s="20" t="s">
        <v>112</v>
      </c>
      <c r="C175" s="20" t="s">
        <v>421</v>
      </c>
      <c r="D175" s="20" t="s">
        <v>430</v>
      </c>
      <c r="E175" s="20" t="s">
        <v>112</v>
      </c>
      <c r="F175" s="20" t="s">
        <v>106</v>
      </c>
      <c r="G175" s="20" t="s">
        <v>167</v>
      </c>
      <c r="H175" s="46">
        <v>880.0</v>
      </c>
      <c r="I175" s="47">
        <v>14.0</v>
      </c>
      <c r="J175" s="20" t="s">
        <v>161</v>
      </c>
      <c r="K175" s="48">
        <v>1.0</v>
      </c>
      <c r="L175" s="20" t="s">
        <v>162</v>
      </c>
      <c r="M175" s="20" t="str">
        <f t="shared" si="1"/>
        <v>Easy</v>
      </c>
      <c r="N175" s="20" t="s">
        <v>310</v>
      </c>
      <c r="O175" s="20">
        <f>'Priority Scoring'!B175</f>
        <v>3</v>
      </c>
      <c r="P175" s="49">
        <f>'Priority Scoring'!I175</f>
        <v>64</v>
      </c>
      <c r="Q175" s="20" t="str">
        <f>'Priority Scoring'!J175</f>
        <v>Medium</v>
      </c>
      <c r="R175" s="20" t="s">
        <v>431</v>
      </c>
      <c r="S175" s="20" t="s">
        <v>198</v>
      </c>
      <c r="T175" s="20" t="s">
        <v>239</v>
      </c>
    </row>
    <row r="176" ht="15.75" customHeight="1">
      <c r="A176" s="18" t="s">
        <v>436</v>
      </c>
      <c r="B176" s="18" t="s">
        <v>112</v>
      </c>
      <c r="C176" s="18" t="s">
        <v>421</v>
      </c>
      <c r="D176" s="18" t="s">
        <v>430</v>
      </c>
      <c r="E176" s="18" t="s">
        <v>112</v>
      </c>
      <c r="F176" s="18" t="s">
        <v>106</v>
      </c>
      <c r="G176" s="18" t="s">
        <v>167</v>
      </c>
      <c r="H176" s="42">
        <v>1600.0</v>
      </c>
      <c r="I176" s="43">
        <v>24.0</v>
      </c>
      <c r="J176" s="18" t="s">
        <v>161</v>
      </c>
      <c r="K176" s="44">
        <v>1.7</v>
      </c>
      <c r="L176" s="18" t="s">
        <v>162</v>
      </c>
      <c r="M176" s="18" t="str">
        <f t="shared" si="1"/>
        <v>Moderate</v>
      </c>
      <c r="N176" s="18" t="s">
        <v>310</v>
      </c>
      <c r="O176" s="18">
        <f>'Priority Scoring'!B176</f>
        <v>3</v>
      </c>
      <c r="P176" s="45">
        <f>'Priority Scoring'!I176</f>
        <v>63</v>
      </c>
      <c r="Q176" s="18" t="str">
        <f>'Priority Scoring'!J176</f>
        <v>Medium</v>
      </c>
      <c r="R176" s="18" t="s">
        <v>431</v>
      </c>
      <c r="S176" s="18" t="s">
        <v>198</v>
      </c>
      <c r="T176" s="18" t="s">
        <v>239</v>
      </c>
    </row>
    <row r="177" ht="15.75" customHeight="1">
      <c r="A177" s="20" t="s">
        <v>437</v>
      </c>
      <c r="B177" s="20" t="s">
        <v>172</v>
      </c>
      <c r="C177" s="20" t="s">
        <v>438</v>
      </c>
      <c r="D177" s="20" t="s">
        <v>439</v>
      </c>
      <c r="E177" s="20" t="s">
        <v>118</v>
      </c>
      <c r="F177" s="20" t="s">
        <v>110</v>
      </c>
      <c r="G177" s="20" t="s">
        <v>160</v>
      </c>
      <c r="H177" s="46">
        <v>480.0</v>
      </c>
      <c r="I177" s="47">
        <v>40.0</v>
      </c>
      <c r="J177" s="20" t="s">
        <v>161</v>
      </c>
      <c r="K177" s="48">
        <v>10.2</v>
      </c>
      <c r="L177" s="20" t="s">
        <v>162</v>
      </c>
      <c r="M177" s="20" t="str">
        <f t="shared" si="1"/>
        <v>Moderate</v>
      </c>
      <c r="N177" s="20" t="s">
        <v>440</v>
      </c>
      <c r="O177" s="20">
        <f>'Priority Scoring'!B177</f>
        <v>5</v>
      </c>
      <c r="P177" s="49">
        <f>'Priority Scoring'!I177</f>
        <v>86</v>
      </c>
      <c r="Q177" s="20" t="str">
        <f>'Priority Scoring'!J177</f>
        <v>High</v>
      </c>
      <c r="R177" s="20" t="s">
        <v>441</v>
      </c>
      <c r="S177" s="20" t="s">
        <v>165</v>
      </c>
      <c r="T177" s="20" t="s">
        <v>168</v>
      </c>
    </row>
    <row r="178" ht="15.75" customHeight="1">
      <c r="A178" s="18" t="s">
        <v>132</v>
      </c>
      <c r="B178" s="18" t="s">
        <v>172</v>
      </c>
      <c r="C178" s="18" t="s">
        <v>438</v>
      </c>
      <c r="D178" s="18" t="s">
        <v>439</v>
      </c>
      <c r="E178" s="18" t="s">
        <v>118</v>
      </c>
      <c r="F178" s="18" t="s">
        <v>110</v>
      </c>
      <c r="G178" s="18" t="s">
        <v>167</v>
      </c>
      <c r="H178" s="42">
        <v>210.0</v>
      </c>
      <c r="I178" s="43">
        <v>34.0</v>
      </c>
      <c r="J178" s="18" t="s">
        <v>161</v>
      </c>
      <c r="K178" s="44">
        <v>10.6</v>
      </c>
      <c r="L178" s="18" t="s">
        <v>162</v>
      </c>
      <c r="M178" s="18" t="str">
        <f t="shared" si="1"/>
        <v>Moderate</v>
      </c>
      <c r="N178" s="18" t="s">
        <v>440</v>
      </c>
      <c r="O178" s="18">
        <f>'Priority Scoring'!B178</f>
        <v>5</v>
      </c>
      <c r="P178" s="45">
        <f>'Priority Scoring'!I178</f>
        <v>90</v>
      </c>
      <c r="Q178" s="18" t="str">
        <f>'Priority Scoring'!J178</f>
        <v>Critical</v>
      </c>
      <c r="R178" s="18" t="s">
        <v>441</v>
      </c>
      <c r="S178" s="18" t="s">
        <v>165</v>
      </c>
      <c r="T178" s="18" t="s">
        <v>168</v>
      </c>
    </row>
    <row r="179" ht="15.75" customHeight="1">
      <c r="A179" s="20" t="s">
        <v>442</v>
      </c>
      <c r="B179" s="20" t="s">
        <v>172</v>
      </c>
      <c r="C179" s="20" t="s">
        <v>438</v>
      </c>
      <c r="D179" s="20" t="s">
        <v>439</v>
      </c>
      <c r="E179" s="20" t="s">
        <v>118</v>
      </c>
      <c r="F179" s="20" t="s">
        <v>110</v>
      </c>
      <c r="G179" s="20" t="s">
        <v>167</v>
      </c>
      <c r="H179" s="46">
        <v>140.0</v>
      </c>
      <c r="I179" s="47">
        <v>30.0</v>
      </c>
      <c r="J179" s="20" t="s">
        <v>161</v>
      </c>
      <c r="K179" s="48">
        <v>9.0</v>
      </c>
      <c r="L179" s="20" t="s">
        <v>162</v>
      </c>
      <c r="M179" s="20" t="str">
        <f t="shared" si="1"/>
        <v>Moderate</v>
      </c>
      <c r="N179" s="20" t="s">
        <v>440</v>
      </c>
      <c r="O179" s="20">
        <f>'Priority Scoring'!B179</f>
        <v>5</v>
      </c>
      <c r="P179" s="49">
        <f>'Priority Scoring'!I179</f>
        <v>87</v>
      </c>
      <c r="Q179" s="20" t="str">
        <f>'Priority Scoring'!J179</f>
        <v>High</v>
      </c>
      <c r="R179" s="20" t="s">
        <v>441</v>
      </c>
      <c r="S179" s="20" t="s">
        <v>165</v>
      </c>
      <c r="T179" s="20" t="s">
        <v>168</v>
      </c>
    </row>
    <row r="180" ht="15.75" customHeight="1">
      <c r="A180" s="18" t="s">
        <v>443</v>
      </c>
      <c r="B180" s="18" t="s">
        <v>118</v>
      </c>
      <c r="C180" s="18" t="s">
        <v>438</v>
      </c>
      <c r="D180" s="18" t="s">
        <v>439</v>
      </c>
      <c r="E180" s="18" t="s">
        <v>118</v>
      </c>
      <c r="F180" s="18" t="s">
        <v>110</v>
      </c>
      <c r="G180" s="18" t="s">
        <v>167</v>
      </c>
      <c r="H180" s="42">
        <v>260.0</v>
      </c>
      <c r="I180" s="43">
        <v>38.0</v>
      </c>
      <c r="J180" s="18" t="s">
        <v>161</v>
      </c>
      <c r="K180" s="44">
        <v>11.0</v>
      </c>
      <c r="L180" s="18" t="s">
        <v>162</v>
      </c>
      <c r="M180" s="18" t="str">
        <f t="shared" si="1"/>
        <v>Moderate</v>
      </c>
      <c r="N180" s="18" t="s">
        <v>440</v>
      </c>
      <c r="O180" s="18">
        <f>'Priority Scoring'!B180</f>
        <v>5</v>
      </c>
      <c r="P180" s="45">
        <f>'Priority Scoring'!I180</f>
        <v>86</v>
      </c>
      <c r="Q180" s="18" t="str">
        <f>'Priority Scoring'!J180</f>
        <v>High</v>
      </c>
      <c r="R180" s="18" t="s">
        <v>441</v>
      </c>
      <c r="S180" s="18" t="s">
        <v>165</v>
      </c>
      <c r="T180" s="18" t="s">
        <v>444</v>
      </c>
    </row>
    <row r="181" ht="15.75" customHeight="1">
      <c r="A181" s="20" t="s">
        <v>445</v>
      </c>
      <c r="B181" s="20" t="s">
        <v>248</v>
      </c>
      <c r="C181" s="20" t="s">
        <v>438</v>
      </c>
      <c r="D181" s="20" t="s">
        <v>439</v>
      </c>
      <c r="E181" s="20" t="s">
        <v>118</v>
      </c>
      <c r="F181" s="20" t="s">
        <v>110</v>
      </c>
      <c r="G181" s="20" t="s">
        <v>167</v>
      </c>
      <c r="H181" s="46">
        <v>90.0</v>
      </c>
      <c r="I181" s="47">
        <v>28.0</v>
      </c>
      <c r="J181" s="20" t="s">
        <v>161</v>
      </c>
      <c r="K181" s="48">
        <v>10.2</v>
      </c>
      <c r="L181" s="20" t="s">
        <v>162</v>
      </c>
      <c r="M181" s="20" t="str">
        <f t="shared" si="1"/>
        <v>Moderate</v>
      </c>
      <c r="N181" s="20" t="s">
        <v>440</v>
      </c>
      <c r="O181" s="20">
        <f>'Priority Scoring'!B181</f>
        <v>5</v>
      </c>
      <c r="P181" s="49">
        <f>'Priority Scoring'!I181</f>
        <v>87</v>
      </c>
      <c r="Q181" s="20" t="str">
        <f>'Priority Scoring'!J181</f>
        <v>High</v>
      </c>
      <c r="R181" s="20" t="s">
        <v>441</v>
      </c>
      <c r="S181" s="20" t="s">
        <v>165</v>
      </c>
      <c r="T181" s="20" t="s">
        <v>168</v>
      </c>
    </row>
    <row r="182" ht="15.75" customHeight="1">
      <c r="A182" s="18" t="s">
        <v>446</v>
      </c>
      <c r="B182" s="18" t="s">
        <v>172</v>
      </c>
      <c r="C182" s="18" t="s">
        <v>438</v>
      </c>
      <c r="D182" s="18" t="s">
        <v>439</v>
      </c>
      <c r="E182" s="18" t="s">
        <v>118</v>
      </c>
      <c r="F182" s="18" t="s">
        <v>110</v>
      </c>
      <c r="G182" s="18" t="s">
        <v>167</v>
      </c>
      <c r="H182" s="42">
        <v>1900.0</v>
      </c>
      <c r="I182" s="43">
        <v>58.0</v>
      </c>
      <c r="J182" s="18" t="s">
        <v>161</v>
      </c>
      <c r="K182" s="44">
        <v>8.4</v>
      </c>
      <c r="L182" s="18" t="s">
        <v>162</v>
      </c>
      <c r="M182" s="18" t="str">
        <f t="shared" si="1"/>
        <v>Competitive</v>
      </c>
      <c r="N182" s="18" t="s">
        <v>440</v>
      </c>
      <c r="O182" s="18">
        <f>'Priority Scoring'!B182</f>
        <v>5</v>
      </c>
      <c r="P182" s="45">
        <f>'Priority Scoring'!I182</f>
        <v>88</v>
      </c>
      <c r="Q182" s="18" t="str">
        <f>'Priority Scoring'!J182</f>
        <v>High</v>
      </c>
      <c r="R182" s="18" t="s">
        <v>441</v>
      </c>
      <c r="S182" s="18" t="s">
        <v>165</v>
      </c>
      <c r="T182" s="18" t="s">
        <v>239</v>
      </c>
    </row>
    <row r="183" ht="15.75" customHeight="1">
      <c r="A183" s="20" t="s">
        <v>447</v>
      </c>
      <c r="B183" s="20" t="s">
        <v>180</v>
      </c>
      <c r="C183" s="20" t="s">
        <v>438</v>
      </c>
      <c r="D183" s="20" t="s">
        <v>439</v>
      </c>
      <c r="E183" s="20" t="s">
        <v>118</v>
      </c>
      <c r="F183" s="20" t="s">
        <v>110</v>
      </c>
      <c r="G183" s="20" t="s">
        <v>167</v>
      </c>
      <c r="H183" s="46">
        <v>70.0</v>
      </c>
      <c r="I183" s="47">
        <v>24.0</v>
      </c>
      <c r="J183" s="20" t="s">
        <v>161</v>
      </c>
      <c r="K183" s="48">
        <v>8.8</v>
      </c>
      <c r="L183" s="20" t="s">
        <v>162</v>
      </c>
      <c r="M183" s="20" t="str">
        <f t="shared" si="1"/>
        <v>Moderate</v>
      </c>
      <c r="N183" s="20" t="s">
        <v>440</v>
      </c>
      <c r="O183" s="20">
        <f>'Priority Scoring'!B183</f>
        <v>5</v>
      </c>
      <c r="P183" s="49">
        <f>'Priority Scoring'!I183</f>
        <v>84</v>
      </c>
      <c r="Q183" s="20" t="str">
        <f>'Priority Scoring'!J183</f>
        <v>High</v>
      </c>
      <c r="R183" s="20" t="s">
        <v>441</v>
      </c>
      <c r="S183" s="20" t="s">
        <v>165</v>
      </c>
      <c r="T183" s="20" t="s">
        <v>168</v>
      </c>
    </row>
    <row r="184" ht="15.75" customHeight="1">
      <c r="A184" s="18" t="s">
        <v>448</v>
      </c>
      <c r="B184" s="18" t="s">
        <v>180</v>
      </c>
      <c r="C184" s="18" t="s">
        <v>438</v>
      </c>
      <c r="D184" s="18" t="s">
        <v>439</v>
      </c>
      <c r="E184" s="18" t="s">
        <v>118</v>
      </c>
      <c r="F184" s="18" t="s">
        <v>110</v>
      </c>
      <c r="G184" s="18" t="s">
        <v>167</v>
      </c>
      <c r="H184" s="42">
        <v>50.0</v>
      </c>
      <c r="I184" s="43">
        <v>20.0</v>
      </c>
      <c r="J184" s="18" t="s">
        <v>161</v>
      </c>
      <c r="K184" s="44">
        <v>8.2</v>
      </c>
      <c r="L184" s="18" t="s">
        <v>162</v>
      </c>
      <c r="M184" s="18" t="str">
        <f t="shared" si="1"/>
        <v>Easy</v>
      </c>
      <c r="N184" s="18" t="s">
        <v>440</v>
      </c>
      <c r="O184" s="18">
        <f>'Priority Scoring'!B184</f>
        <v>5</v>
      </c>
      <c r="P184" s="45">
        <f>'Priority Scoring'!I184</f>
        <v>88</v>
      </c>
      <c r="Q184" s="18" t="str">
        <f>'Priority Scoring'!J184</f>
        <v>High</v>
      </c>
      <c r="R184" s="18" t="s">
        <v>441</v>
      </c>
      <c r="S184" s="18" t="s">
        <v>165</v>
      </c>
      <c r="T184" s="18" t="s">
        <v>168</v>
      </c>
    </row>
    <row r="185" ht="15.75" customHeight="1">
      <c r="A185" s="20" t="s">
        <v>449</v>
      </c>
      <c r="B185" s="20" t="s">
        <v>116</v>
      </c>
      <c r="C185" s="20" t="s">
        <v>438</v>
      </c>
      <c r="D185" s="20" t="s">
        <v>450</v>
      </c>
      <c r="E185" s="20" t="s">
        <v>116</v>
      </c>
      <c r="F185" s="20" t="s">
        <v>108</v>
      </c>
      <c r="G185" s="20" t="s">
        <v>160</v>
      </c>
      <c r="H185" s="46">
        <v>14800.0</v>
      </c>
      <c r="I185" s="47">
        <v>40.0</v>
      </c>
      <c r="J185" s="20" t="s">
        <v>161</v>
      </c>
      <c r="K185" s="48">
        <v>4.2</v>
      </c>
      <c r="L185" s="20" t="s">
        <v>162</v>
      </c>
      <c r="M185" s="20" t="str">
        <f t="shared" si="1"/>
        <v>Moderate</v>
      </c>
      <c r="N185" s="20" t="s">
        <v>310</v>
      </c>
      <c r="O185" s="20">
        <f>'Priority Scoring'!B185</f>
        <v>3</v>
      </c>
      <c r="P185" s="49">
        <f>'Priority Scoring'!I185</f>
        <v>71</v>
      </c>
      <c r="Q185" s="20" t="str">
        <f>'Priority Scoring'!J185</f>
        <v>Medium</v>
      </c>
      <c r="R185" s="20" t="s">
        <v>451</v>
      </c>
      <c r="S185" s="20" t="s">
        <v>198</v>
      </c>
      <c r="T185" s="20" t="s">
        <v>239</v>
      </c>
    </row>
    <row r="186" ht="15.75" customHeight="1">
      <c r="A186" s="18" t="s">
        <v>452</v>
      </c>
      <c r="B186" s="18" t="s">
        <v>112</v>
      </c>
      <c r="C186" s="18" t="s">
        <v>438</v>
      </c>
      <c r="D186" s="18" t="s">
        <v>450</v>
      </c>
      <c r="E186" s="18" t="s">
        <v>112</v>
      </c>
      <c r="F186" s="18" t="s">
        <v>106</v>
      </c>
      <c r="G186" s="18" t="s">
        <v>167</v>
      </c>
      <c r="H186" s="42">
        <v>5400.0</v>
      </c>
      <c r="I186" s="43">
        <v>28.0</v>
      </c>
      <c r="J186" s="18" t="s">
        <v>161</v>
      </c>
      <c r="K186" s="44">
        <v>1.8</v>
      </c>
      <c r="L186" s="18" t="s">
        <v>162</v>
      </c>
      <c r="M186" s="18" t="str">
        <f t="shared" si="1"/>
        <v>Moderate</v>
      </c>
      <c r="N186" s="18" t="s">
        <v>310</v>
      </c>
      <c r="O186" s="18">
        <f>'Priority Scoring'!B186</f>
        <v>3</v>
      </c>
      <c r="P186" s="45">
        <f>'Priority Scoring'!I186</f>
        <v>63</v>
      </c>
      <c r="Q186" s="18" t="str">
        <f>'Priority Scoring'!J186</f>
        <v>Medium</v>
      </c>
      <c r="R186" s="18" t="s">
        <v>451</v>
      </c>
      <c r="S186" s="18" t="s">
        <v>198</v>
      </c>
      <c r="T186" s="18" t="s">
        <v>239</v>
      </c>
    </row>
    <row r="187" ht="15.75" customHeight="1">
      <c r="A187" s="20" t="s">
        <v>453</v>
      </c>
      <c r="B187" s="20" t="s">
        <v>318</v>
      </c>
      <c r="C187" s="20" t="s">
        <v>438</v>
      </c>
      <c r="D187" s="20" t="s">
        <v>450</v>
      </c>
      <c r="E187" s="20" t="s">
        <v>116</v>
      </c>
      <c r="F187" s="20" t="s">
        <v>108</v>
      </c>
      <c r="G187" s="20" t="s">
        <v>167</v>
      </c>
      <c r="H187" s="46">
        <v>1600.0</v>
      </c>
      <c r="I187" s="47">
        <v>28.0</v>
      </c>
      <c r="J187" s="20" t="s">
        <v>161</v>
      </c>
      <c r="K187" s="48">
        <v>3.2</v>
      </c>
      <c r="L187" s="20" t="s">
        <v>162</v>
      </c>
      <c r="M187" s="20" t="str">
        <f t="shared" si="1"/>
        <v>Moderate</v>
      </c>
      <c r="N187" s="20" t="s">
        <v>310</v>
      </c>
      <c r="O187" s="20">
        <f>'Priority Scoring'!B187</f>
        <v>3</v>
      </c>
      <c r="P187" s="49">
        <f>'Priority Scoring'!I187</f>
        <v>75</v>
      </c>
      <c r="Q187" s="20" t="str">
        <f>'Priority Scoring'!J187</f>
        <v>High</v>
      </c>
      <c r="R187" s="20" t="s">
        <v>451</v>
      </c>
      <c r="S187" s="20" t="s">
        <v>198</v>
      </c>
      <c r="T187" s="20" t="s">
        <v>239</v>
      </c>
    </row>
    <row r="188" ht="15.75" customHeight="1">
      <c r="A188" s="18" t="s">
        <v>454</v>
      </c>
      <c r="B188" s="18" t="s">
        <v>112</v>
      </c>
      <c r="C188" s="18" t="s">
        <v>438</v>
      </c>
      <c r="D188" s="18" t="s">
        <v>450</v>
      </c>
      <c r="E188" s="18" t="s">
        <v>112</v>
      </c>
      <c r="F188" s="18" t="s">
        <v>106</v>
      </c>
      <c r="G188" s="18" t="s">
        <v>167</v>
      </c>
      <c r="H188" s="42">
        <v>3600.0</v>
      </c>
      <c r="I188" s="43">
        <v>24.0</v>
      </c>
      <c r="J188" s="18" t="s">
        <v>161</v>
      </c>
      <c r="K188" s="44">
        <v>2.0</v>
      </c>
      <c r="L188" s="18" t="s">
        <v>162</v>
      </c>
      <c r="M188" s="18" t="str">
        <f t="shared" si="1"/>
        <v>Moderate</v>
      </c>
      <c r="N188" s="18" t="s">
        <v>310</v>
      </c>
      <c r="O188" s="18">
        <f>'Priority Scoring'!B188</f>
        <v>3</v>
      </c>
      <c r="P188" s="45">
        <f>'Priority Scoring'!I188</f>
        <v>63</v>
      </c>
      <c r="Q188" s="18" t="str">
        <f>'Priority Scoring'!J188</f>
        <v>Medium</v>
      </c>
      <c r="R188" s="18" t="s">
        <v>451</v>
      </c>
      <c r="S188" s="18" t="s">
        <v>198</v>
      </c>
      <c r="T188" s="18" t="s">
        <v>239</v>
      </c>
    </row>
    <row r="189" ht="15.75" customHeight="1">
      <c r="A189" s="20" t="s">
        <v>455</v>
      </c>
      <c r="B189" s="20" t="s">
        <v>248</v>
      </c>
      <c r="C189" s="20" t="s">
        <v>438</v>
      </c>
      <c r="D189" s="20" t="s">
        <v>450</v>
      </c>
      <c r="E189" s="20" t="s">
        <v>112</v>
      </c>
      <c r="F189" s="20" t="s">
        <v>106</v>
      </c>
      <c r="G189" s="20" t="s">
        <v>167</v>
      </c>
      <c r="H189" s="46">
        <v>2400.0</v>
      </c>
      <c r="I189" s="47">
        <v>20.0</v>
      </c>
      <c r="J189" s="20" t="s">
        <v>161</v>
      </c>
      <c r="K189" s="48">
        <v>1.4</v>
      </c>
      <c r="L189" s="20" t="s">
        <v>162</v>
      </c>
      <c r="M189" s="20" t="str">
        <f t="shared" si="1"/>
        <v>Easy</v>
      </c>
      <c r="N189" s="20" t="s">
        <v>310</v>
      </c>
      <c r="O189" s="20">
        <f>'Priority Scoring'!B189</f>
        <v>3</v>
      </c>
      <c r="P189" s="49">
        <f>'Priority Scoring'!I189</f>
        <v>67</v>
      </c>
      <c r="Q189" s="20" t="str">
        <f>'Priority Scoring'!J189</f>
        <v>Medium</v>
      </c>
      <c r="R189" s="20" t="s">
        <v>451</v>
      </c>
      <c r="S189" s="20" t="s">
        <v>198</v>
      </c>
      <c r="T189" s="20" t="s">
        <v>239</v>
      </c>
    </row>
    <row r="190" ht="15.75" customHeight="1">
      <c r="A190" s="18" t="s">
        <v>456</v>
      </c>
      <c r="B190" s="18" t="s">
        <v>180</v>
      </c>
      <c r="C190" s="18" t="s">
        <v>438</v>
      </c>
      <c r="D190" s="18" t="s">
        <v>450</v>
      </c>
      <c r="E190" s="18" t="s">
        <v>112</v>
      </c>
      <c r="F190" s="18" t="s">
        <v>106</v>
      </c>
      <c r="G190" s="18" t="s">
        <v>167</v>
      </c>
      <c r="H190" s="42">
        <v>2900.0</v>
      </c>
      <c r="I190" s="43">
        <v>24.0</v>
      </c>
      <c r="J190" s="18" t="s">
        <v>161</v>
      </c>
      <c r="K190" s="44">
        <v>2.2</v>
      </c>
      <c r="L190" s="18" t="s">
        <v>162</v>
      </c>
      <c r="M190" s="18" t="str">
        <f t="shared" si="1"/>
        <v>Moderate</v>
      </c>
      <c r="N190" s="18" t="s">
        <v>310</v>
      </c>
      <c r="O190" s="18">
        <f>'Priority Scoring'!B190</f>
        <v>3</v>
      </c>
      <c r="P190" s="45">
        <f>'Priority Scoring'!I190</f>
        <v>63</v>
      </c>
      <c r="Q190" s="18" t="str">
        <f>'Priority Scoring'!J190</f>
        <v>Medium</v>
      </c>
      <c r="R190" s="18" t="s">
        <v>451</v>
      </c>
      <c r="S190" s="18" t="s">
        <v>198</v>
      </c>
      <c r="T190" s="18" t="s">
        <v>239</v>
      </c>
    </row>
    <row r="191" ht="15.75" customHeight="1">
      <c r="A191" s="20" t="s">
        <v>457</v>
      </c>
      <c r="B191" s="20" t="s">
        <v>318</v>
      </c>
      <c r="C191" s="20" t="s">
        <v>438</v>
      </c>
      <c r="D191" s="20" t="s">
        <v>450</v>
      </c>
      <c r="E191" s="20" t="s">
        <v>116</v>
      </c>
      <c r="F191" s="20" t="s">
        <v>108</v>
      </c>
      <c r="G191" s="20" t="s">
        <v>167</v>
      </c>
      <c r="H191" s="46">
        <v>880.0</v>
      </c>
      <c r="I191" s="47">
        <v>24.0</v>
      </c>
      <c r="J191" s="20" t="s">
        <v>161</v>
      </c>
      <c r="K191" s="48">
        <v>3.0</v>
      </c>
      <c r="L191" s="20" t="s">
        <v>162</v>
      </c>
      <c r="M191" s="20" t="str">
        <f t="shared" si="1"/>
        <v>Moderate</v>
      </c>
      <c r="N191" s="20" t="s">
        <v>310</v>
      </c>
      <c r="O191" s="20">
        <f>'Priority Scoring'!B191</f>
        <v>3</v>
      </c>
      <c r="P191" s="49">
        <f>'Priority Scoring'!I191</f>
        <v>72</v>
      </c>
      <c r="Q191" s="20" t="str">
        <f>'Priority Scoring'!J191</f>
        <v>Medium</v>
      </c>
      <c r="R191" s="20" t="s">
        <v>451</v>
      </c>
      <c r="S191" s="20" t="s">
        <v>198</v>
      </c>
      <c r="T191" s="20" t="s">
        <v>239</v>
      </c>
    </row>
    <row r="192" ht="15.75" customHeight="1">
      <c r="A192" s="18" t="s">
        <v>458</v>
      </c>
      <c r="B192" s="18" t="s">
        <v>112</v>
      </c>
      <c r="C192" s="18" t="s">
        <v>438</v>
      </c>
      <c r="D192" s="18" t="s">
        <v>450</v>
      </c>
      <c r="E192" s="18" t="s">
        <v>112</v>
      </c>
      <c r="F192" s="18" t="s">
        <v>106</v>
      </c>
      <c r="G192" s="18" t="s">
        <v>167</v>
      </c>
      <c r="H192" s="42">
        <v>1600.0</v>
      </c>
      <c r="I192" s="43">
        <v>20.0</v>
      </c>
      <c r="J192" s="18" t="s">
        <v>161</v>
      </c>
      <c r="K192" s="44">
        <v>2.4</v>
      </c>
      <c r="L192" s="18" t="s">
        <v>162</v>
      </c>
      <c r="M192" s="18" t="str">
        <f t="shared" si="1"/>
        <v>Easy</v>
      </c>
      <c r="N192" s="18" t="s">
        <v>310</v>
      </c>
      <c r="O192" s="18">
        <f>'Priority Scoring'!B192</f>
        <v>3</v>
      </c>
      <c r="P192" s="45">
        <f>'Priority Scoring'!I192</f>
        <v>67</v>
      </c>
      <c r="Q192" s="18" t="str">
        <f>'Priority Scoring'!J192</f>
        <v>Medium</v>
      </c>
      <c r="R192" s="18" t="s">
        <v>451</v>
      </c>
      <c r="S192" s="18" t="s">
        <v>198</v>
      </c>
      <c r="T192" s="18" t="s">
        <v>239</v>
      </c>
    </row>
    <row r="193" ht="15.75" customHeight="1">
      <c r="A193" s="20" t="s">
        <v>459</v>
      </c>
      <c r="B193" s="20" t="s">
        <v>172</v>
      </c>
      <c r="C193" s="20" t="s">
        <v>460</v>
      </c>
      <c r="D193" s="20" t="s">
        <v>461</v>
      </c>
      <c r="E193" s="20" t="s">
        <v>118</v>
      </c>
      <c r="F193" s="20" t="s">
        <v>110</v>
      </c>
      <c r="G193" s="20" t="s">
        <v>160</v>
      </c>
      <c r="H193" s="46">
        <v>3600.0</v>
      </c>
      <c r="I193" s="47">
        <v>62.0</v>
      </c>
      <c r="J193" s="20" t="s">
        <v>161</v>
      </c>
      <c r="K193" s="48">
        <v>24.6</v>
      </c>
      <c r="L193" s="20" t="s">
        <v>162</v>
      </c>
      <c r="M193" s="20" t="str">
        <f t="shared" si="1"/>
        <v>Competitive</v>
      </c>
      <c r="N193" s="20" t="s">
        <v>462</v>
      </c>
      <c r="O193" s="20">
        <f>'Priority Scoring'!B193</f>
        <v>4</v>
      </c>
      <c r="P193" s="49">
        <f>'Priority Scoring'!I193</f>
        <v>81</v>
      </c>
      <c r="Q193" s="20" t="str">
        <f>'Priority Scoring'!J193</f>
        <v>High</v>
      </c>
      <c r="R193" s="20" t="s">
        <v>463</v>
      </c>
      <c r="S193" s="20" t="s">
        <v>165</v>
      </c>
      <c r="T193" s="20" t="s">
        <v>464</v>
      </c>
    </row>
    <row r="194" ht="15.75" customHeight="1">
      <c r="A194" s="18" t="s">
        <v>465</v>
      </c>
      <c r="B194" s="18" t="s">
        <v>172</v>
      </c>
      <c r="C194" s="18" t="s">
        <v>460</v>
      </c>
      <c r="D194" s="18" t="s">
        <v>461</v>
      </c>
      <c r="E194" s="18" t="s">
        <v>118</v>
      </c>
      <c r="F194" s="18" t="s">
        <v>110</v>
      </c>
      <c r="G194" s="18" t="s">
        <v>167</v>
      </c>
      <c r="H194" s="42">
        <v>5400.0</v>
      </c>
      <c r="I194" s="43">
        <v>72.0</v>
      </c>
      <c r="J194" s="18" t="s">
        <v>161</v>
      </c>
      <c r="K194" s="44">
        <v>20.3</v>
      </c>
      <c r="L194" s="18" t="s">
        <v>162</v>
      </c>
      <c r="M194" s="18" t="str">
        <f t="shared" si="1"/>
        <v>Very Competitive</v>
      </c>
      <c r="N194" s="18" t="s">
        <v>462</v>
      </c>
      <c r="O194" s="18">
        <f>'Priority Scoring'!B194</f>
        <v>4</v>
      </c>
      <c r="P194" s="45">
        <f>'Priority Scoring'!I194</f>
        <v>77</v>
      </c>
      <c r="Q194" s="18" t="str">
        <f>'Priority Scoring'!J194</f>
        <v>High</v>
      </c>
      <c r="R194" s="18" t="s">
        <v>463</v>
      </c>
      <c r="S194" s="18" t="s">
        <v>165</v>
      </c>
      <c r="T194" s="18" t="s">
        <v>239</v>
      </c>
    </row>
    <row r="195" ht="15.75" customHeight="1">
      <c r="A195" s="20" t="s">
        <v>466</v>
      </c>
      <c r="B195" s="20" t="s">
        <v>172</v>
      </c>
      <c r="C195" s="20" t="s">
        <v>460</v>
      </c>
      <c r="D195" s="20" t="s">
        <v>461</v>
      </c>
      <c r="E195" s="20" t="s">
        <v>118</v>
      </c>
      <c r="F195" s="20" t="s">
        <v>110</v>
      </c>
      <c r="G195" s="20" t="s">
        <v>167</v>
      </c>
      <c r="H195" s="46">
        <v>880.0</v>
      </c>
      <c r="I195" s="47">
        <v>56.0</v>
      </c>
      <c r="J195" s="20" t="s">
        <v>161</v>
      </c>
      <c r="K195" s="48">
        <v>22.1</v>
      </c>
      <c r="L195" s="20" t="s">
        <v>162</v>
      </c>
      <c r="M195" s="20" t="str">
        <f t="shared" si="1"/>
        <v>Competitive</v>
      </c>
      <c r="N195" s="20" t="s">
        <v>462</v>
      </c>
      <c r="O195" s="20">
        <f>'Priority Scoring'!B195</f>
        <v>4</v>
      </c>
      <c r="P195" s="49">
        <f>'Priority Scoring'!I195</f>
        <v>78</v>
      </c>
      <c r="Q195" s="20" t="str">
        <f>'Priority Scoring'!J195</f>
        <v>High</v>
      </c>
      <c r="R195" s="20" t="s">
        <v>463</v>
      </c>
      <c r="S195" s="20" t="s">
        <v>165</v>
      </c>
      <c r="T195" s="20" t="s">
        <v>168</v>
      </c>
    </row>
    <row r="196" ht="15.75" customHeight="1">
      <c r="A196" s="18" t="s">
        <v>467</v>
      </c>
      <c r="B196" s="18" t="s">
        <v>118</v>
      </c>
      <c r="C196" s="18" t="s">
        <v>460</v>
      </c>
      <c r="D196" s="18" t="s">
        <v>461</v>
      </c>
      <c r="E196" s="18" t="s">
        <v>118</v>
      </c>
      <c r="F196" s="18" t="s">
        <v>110</v>
      </c>
      <c r="G196" s="18" t="s">
        <v>167</v>
      </c>
      <c r="H196" s="42">
        <v>480.0</v>
      </c>
      <c r="I196" s="43">
        <v>46.0</v>
      </c>
      <c r="J196" s="18" t="s">
        <v>161</v>
      </c>
      <c r="K196" s="44">
        <v>18.0</v>
      </c>
      <c r="L196" s="18" t="s">
        <v>162</v>
      </c>
      <c r="M196" s="18" t="str">
        <f t="shared" si="1"/>
        <v>Competitive</v>
      </c>
      <c r="N196" s="18" t="s">
        <v>462</v>
      </c>
      <c r="O196" s="18">
        <f>'Priority Scoring'!B196</f>
        <v>4</v>
      </c>
      <c r="P196" s="45">
        <f>'Priority Scoring'!I196</f>
        <v>79</v>
      </c>
      <c r="Q196" s="18" t="str">
        <f>'Priority Scoring'!J196</f>
        <v>High</v>
      </c>
      <c r="R196" s="18" t="s">
        <v>463</v>
      </c>
      <c r="S196" s="18" t="s">
        <v>165</v>
      </c>
      <c r="T196" s="18" t="s">
        <v>168</v>
      </c>
    </row>
    <row r="197" ht="15.75" customHeight="1">
      <c r="A197" s="20" t="s">
        <v>468</v>
      </c>
      <c r="B197" s="20" t="s">
        <v>172</v>
      </c>
      <c r="C197" s="20" t="s">
        <v>460</v>
      </c>
      <c r="D197" s="20" t="s">
        <v>461</v>
      </c>
      <c r="E197" s="20" t="s">
        <v>118</v>
      </c>
      <c r="F197" s="20" t="s">
        <v>110</v>
      </c>
      <c r="G197" s="20" t="s">
        <v>167</v>
      </c>
      <c r="H197" s="46">
        <v>210.0</v>
      </c>
      <c r="I197" s="47">
        <v>40.0</v>
      </c>
      <c r="J197" s="20" t="s">
        <v>161</v>
      </c>
      <c r="K197" s="48">
        <v>20.5</v>
      </c>
      <c r="L197" s="20" t="s">
        <v>162</v>
      </c>
      <c r="M197" s="20" t="str">
        <f t="shared" si="1"/>
        <v>Moderate</v>
      </c>
      <c r="N197" s="20" t="s">
        <v>462</v>
      </c>
      <c r="O197" s="20">
        <f>'Priority Scoring'!B197</f>
        <v>4</v>
      </c>
      <c r="P197" s="49">
        <f>'Priority Scoring'!I197</f>
        <v>79</v>
      </c>
      <c r="Q197" s="20" t="str">
        <f>'Priority Scoring'!J197</f>
        <v>High</v>
      </c>
      <c r="R197" s="20" t="s">
        <v>463</v>
      </c>
      <c r="S197" s="20" t="s">
        <v>165</v>
      </c>
      <c r="T197" s="20" t="s">
        <v>168</v>
      </c>
    </row>
    <row r="198" ht="15.75" customHeight="1">
      <c r="A198" s="18" t="s">
        <v>469</v>
      </c>
      <c r="B198" s="18" t="s">
        <v>180</v>
      </c>
      <c r="C198" s="18" t="s">
        <v>460</v>
      </c>
      <c r="D198" s="18" t="s">
        <v>461</v>
      </c>
      <c r="E198" s="18" t="s">
        <v>118</v>
      </c>
      <c r="F198" s="18" t="s">
        <v>110</v>
      </c>
      <c r="G198" s="18" t="s">
        <v>167</v>
      </c>
      <c r="H198" s="42">
        <v>140.0</v>
      </c>
      <c r="I198" s="43">
        <v>38.0</v>
      </c>
      <c r="J198" s="18" t="s">
        <v>161</v>
      </c>
      <c r="K198" s="44">
        <v>18.0</v>
      </c>
      <c r="L198" s="18" t="s">
        <v>162</v>
      </c>
      <c r="M198" s="18" t="str">
        <f t="shared" si="1"/>
        <v>Moderate</v>
      </c>
      <c r="N198" s="18" t="s">
        <v>462</v>
      </c>
      <c r="O198" s="18">
        <f>'Priority Scoring'!B198</f>
        <v>4</v>
      </c>
      <c r="P198" s="45">
        <f>'Priority Scoring'!I198</f>
        <v>76</v>
      </c>
      <c r="Q198" s="18" t="str">
        <f>'Priority Scoring'!J198</f>
        <v>High</v>
      </c>
      <c r="R198" s="18" t="s">
        <v>463</v>
      </c>
      <c r="S198" s="18" t="s">
        <v>165</v>
      </c>
      <c r="T198" s="18" t="s">
        <v>168</v>
      </c>
    </row>
    <row r="199" ht="15.75" customHeight="1">
      <c r="A199" s="20" t="s">
        <v>470</v>
      </c>
      <c r="B199" s="20" t="s">
        <v>172</v>
      </c>
      <c r="C199" s="20" t="s">
        <v>471</v>
      </c>
      <c r="D199" s="20" t="s">
        <v>472</v>
      </c>
      <c r="E199" s="20" t="s">
        <v>118</v>
      </c>
      <c r="F199" s="20" t="s">
        <v>110</v>
      </c>
      <c r="G199" s="20" t="s">
        <v>160</v>
      </c>
      <c r="H199" s="46">
        <v>390.0</v>
      </c>
      <c r="I199" s="47">
        <v>44.0</v>
      </c>
      <c r="J199" s="20" t="s">
        <v>161</v>
      </c>
      <c r="K199" s="48">
        <v>12.4</v>
      </c>
      <c r="L199" s="20" t="s">
        <v>162</v>
      </c>
      <c r="M199" s="20" t="str">
        <f t="shared" si="1"/>
        <v>Competitive</v>
      </c>
      <c r="N199" s="20" t="s">
        <v>473</v>
      </c>
      <c r="O199" s="20">
        <f>'Priority Scoring'!B199</f>
        <v>3</v>
      </c>
      <c r="P199" s="49">
        <f>'Priority Scoring'!I199</f>
        <v>72</v>
      </c>
      <c r="Q199" s="20" t="str">
        <f>'Priority Scoring'!J199</f>
        <v>Medium</v>
      </c>
      <c r="R199" s="20" t="s">
        <v>474</v>
      </c>
      <c r="S199" s="20" t="s">
        <v>198</v>
      </c>
      <c r="T199" s="20" t="s">
        <v>168</v>
      </c>
    </row>
    <row r="200" ht="15.75" customHeight="1">
      <c r="A200" s="18" t="s">
        <v>475</v>
      </c>
      <c r="B200" s="18" t="s">
        <v>172</v>
      </c>
      <c r="C200" s="18" t="s">
        <v>471</v>
      </c>
      <c r="D200" s="18" t="s">
        <v>472</v>
      </c>
      <c r="E200" s="18" t="s">
        <v>118</v>
      </c>
      <c r="F200" s="18" t="s">
        <v>110</v>
      </c>
      <c r="G200" s="18" t="s">
        <v>167</v>
      </c>
      <c r="H200" s="42">
        <v>210.0</v>
      </c>
      <c r="I200" s="43">
        <v>40.0</v>
      </c>
      <c r="J200" s="18" t="s">
        <v>161</v>
      </c>
      <c r="K200" s="44">
        <v>12.8</v>
      </c>
      <c r="L200" s="18" t="s">
        <v>162</v>
      </c>
      <c r="M200" s="18" t="str">
        <f t="shared" si="1"/>
        <v>Moderate</v>
      </c>
      <c r="N200" s="18" t="s">
        <v>473</v>
      </c>
      <c r="O200" s="18">
        <f>'Priority Scoring'!B200</f>
        <v>3</v>
      </c>
      <c r="P200" s="45">
        <f>'Priority Scoring'!I200</f>
        <v>72</v>
      </c>
      <c r="Q200" s="18" t="str">
        <f>'Priority Scoring'!J200</f>
        <v>Medium</v>
      </c>
      <c r="R200" s="18" t="s">
        <v>474</v>
      </c>
      <c r="S200" s="18" t="s">
        <v>198</v>
      </c>
      <c r="T200" s="18" t="s">
        <v>168</v>
      </c>
    </row>
    <row r="201" ht="15.75" customHeight="1">
      <c r="A201" s="20" t="s">
        <v>476</v>
      </c>
      <c r="B201" s="20" t="s">
        <v>172</v>
      </c>
      <c r="C201" s="20" t="s">
        <v>471</v>
      </c>
      <c r="D201" s="20" t="s">
        <v>472</v>
      </c>
      <c r="E201" s="20" t="s">
        <v>118</v>
      </c>
      <c r="F201" s="20" t="s">
        <v>110</v>
      </c>
      <c r="G201" s="20" t="s">
        <v>167</v>
      </c>
      <c r="H201" s="46">
        <v>1300.0</v>
      </c>
      <c r="I201" s="47">
        <v>56.0</v>
      </c>
      <c r="J201" s="20" t="s">
        <v>161</v>
      </c>
      <c r="K201" s="48">
        <v>11.0</v>
      </c>
      <c r="L201" s="20" t="s">
        <v>162</v>
      </c>
      <c r="M201" s="20" t="str">
        <f t="shared" si="1"/>
        <v>Competitive</v>
      </c>
      <c r="N201" s="20" t="s">
        <v>473</v>
      </c>
      <c r="O201" s="20">
        <f>'Priority Scoring'!B201</f>
        <v>3</v>
      </c>
      <c r="P201" s="49">
        <f>'Priority Scoring'!I201</f>
        <v>74</v>
      </c>
      <c r="Q201" s="20" t="str">
        <f>'Priority Scoring'!J201</f>
        <v>Medium</v>
      </c>
      <c r="R201" s="20" t="s">
        <v>474</v>
      </c>
      <c r="S201" s="20" t="s">
        <v>198</v>
      </c>
      <c r="T201" s="20" t="s">
        <v>239</v>
      </c>
    </row>
    <row r="202" ht="15.75" customHeight="1">
      <c r="A202" s="18" t="s">
        <v>477</v>
      </c>
      <c r="B202" s="18" t="s">
        <v>172</v>
      </c>
      <c r="C202" s="18" t="s">
        <v>478</v>
      </c>
      <c r="D202" s="18" t="s">
        <v>479</v>
      </c>
      <c r="E202" s="18" t="s">
        <v>118</v>
      </c>
      <c r="F202" s="18" t="s">
        <v>110</v>
      </c>
      <c r="G202" s="18" t="s">
        <v>160</v>
      </c>
      <c r="H202" s="42">
        <v>320.0</v>
      </c>
      <c r="I202" s="43">
        <v>42.0</v>
      </c>
      <c r="J202" s="18" t="s">
        <v>161</v>
      </c>
      <c r="K202" s="44">
        <v>10.2</v>
      </c>
      <c r="L202" s="18" t="s">
        <v>162</v>
      </c>
      <c r="M202" s="18" t="str">
        <f t="shared" si="1"/>
        <v>Competitive</v>
      </c>
      <c r="N202" s="18" t="s">
        <v>480</v>
      </c>
      <c r="O202" s="18">
        <f>'Priority Scoring'!B202</f>
        <v>3</v>
      </c>
      <c r="P202" s="45">
        <f>'Priority Scoring'!I202</f>
        <v>72</v>
      </c>
      <c r="Q202" s="18" t="str">
        <f>'Priority Scoring'!J202</f>
        <v>Medium</v>
      </c>
      <c r="R202" s="18" t="s">
        <v>481</v>
      </c>
      <c r="S202" s="18" t="s">
        <v>198</v>
      </c>
      <c r="T202" s="18" t="s">
        <v>168</v>
      </c>
    </row>
    <row r="203" ht="15.75" customHeight="1">
      <c r="A203" s="20" t="s">
        <v>482</v>
      </c>
      <c r="B203" s="20" t="s">
        <v>172</v>
      </c>
      <c r="C203" s="20" t="s">
        <v>478</v>
      </c>
      <c r="D203" s="20" t="s">
        <v>479</v>
      </c>
      <c r="E203" s="20" t="s">
        <v>118</v>
      </c>
      <c r="F203" s="20" t="s">
        <v>110</v>
      </c>
      <c r="G203" s="20" t="s">
        <v>167</v>
      </c>
      <c r="H203" s="46">
        <v>880.0</v>
      </c>
      <c r="I203" s="47">
        <v>50.0</v>
      </c>
      <c r="J203" s="20" t="s">
        <v>161</v>
      </c>
      <c r="K203" s="48">
        <v>9.6</v>
      </c>
      <c r="L203" s="20" t="s">
        <v>162</v>
      </c>
      <c r="M203" s="20" t="str">
        <f t="shared" si="1"/>
        <v>Competitive</v>
      </c>
      <c r="N203" s="20" t="s">
        <v>480</v>
      </c>
      <c r="O203" s="20">
        <f>'Priority Scoring'!B203</f>
        <v>3</v>
      </c>
      <c r="P203" s="49">
        <f>'Priority Scoring'!I203</f>
        <v>75</v>
      </c>
      <c r="Q203" s="20" t="str">
        <f>'Priority Scoring'!J203</f>
        <v>High</v>
      </c>
      <c r="R203" s="20" t="s">
        <v>481</v>
      </c>
      <c r="S203" s="20" t="s">
        <v>198</v>
      </c>
      <c r="T203" s="20" t="s">
        <v>239</v>
      </c>
    </row>
    <row r="204" ht="15.75" customHeight="1">
      <c r="A204" s="18" t="s">
        <v>483</v>
      </c>
      <c r="B204" s="18" t="s">
        <v>172</v>
      </c>
      <c r="C204" s="18" t="s">
        <v>478</v>
      </c>
      <c r="D204" s="18" t="s">
        <v>479</v>
      </c>
      <c r="E204" s="18" t="s">
        <v>118</v>
      </c>
      <c r="F204" s="18" t="s">
        <v>110</v>
      </c>
      <c r="G204" s="18" t="s">
        <v>167</v>
      </c>
      <c r="H204" s="42">
        <v>90.0</v>
      </c>
      <c r="I204" s="43">
        <v>28.0</v>
      </c>
      <c r="J204" s="18" t="s">
        <v>161</v>
      </c>
      <c r="K204" s="44">
        <v>9.0</v>
      </c>
      <c r="L204" s="18" t="s">
        <v>162</v>
      </c>
      <c r="M204" s="18" t="str">
        <f t="shared" si="1"/>
        <v>Moderate</v>
      </c>
      <c r="N204" s="18" t="s">
        <v>480</v>
      </c>
      <c r="O204" s="18">
        <f>'Priority Scoring'!B204</f>
        <v>3</v>
      </c>
      <c r="P204" s="45">
        <f>'Priority Scoring'!I204</f>
        <v>73</v>
      </c>
      <c r="Q204" s="18" t="str">
        <f>'Priority Scoring'!J204</f>
        <v>Medium</v>
      </c>
      <c r="R204" s="18" t="s">
        <v>481</v>
      </c>
      <c r="S204" s="18" t="s">
        <v>198</v>
      </c>
      <c r="T204" s="18" t="s">
        <v>168</v>
      </c>
    </row>
    <row r="205" ht="15.75" customHeight="1">
      <c r="A205" s="20" t="s">
        <v>484</v>
      </c>
      <c r="B205" s="20" t="s">
        <v>116</v>
      </c>
      <c r="C205" s="20" t="s">
        <v>485</v>
      </c>
      <c r="D205" s="20" t="s">
        <v>486</v>
      </c>
      <c r="E205" s="20" t="s">
        <v>116</v>
      </c>
      <c r="F205" s="20" t="s">
        <v>108</v>
      </c>
      <c r="G205" s="20" t="s">
        <v>160</v>
      </c>
      <c r="H205" s="46">
        <v>70.0</v>
      </c>
      <c r="I205" s="47">
        <v>22.0</v>
      </c>
      <c r="J205" s="20" t="s">
        <v>161</v>
      </c>
      <c r="K205" s="48">
        <v>5.0</v>
      </c>
      <c r="L205" s="20" t="s">
        <v>162</v>
      </c>
      <c r="M205" s="20" t="str">
        <f t="shared" si="1"/>
        <v>Moderate</v>
      </c>
      <c r="N205" s="20" t="s">
        <v>487</v>
      </c>
      <c r="O205" s="20">
        <f>'Priority Scoring'!B205</f>
        <v>3</v>
      </c>
      <c r="P205" s="49">
        <f>'Priority Scoring'!I205</f>
        <v>61</v>
      </c>
      <c r="Q205" s="20" t="str">
        <f>'Priority Scoring'!J205</f>
        <v>Medium</v>
      </c>
      <c r="R205" s="20" t="s">
        <v>488</v>
      </c>
      <c r="S205" s="20" t="s">
        <v>198</v>
      </c>
      <c r="T205" s="20" t="s">
        <v>168</v>
      </c>
    </row>
    <row r="206" ht="15.75" customHeight="1">
      <c r="A206" s="18" t="s">
        <v>489</v>
      </c>
      <c r="B206" s="18" t="s">
        <v>116</v>
      </c>
      <c r="C206" s="18" t="s">
        <v>485</v>
      </c>
      <c r="D206" s="18" t="s">
        <v>486</v>
      </c>
      <c r="E206" s="18" t="s">
        <v>116</v>
      </c>
      <c r="F206" s="18" t="s">
        <v>108</v>
      </c>
      <c r="G206" s="18" t="s">
        <v>160</v>
      </c>
      <c r="H206" s="42">
        <v>880.0</v>
      </c>
      <c r="I206" s="43">
        <v>26.0</v>
      </c>
      <c r="J206" s="18" t="s">
        <v>161</v>
      </c>
      <c r="K206" s="44">
        <v>3.4</v>
      </c>
      <c r="L206" s="18" t="s">
        <v>162</v>
      </c>
      <c r="M206" s="18" t="str">
        <f t="shared" si="1"/>
        <v>Moderate</v>
      </c>
      <c r="N206" s="18" t="s">
        <v>487</v>
      </c>
      <c r="O206" s="18">
        <f>'Priority Scoring'!B206</f>
        <v>3</v>
      </c>
      <c r="P206" s="45">
        <f>'Priority Scoring'!I206</f>
        <v>70</v>
      </c>
      <c r="Q206" s="18" t="str">
        <f>'Priority Scoring'!J206</f>
        <v>Medium</v>
      </c>
      <c r="R206" s="18" t="s">
        <v>488</v>
      </c>
      <c r="S206" s="18" t="s">
        <v>198</v>
      </c>
      <c r="T206" s="18" t="s">
        <v>239</v>
      </c>
    </row>
    <row r="207" ht="15.75" customHeight="1">
      <c r="A207" s="20" t="s">
        <v>490</v>
      </c>
      <c r="B207" s="20" t="s">
        <v>116</v>
      </c>
      <c r="C207" s="20" t="s">
        <v>485</v>
      </c>
      <c r="D207" s="20" t="s">
        <v>486</v>
      </c>
      <c r="E207" s="20" t="s">
        <v>116</v>
      </c>
      <c r="F207" s="20" t="s">
        <v>108</v>
      </c>
      <c r="G207" s="20" t="s">
        <v>167</v>
      </c>
      <c r="H207" s="46">
        <v>1600.0</v>
      </c>
      <c r="I207" s="47">
        <v>36.0</v>
      </c>
      <c r="J207" s="20" t="s">
        <v>161</v>
      </c>
      <c r="K207" s="48">
        <v>3.0</v>
      </c>
      <c r="L207" s="20" t="s">
        <v>162</v>
      </c>
      <c r="M207" s="20" t="str">
        <f t="shared" si="1"/>
        <v>Moderate</v>
      </c>
      <c r="N207" s="20" t="s">
        <v>487</v>
      </c>
      <c r="O207" s="20">
        <f>'Priority Scoring'!B207</f>
        <v>3</v>
      </c>
      <c r="P207" s="49">
        <f>'Priority Scoring'!I207</f>
        <v>69</v>
      </c>
      <c r="Q207" s="20" t="str">
        <f>'Priority Scoring'!J207</f>
        <v>Medium</v>
      </c>
      <c r="R207" s="20" t="s">
        <v>488</v>
      </c>
      <c r="S207" s="20" t="s">
        <v>198</v>
      </c>
      <c r="T207" s="20" t="s">
        <v>239</v>
      </c>
    </row>
    <row r="208" ht="15.75" customHeight="1">
      <c r="A208" s="18" t="s">
        <v>491</v>
      </c>
      <c r="B208" s="18" t="s">
        <v>116</v>
      </c>
      <c r="C208" s="18" t="s">
        <v>485</v>
      </c>
      <c r="D208" s="18" t="s">
        <v>486</v>
      </c>
      <c r="E208" s="18" t="s">
        <v>116</v>
      </c>
      <c r="F208" s="18" t="s">
        <v>108</v>
      </c>
      <c r="G208" s="18" t="s">
        <v>167</v>
      </c>
      <c r="H208" s="42">
        <v>1300.0</v>
      </c>
      <c r="I208" s="43">
        <v>34.0</v>
      </c>
      <c r="J208" s="18" t="s">
        <v>161</v>
      </c>
      <c r="K208" s="44">
        <v>3.8</v>
      </c>
      <c r="L208" s="18" t="s">
        <v>162</v>
      </c>
      <c r="M208" s="18" t="str">
        <f t="shared" si="1"/>
        <v>Moderate</v>
      </c>
      <c r="N208" s="18" t="s">
        <v>487</v>
      </c>
      <c r="O208" s="18">
        <f>'Priority Scoring'!B208</f>
        <v>3</v>
      </c>
      <c r="P208" s="45">
        <f>'Priority Scoring'!I208</f>
        <v>73</v>
      </c>
      <c r="Q208" s="18" t="str">
        <f>'Priority Scoring'!J208</f>
        <v>Medium</v>
      </c>
      <c r="R208" s="18" t="s">
        <v>488</v>
      </c>
      <c r="S208" s="18" t="s">
        <v>198</v>
      </c>
      <c r="T208" s="18" t="s">
        <v>239</v>
      </c>
    </row>
    <row r="209" ht="15.75" customHeight="1">
      <c r="A209" s="20" t="s">
        <v>492</v>
      </c>
      <c r="B209" s="20" t="s">
        <v>116</v>
      </c>
      <c r="C209" s="20" t="s">
        <v>485</v>
      </c>
      <c r="D209" s="20" t="s">
        <v>486</v>
      </c>
      <c r="E209" s="20" t="s">
        <v>116</v>
      </c>
      <c r="F209" s="20" t="s">
        <v>108</v>
      </c>
      <c r="G209" s="20" t="s">
        <v>167</v>
      </c>
      <c r="H209" s="46">
        <v>110.0</v>
      </c>
      <c r="I209" s="47">
        <v>26.0</v>
      </c>
      <c r="J209" s="20" t="s">
        <v>161</v>
      </c>
      <c r="K209" s="48">
        <v>5.2</v>
      </c>
      <c r="L209" s="20" t="s">
        <v>162</v>
      </c>
      <c r="M209" s="20" t="str">
        <f t="shared" si="1"/>
        <v>Moderate</v>
      </c>
      <c r="N209" s="20" t="s">
        <v>487</v>
      </c>
      <c r="O209" s="20">
        <f>'Priority Scoring'!B209</f>
        <v>3</v>
      </c>
      <c r="P209" s="49">
        <f>'Priority Scoring'!I209</f>
        <v>64</v>
      </c>
      <c r="Q209" s="20" t="str">
        <f>'Priority Scoring'!J209</f>
        <v>Medium</v>
      </c>
      <c r="R209" s="20" t="s">
        <v>488</v>
      </c>
      <c r="S209" s="20" t="s">
        <v>198</v>
      </c>
      <c r="T209" s="20" t="s">
        <v>168</v>
      </c>
    </row>
    <row r="210" ht="15.75" customHeight="1">
      <c r="A210" s="18" t="s">
        <v>493</v>
      </c>
      <c r="B210" s="18" t="s">
        <v>116</v>
      </c>
      <c r="C210" s="18" t="s">
        <v>485</v>
      </c>
      <c r="D210" s="18" t="s">
        <v>486</v>
      </c>
      <c r="E210" s="18" t="s">
        <v>116</v>
      </c>
      <c r="F210" s="18" t="s">
        <v>108</v>
      </c>
      <c r="G210" s="18" t="s">
        <v>167</v>
      </c>
      <c r="H210" s="42">
        <v>480.0</v>
      </c>
      <c r="I210" s="43">
        <v>28.0</v>
      </c>
      <c r="J210" s="18" t="s">
        <v>161</v>
      </c>
      <c r="K210" s="44">
        <v>3.5</v>
      </c>
      <c r="L210" s="18" t="s">
        <v>162</v>
      </c>
      <c r="M210" s="18" t="str">
        <f t="shared" si="1"/>
        <v>Moderate</v>
      </c>
      <c r="N210" s="18" t="s">
        <v>487</v>
      </c>
      <c r="O210" s="18">
        <f>'Priority Scoring'!B210</f>
        <v>3</v>
      </c>
      <c r="P210" s="45">
        <f>'Priority Scoring'!I210</f>
        <v>67</v>
      </c>
      <c r="Q210" s="18" t="str">
        <f>'Priority Scoring'!J210</f>
        <v>Medium</v>
      </c>
      <c r="R210" s="18" t="s">
        <v>488</v>
      </c>
      <c r="S210" s="18" t="s">
        <v>198</v>
      </c>
      <c r="T210" s="18" t="s">
        <v>239</v>
      </c>
    </row>
    <row r="211" ht="15.75" customHeight="1">
      <c r="A211" s="20" t="s">
        <v>494</v>
      </c>
      <c r="B211" s="20" t="s">
        <v>116</v>
      </c>
      <c r="C211" s="20" t="s">
        <v>495</v>
      </c>
      <c r="D211" s="20" t="s">
        <v>496</v>
      </c>
      <c r="E211" s="20" t="s">
        <v>116</v>
      </c>
      <c r="F211" s="20" t="s">
        <v>108</v>
      </c>
      <c r="G211" s="20" t="s">
        <v>160</v>
      </c>
      <c r="H211" s="46">
        <v>260.0</v>
      </c>
      <c r="I211" s="47">
        <v>38.0</v>
      </c>
      <c r="J211" s="20" t="s">
        <v>161</v>
      </c>
      <c r="K211" s="48">
        <v>7.5</v>
      </c>
      <c r="L211" s="20" t="s">
        <v>162</v>
      </c>
      <c r="M211" s="20" t="str">
        <f t="shared" si="1"/>
        <v>Moderate</v>
      </c>
      <c r="N211" s="20" t="s">
        <v>497</v>
      </c>
      <c r="O211" s="20">
        <f>'Priority Scoring'!B211</f>
        <v>3</v>
      </c>
      <c r="P211" s="49">
        <f>'Priority Scoring'!I211</f>
        <v>63</v>
      </c>
      <c r="Q211" s="20" t="str">
        <f>'Priority Scoring'!J211</f>
        <v>Medium</v>
      </c>
      <c r="R211" s="20" t="s">
        <v>498</v>
      </c>
      <c r="S211" s="20" t="s">
        <v>198</v>
      </c>
      <c r="T211" s="20" t="s">
        <v>168</v>
      </c>
    </row>
    <row r="212" ht="15.75" customHeight="1">
      <c r="A212" s="18" t="s">
        <v>499</v>
      </c>
      <c r="B212" s="18" t="s">
        <v>116</v>
      </c>
      <c r="C212" s="18" t="s">
        <v>495</v>
      </c>
      <c r="D212" s="18" t="s">
        <v>496</v>
      </c>
      <c r="E212" s="18" t="s">
        <v>116</v>
      </c>
      <c r="F212" s="18" t="s">
        <v>108</v>
      </c>
      <c r="G212" s="18" t="s">
        <v>167</v>
      </c>
      <c r="H212" s="42">
        <v>210.0</v>
      </c>
      <c r="I212" s="43">
        <v>36.0</v>
      </c>
      <c r="J212" s="18" t="s">
        <v>161</v>
      </c>
      <c r="K212" s="44">
        <v>7.8</v>
      </c>
      <c r="L212" s="18" t="s">
        <v>162</v>
      </c>
      <c r="M212" s="18" t="str">
        <f t="shared" si="1"/>
        <v>Moderate</v>
      </c>
      <c r="N212" s="18" t="s">
        <v>497</v>
      </c>
      <c r="O212" s="18">
        <f>'Priority Scoring'!B212</f>
        <v>3</v>
      </c>
      <c r="P212" s="45">
        <f>'Priority Scoring'!I212</f>
        <v>63</v>
      </c>
      <c r="Q212" s="18" t="str">
        <f>'Priority Scoring'!J212</f>
        <v>Medium</v>
      </c>
      <c r="R212" s="18" t="s">
        <v>498</v>
      </c>
      <c r="S212" s="18" t="s">
        <v>198</v>
      </c>
      <c r="T212" s="18" t="s">
        <v>500</v>
      </c>
    </row>
    <row r="213" ht="15.75" customHeight="1">
      <c r="A213" s="20" t="s">
        <v>501</v>
      </c>
      <c r="B213" s="20" t="s">
        <v>118</v>
      </c>
      <c r="C213" s="20" t="s">
        <v>495</v>
      </c>
      <c r="D213" s="20" t="s">
        <v>496</v>
      </c>
      <c r="E213" s="20" t="s">
        <v>118</v>
      </c>
      <c r="F213" s="20" t="s">
        <v>110</v>
      </c>
      <c r="G213" s="20" t="s">
        <v>167</v>
      </c>
      <c r="H213" s="46">
        <v>170.0</v>
      </c>
      <c r="I213" s="47">
        <v>34.0</v>
      </c>
      <c r="J213" s="20" t="s">
        <v>161</v>
      </c>
      <c r="K213" s="48">
        <v>7.0</v>
      </c>
      <c r="L213" s="20" t="s">
        <v>162</v>
      </c>
      <c r="M213" s="20" t="str">
        <f t="shared" si="1"/>
        <v>Moderate</v>
      </c>
      <c r="N213" s="20" t="s">
        <v>497</v>
      </c>
      <c r="O213" s="20">
        <f>'Priority Scoring'!B213</f>
        <v>3</v>
      </c>
      <c r="P213" s="49">
        <f>'Priority Scoring'!I213</f>
        <v>73</v>
      </c>
      <c r="Q213" s="20" t="str">
        <f>'Priority Scoring'!J213</f>
        <v>Medium</v>
      </c>
      <c r="R213" s="20" t="s">
        <v>498</v>
      </c>
      <c r="S213" s="20" t="s">
        <v>198</v>
      </c>
      <c r="T213" s="20" t="s">
        <v>168</v>
      </c>
    </row>
    <row r="214" ht="15.75" customHeight="1">
      <c r="A214" s="18" t="s">
        <v>502</v>
      </c>
      <c r="B214" s="18" t="s">
        <v>116</v>
      </c>
      <c r="C214" s="18" t="s">
        <v>495</v>
      </c>
      <c r="D214" s="18" t="s">
        <v>496</v>
      </c>
      <c r="E214" s="18" t="s">
        <v>116</v>
      </c>
      <c r="F214" s="18" t="s">
        <v>108</v>
      </c>
      <c r="G214" s="18" t="s">
        <v>167</v>
      </c>
      <c r="H214" s="42">
        <v>50.0</v>
      </c>
      <c r="I214" s="43">
        <v>18.0</v>
      </c>
      <c r="J214" s="18" t="s">
        <v>161</v>
      </c>
      <c r="K214" s="44">
        <v>6.0</v>
      </c>
      <c r="L214" s="18" t="s">
        <v>162</v>
      </c>
      <c r="M214" s="18" t="str">
        <f t="shared" si="1"/>
        <v>Easy</v>
      </c>
      <c r="N214" s="18" t="s">
        <v>497</v>
      </c>
      <c r="O214" s="18">
        <f>'Priority Scoring'!B214</f>
        <v>3</v>
      </c>
      <c r="P214" s="45">
        <f>'Priority Scoring'!I214</f>
        <v>65</v>
      </c>
      <c r="Q214" s="18" t="str">
        <f>'Priority Scoring'!J214</f>
        <v>Medium</v>
      </c>
      <c r="R214" s="18" t="s">
        <v>498</v>
      </c>
      <c r="S214" s="18" t="s">
        <v>198</v>
      </c>
      <c r="T214" s="18" t="s">
        <v>168</v>
      </c>
    </row>
    <row r="215" ht="15.75" customHeight="1">
      <c r="A215" s="20" t="s">
        <v>503</v>
      </c>
      <c r="B215" s="20" t="s">
        <v>118</v>
      </c>
      <c r="C215" s="20" t="s">
        <v>495</v>
      </c>
      <c r="D215" s="20" t="s">
        <v>496</v>
      </c>
      <c r="E215" s="20" t="s">
        <v>118</v>
      </c>
      <c r="F215" s="20" t="s">
        <v>110</v>
      </c>
      <c r="G215" s="20" t="s">
        <v>167</v>
      </c>
      <c r="H215" s="46">
        <v>590.0</v>
      </c>
      <c r="I215" s="47">
        <v>40.0</v>
      </c>
      <c r="J215" s="20" t="s">
        <v>161</v>
      </c>
      <c r="K215" s="48">
        <v>6.5</v>
      </c>
      <c r="L215" s="20" t="s">
        <v>162</v>
      </c>
      <c r="M215" s="20" t="str">
        <f t="shared" si="1"/>
        <v>Moderate</v>
      </c>
      <c r="N215" s="20" t="s">
        <v>497</v>
      </c>
      <c r="O215" s="20">
        <f>'Priority Scoring'!B215</f>
        <v>3</v>
      </c>
      <c r="P215" s="49">
        <f>'Priority Scoring'!I215</f>
        <v>75</v>
      </c>
      <c r="Q215" s="20" t="str">
        <f>'Priority Scoring'!J215</f>
        <v>High</v>
      </c>
      <c r="R215" s="20" t="s">
        <v>498</v>
      </c>
      <c r="S215" s="20" t="s">
        <v>198</v>
      </c>
      <c r="T215" s="20" t="s">
        <v>239</v>
      </c>
    </row>
    <row r="216" ht="15.75" customHeight="1">
      <c r="A216" s="18" t="s">
        <v>504</v>
      </c>
      <c r="B216" s="18" t="s">
        <v>112</v>
      </c>
      <c r="C216" s="18" t="s">
        <v>495</v>
      </c>
      <c r="D216" s="18" t="s">
        <v>505</v>
      </c>
      <c r="E216" s="18" t="s">
        <v>112</v>
      </c>
      <c r="F216" s="18" t="s">
        <v>106</v>
      </c>
      <c r="G216" s="18" t="s">
        <v>160</v>
      </c>
      <c r="H216" s="42">
        <v>2400.0</v>
      </c>
      <c r="I216" s="43">
        <v>26.0</v>
      </c>
      <c r="J216" s="18" t="s">
        <v>161</v>
      </c>
      <c r="K216" s="44">
        <v>1.3</v>
      </c>
      <c r="L216" s="18" t="s">
        <v>162</v>
      </c>
      <c r="M216" s="18" t="str">
        <f t="shared" si="1"/>
        <v>Moderate</v>
      </c>
      <c r="N216" s="18" t="s">
        <v>310</v>
      </c>
      <c r="O216" s="18">
        <f>'Priority Scoring'!B216</f>
        <v>2</v>
      </c>
      <c r="P216" s="45">
        <f>'Priority Scoring'!I216</f>
        <v>56</v>
      </c>
      <c r="Q216" s="18" t="str">
        <f>'Priority Scoring'!J216</f>
        <v>Low</v>
      </c>
      <c r="R216" s="18" t="s">
        <v>506</v>
      </c>
      <c r="S216" s="18" t="s">
        <v>198</v>
      </c>
      <c r="T216" s="18" t="s">
        <v>239</v>
      </c>
    </row>
    <row r="217" ht="15.75" customHeight="1">
      <c r="A217" s="20" t="s">
        <v>507</v>
      </c>
      <c r="B217" s="20" t="s">
        <v>112</v>
      </c>
      <c r="C217" s="20" t="s">
        <v>495</v>
      </c>
      <c r="D217" s="20" t="s">
        <v>505</v>
      </c>
      <c r="E217" s="20" t="s">
        <v>112</v>
      </c>
      <c r="F217" s="20" t="s">
        <v>106</v>
      </c>
      <c r="G217" s="20" t="s">
        <v>167</v>
      </c>
      <c r="H217" s="46">
        <v>1900.0</v>
      </c>
      <c r="I217" s="47">
        <v>20.0</v>
      </c>
      <c r="J217" s="20" t="s">
        <v>161</v>
      </c>
      <c r="K217" s="48">
        <v>1.0</v>
      </c>
      <c r="L217" s="20" t="s">
        <v>162</v>
      </c>
      <c r="M217" s="20" t="str">
        <f t="shared" si="1"/>
        <v>Easy</v>
      </c>
      <c r="N217" s="20" t="s">
        <v>310</v>
      </c>
      <c r="O217" s="20">
        <f>'Priority Scoring'!B217</f>
        <v>2</v>
      </c>
      <c r="P217" s="49">
        <f>'Priority Scoring'!I217</f>
        <v>60</v>
      </c>
      <c r="Q217" s="20" t="str">
        <f>'Priority Scoring'!J217</f>
        <v>Medium</v>
      </c>
      <c r="R217" s="20" t="s">
        <v>506</v>
      </c>
      <c r="S217" s="20" t="s">
        <v>198</v>
      </c>
      <c r="T217" s="20" t="s">
        <v>239</v>
      </c>
    </row>
    <row r="218" ht="15.75" customHeight="1">
      <c r="A218" s="18" t="s">
        <v>508</v>
      </c>
      <c r="B218" s="18" t="s">
        <v>248</v>
      </c>
      <c r="C218" s="18" t="s">
        <v>495</v>
      </c>
      <c r="D218" s="18" t="s">
        <v>505</v>
      </c>
      <c r="E218" s="18" t="s">
        <v>112</v>
      </c>
      <c r="F218" s="18" t="s">
        <v>106</v>
      </c>
      <c r="G218" s="18" t="s">
        <v>167</v>
      </c>
      <c r="H218" s="42">
        <v>1600.0</v>
      </c>
      <c r="I218" s="43">
        <v>22.0</v>
      </c>
      <c r="J218" s="18" t="s">
        <v>161</v>
      </c>
      <c r="K218" s="44">
        <v>1.2</v>
      </c>
      <c r="L218" s="18" t="s">
        <v>162</v>
      </c>
      <c r="M218" s="18" t="str">
        <f t="shared" si="1"/>
        <v>Moderate</v>
      </c>
      <c r="N218" s="18" t="s">
        <v>310</v>
      </c>
      <c r="O218" s="18">
        <f>'Priority Scoring'!B218</f>
        <v>2</v>
      </c>
      <c r="P218" s="45">
        <f>'Priority Scoring'!I218</f>
        <v>56</v>
      </c>
      <c r="Q218" s="18" t="str">
        <f>'Priority Scoring'!J218</f>
        <v>Low</v>
      </c>
      <c r="R218" s="18" t="s">
        <v>506</v>
      </c>
      <c r="S218" s="18" t="s">
        <v>198</v>
      </c>
      <c r="T218" s="18" t="s">
        <v>239</v>
      </c>
    </row>
    <row r="219" ht="15.75" customHeight="1">
      <c r="A219" s="20" t="s">
        <v>509</v>
      </c>
      <c r="B219" s="20" t="s">
        <v>172</v>
      </c>
      <c r="C219" s="20" t="s">
        <v>510</v>
      </c>
      <c r="D219" s="20" t="s">
        <v>511</v>
      </c>
      <c r="E219" s="20" t="s">
        <v>118</v>
      </c>
      <c r="F219" s="20" t="s">
        <v>110</v>
      </c>
      <c r="G219" s="20" t="s">
        <v>160</v>
      </c>
      <c r="H219" s="46">
        <v>210.0</v>
      </c>
      <c r="I219" s="47">
        <v>34.0</v>
      </c>
      <c r="J219" s="20" t="s">
        <v>161</v>
      </c>
      <c r="K219" s="48">
        <v>9.0</v>
      </c>
      <c r="L219" s="20" t="s">
        <v>162</v>
      </c>
      <c r="M219" s="20" t="str">
        <f t="shared" si="1"/>
        <v>Moderate</v>
      </c>
      <c r="N219" s="20" t="s">
        <v>512</v>
      </c>
      <c r="O219" s="20">
        <f>'Priority Scoring'!B219</f>
        <v>4</v>
      </c>
      <c r="P219" s="49">
        <f>'Priority Scoring'!I219</f>
        <v>85</v>
      </c>
      <c r="Q219" s="20" t="str">
        <f>'Priority Scoring'!J219</f>
        <v>High</v>
      </c>
      <c r="R219" s="20" t="s">
        <v>513</v>
      </c>
      <c r="S219" s="20" t="s">
        <v>198</v>
      </c>
      <c r="T219" s="20" t="s">
        <v>168</v>
      </c>
    </row>
    <row r="220" ht="15.75" customHeight="1">
      <c r="A220" s="18" t="s">
        <v>514</v>
      </c>
      <c r="B220" s="18" t="s">
        <v>172</v>
      </c>
      <c r="C220" s="18" t="s">
        <v>510</v>
      </c>
      <c r="D220" s="18" t="s">
        <v>511</v>
      </c>
      <c r="E220" s="18" t="s">
        <v>118</v>
      </c>
      <c r="F220" s="18" t="s">
        <v>110</v>
      </c>
      <c r="G220" s="18" t="s">
        <v>167</v>
      </c>
      <c r="H220" s="42">
        <v>140.0</v>
      </c>
      <c r="I220" s="43">
        <v>32.0</v>
      </c>
      <c r="J220" s="18" t="s">
        <v>161</v>
      </c>
      <c r="K220" s="44">
        <v>9.2</v>
      </c>
      <c r="L220" s="18" t="s">
        <v>162</v>
      </c>
      <c r="M220" s="18" t="str">
        <f t="shared" si="1"/>
        <v>Moderate</v>
      </c>
      <c r="N220" s="18" t="s">
        <v>512</v>
      </c>
      <c r="O220" s="18">
        <f>'Priority Scoring'!B220</f>
        <v>4</v>
      </c>
      <c r="P220" s="45">
        <f>'Priority Scoring'!I220</f>
        <v>82</v>
      </c>
      <c r="Q220" s="18" t="str">
        <f>'Priority Scoring'!J220</f>
        <v>High</v>
      </c>
      <c r="R220" s="18" t="s">
        <v>513</v>
      </c>
      <c r="S220" s="18" t="s">
        <v>198</v>
      </c>
      <c r="T220" s="18" t="s">
        <v>168</v>
      </c>
    </row>
    <row r="221" ht="15.75" customHeight="1">
      <c r="A221" s="20" t="s">
        <v>515</v>
      </c>
      <c r="B221" s="20" t="s">
        <v>172</v>
      </c>
      <c r="C221" s="20" t="s">
        <v>510</v>
      </c>
      <c r="D221" s="20" t="s">
        <v>511</v>
      </c>
      <c r="E221" s="20" t="s">
        <v>118</v>
      </c>
      <c r="F221" s="20" t="s">
        <v>110</v>
      </c>
      <c r="G221" s="20" t="s">
        <v>167</v>
      </c>
      <c r="H221" s="46">
        <v>50.0</v>
      </c>
      <c r="I221" s="47">
        <v>22.0</v>
      </c>
      <c r="J221" s="20" t="s">
        <v>161</v>
      </c>
      <c r="K221" s="48">
        <v>7.4</v>
      </c>
      <c r="L221" s="20" t="s">
        <v>162</v>
      </c>
      <c r="M221" s="20" t="str">
        <f t="shared" si="1"/>
        <v>Moderate</v>
      </c>
      <c r="N221" s="20" t="s">
        <v>512</v>
      </c>
      <c r="O221" s="20">
        <f>'Priority Scoring'!B221</f>
        <v>4</v>
      </c>
      <c r="P221" s="49">
        <f>'Priority Scoring'!I221</f>
        <v>79</v>
      </c>
      <c r="Q221" s="20" t="str">
        <f>'Priority Scoring'!J221</f>
        <v>High</v>
      </c>
      <c r="R221" s="20" t="s">
        <v>513</v>
      </c>
      <c r="S221" s="20" t="s">
        <v>198</v>
      </c>
      <c r="T221" s="20" t="s">
        <v>168</v>
      </c>
    </row>
    <row r="222" ht="15.75" customHeight="1">
      <c r="A222" s="18" t="s">
        <v>516</v>
      </c>
      <c r="B222" s="18" t="s">
        <v>172</v>
      </c>
      <c r="C222" s="18" t="s">
        <v>283</v>
      </c>
      <c r="D222" s="18" t="s">
        <v>517</v>
      </c>
      <c r="E222" s="18" t="s">
        <v>118</v>
      </c>
      <c r="F222" s="18" t="s">
        <v>110</v>
      </c>
      <c r="G222" s="18" t="s">
        <v>160</v>
      </c>
      <c r="H222" s="42">
        <v>90.0</v>
      </c>
      <c r="I222" s="43">
        <v>24.0</v>
      </c>
      <c r="J222" s="18" t="s">
        <v>161</v>
      </c>
      <c r="K222" s="44">
        <v>6.0</v>
      </c>
      <c r="L222" s="18" t="s">
        <v>162</v>
      </c>
      <c r="M222" s="18" t="str">
        <f t="shared" si="1"/>
        <v>Moderate</v>
      </c>
      <c r="N222" s="18" t="s">
        <v>518</v>
      </c>
      <c r="O222" s="18">
        <f>'Priority Scoring'!B222</f>
        <v>3</v>
      </c>
      <c r="P222" s="45">
        <f>'Priority Scoring'!I222</f>
        <v>75</v>
      </c>
      <c r="Q222" s="18" t="str">
        <f>'Priority Scoring'!J222</f>
        <v>High</v>
      </c>
      <c r="R222" s="18" t="s">
        <v>519</v>
      </c>
      <c r="S222" s="18" t="s">
        <v>198</v>
      </c>
      <c r="T222" s="18" t="s">
        <v>168</v>
      </c>
    </row>
    <row r="223" ht="15.75" customHeight="1">
      <c r="A223" s="20" t="s">
        <v>520</v>
      </c>
      <c r="B223" s="20" t="s">
        <v>172</v>
      </c>
      <c r="C223" s="20" t="s">
        <v>283</v>
      </c>
      <c r="D223" s="20" t="s">
        <v>517</v>
      </c>
      <c r="E223" s="20" t="s">
        <v>118</v>
      </c>
      <c r="F223" s="20" t="s">
        <v>110</v>
      </c>
      <c r="G223" s="20" t="s">
        <v>167</v>
      </c>
      <c r="H223" s="46">
        <v>70.0</v>
      </c>
      <c r="I223" s="47">
        <v>22.0</v>
      </c>
      <c r="J223" s="20" t="s">
        <v>161</v>
      </c>
      <c r="K223" s="48">
        <v>5.8</v>
      </c>
      <c r="L223" s="20" t="s">
        <v>162</v>
      </c>
      <c r="M223" s="20" t="str">
        <f t="shared" si="1"/>
        <v>Moderate</v>
      </c>
      <c r="N223" s="20" t="s">
        <v>518</v>
      </c>
      <c r="O223" s="20">
        <f>'Priority Scoring'!B223</f>
        <v>3</v>
      </c>
      <c r="P223" s="49">
        <f>'Priority Scoring'!I223</f>
        <v>72</v>
      </c>
      <c r="Q223" s="20" t="str">
        <f>'Priority Scoring'!J223</f>
        <v>Medium</v>
      </c>
      <c r="R223" s="20" t="s">
        <v>519</v>
      </c>
      <c r="S223" s="20" t="s">
        <v>198</v>
      </c>
      <c r="T223" s="20" t="s">
        <v>168</v>
      </c>
    </row>
    <row r="224" ht="15.75" customHeight="1">
      <c r="A224" s="18" t="s">
        <v>521</v>
      </c>
      <c r="B224" s="18" t="s">
        <v>172</v>
      </c>
      <c r="C224" s="18" t="s">
        <v>283</v>
      </c>
      <c r="D224" s="18" t="s">
        <v>517</v>
      </c>
      <c r="E224" s="18" t="s">
        <v>118</v>
      </c>
      <c r="F224" s="18" t="s">
        <v>110</v>
      </c>
      <c r="G224" s="18" t="s">
        <v>167</v>
      </c>
      <c r="H224" s="42">
        <v>60.0</v>
      </c>
      <c r="I224" s="43">
        <v>20.0</v>
      </c>
      <c r="J224" s="18" t="s">
        <v>161</v>
      </c>
      <c r="K224" s="44">
        <v>5.5</v>
      </c>
      <c r="L224" s="18" t="s">
        <v>162</v>
      </c>
      <c r="M224" s="18" t="str">
        <f t="shared" si="1"/>
        <v>Easy</v>
      </c>
      <c r="N224" s="18" t="s">
        <v>518</v>
      </c>
      <c r="O224" s="18">
        <f>'Priority Scoring'!B224</f>
        <v>3</v>
      </c>
      <c r="P224" s="45">
        <f>'Priority Scoring'!I224</f>
        <v>76</v>
      </c>
      <c r="Q224" s="18" t="str">
        <f>'Priority Scoring'!J224</f>
        <v>High</v>
      </c>
      <c r="R224" s="18" t="s">
        <v>519</v>
      </c>
      <c r="S224" s="18" t="s">
        <v>198</v>
      </c>
      <c r="T224" s="18" t="s">
        <v>168</v>
      </c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conditionalFormatting sqref="Q2:Q224">
    <cfRule type="cellIs" dxfId="3" priority="1" operator="equal">
      <formula>"Critical"</formula>
    </cfRule>
  </conditionalFormatting>
  <conditionalFormatting sqref="Q2:Q224">
    <cfRule type="cellIs" dxfId="4" priority="2" operator="equal">
      <formula>"High"</formula>
    </cfRule>
  </conditionalFormatting>
  <conditionalFormatting sqref="Q2:Q224">
    <cfRule type="cellIs" dxfId="5" priority="3" operator="equal">
      <formula>"Medium"</formula>
    </cfRule>
  </conditionalFormatting>
  <conditionalFormatting sqref="Q2:Q224">
    <cfRule type="cellIs" dxfId="6" priority="4" operator="equal">
      <formula>"Low"</formula>
    </cfRule>
  </conditionalFormatting>
  <conditionalFormatting sqref="Q2:Q224">
    <cfRule type="cellIs" dxfId="7" priority="5" operator="equal">
      <formula>"Optional"</formula>
    </cfRule>
  </conditionalFormatting>
  <conditionalFormatting sqref="F2:F224">
    <cfRule type="cellIs" dxfId="0" priority="6" operator="equal">
      <formula>"TOFU"</formula>
    </cfRule>
  </conditionalFormatting>
  <conditionalFormatting sqref="F2:F224">
    <cfRule type="cellIs" dxfId="1" priority="7" operator="equal">
      <formula>"MOFU"</formula>
    </cfRule>
  </conditionalFormatting>
  <conditionalFormatting sqref="F2:F224">
    <cfRule type="cellIs" dxfId="2" priority="8" operator="equal">
      <formula>"BOFU"</formula>
    </cfRule>
  </conditionalFormatting>
  <conditionalFormatting sqref="E2:E224">
    <cfRule type="cellIs" dxfId="8" priority="9" operator="equal">
      <formula>"Informational"</formula>
    </cfRule>
  </conditionalFormatting>
  <conditionalFormatting sqref="E2:E224">
    <cfRule type="cellIs" dxfId="9" priority="10" operator="equal">
      <formula>"Navigational"</formula>
    </cfRule>
  </conditionalFormatting>
  <conditionalFormatting sqref="E2:E224">
    <cfRule type="cellIs" dxfId="10" priority="11" operator="equal">
      <formula>"Commercial"</formula>
    </cfRule>
  </conditionalFormatting>
  <conditionalFormatting sqref="E2:E224">
    <cfRule type="cellIs" dxfId="11" priority="12" operator="equal">
      <formula>"Transactional"</formula>
    </cfRule>
  </conditionalFormatting>
  <conditionalFormatting sqref="M2:M224">
    <cfRule type="cellIs" dxfId="11" priority="13" operator="equal">
      <formula>"Easy"</formula>
    </cfRule>
  </conditionalFormatting>
  <conditionalFormatting sqref="M2:M224">
    <cfRule type="cellIs" dxfId="10" priority="14" operator="equal">
      <formula>"Moderate"</formula>
    </cfRule>
  </conditionalFormatting>
  <conditionalFormatting sqref="M2:M224">
    <cfRule type="cellIs" dxfId="12" priority="15" operator="equal">
      <formula>"Competitive"</formula>
    </cfRule>
  </conditionalFormatting>
  <conditionalFormatting sqref="M2:M224">
    <cfRule type="cellIs" dxfId="13" priority="16" operator="equal">
      <formula>"Very Competitive"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1.57"/>
    <col customWidth="1" min="2" max="2" width="28.0"/>
    <col customWidth="1" min="3" max="3" width="56.43"/>
    <col customWidth="1" min="4" max="4" width="44.0"/>
    <col customWidth="1" min="5" max="5" width="40.57"/>
    <col customWidth="1" min="6" max="6" width="13.0"/>
    <col customWidth="1" min="7" max="7" width="7.29"/>
    <col customWidth="1" min="8" max="8" width="29.71"/>
    <col customWidth="1" min="9" max="9" width="16.14"/>
    <col customWidth="1" min="10" max="26" width="8.71"/>
  </cols>
  <sheetData>
    <row r="1">
      <c r="A1" s="17" t="s">
        <v>522</v>
      </c>
      <c r="B1" s="17" t="s">
        <v>523</v>
      </c>
      <c r="C1" s="17" t="s">
        <v>524</v>
      </c>
      <c r="D1" s="17" t="s">
        <v>525</v>
      </c>
      <c r="E1" s="17" t="s">
        <v>526</v>
      </c>
      <c r="F1" s="17" t="s">
        <v>527</v>
      </c>
      <c r="G1" s="17" t="s">
        <v>146</v>
      </c>
      <c r="H1" s="17" t="s">
        <v>528</v>
      </c>
      <c r="I1" s="17" t="s">
        <v>529</v>
      </c>
    </row>
    <row r="2">
      <c r="A2" s="18" t="s">
        <v>159</v>
      </c>
      <c r="B2" s="18" t="s">
        <v>138</v>
      </c>
      <c r="C2" s="18" t="s">
        <v>530</v>
      </c>
      <c r="D2" s="18" t="s">
        <v>531</v>
      </c>
      <c r="E2" s="18" t="s">
        <v>532</v>
      </c>
      <c r="F2" s="19" t="s">
        <v>118</v>
      </c>
      <c r="G2" s="19" t="s">
        <v>110</v>
      </c>
      <c r="H2" s="18" t="s">
        <v>164</v>
      </c>
      <c r="I2" s="18" t="s">
        <v>533</v>
      </c>
    </row>
    <row r="3">
      <c r="A3" s="20" t="s">
        <v>184</v>
      </c>
      <c r="B3" s="20" t="s">
        <v>181</v>
      </c>
      <c r="C3" s="20" t="s">
        <v>534</v>
      </c>
      <c r="D3" s="20" t="s">
        <v>535</v>
      </c>
      <c r="E3" s="20" t="s">
        <v>536</v>
      </c>
      <c r="F3" s="21" t="s">
        <v>114</v>
      </c>
      <c r="G3" s="21" t="s">
        <v>110</v>
      </c>
      <c r="H3" s="20" t="s">
        <v>164</v>
      </c>
      <c r="I3" s="20" t="s">
        <v>533</v>
      </c>
    </row>
    <row r="4">
      <c r="A4" s="18" t="s">
        <v>195</v>
      </c>
      <c r="B4" s="18" t="s">
        <v>136</v>
      </c>
      <c r="C4" s="18" t="s">
        <v>537</v>
      </c>
      <c r="D4" s="18" t="s">
        <v>535</v>
      </c>
      <c r="E4" s="18" t="s">
        <v>538</v>
      </c>
      <c r="F4" s="19" t="s">
        <v>118</v>
      </c>
      <c r="G4" s="19" t="s">
        <v>110</v>
      </c>
      <c r="H4" s="18" t="s">
        <v>197</v>
      </c>
      <c r="I4" s="18" t="s">
        <v>539</v>
      </c>
    </row>
    <row r="5">
      <c r="A5" s="20" t="s">
        <v>207</v>
      </c>
      <c r="B5" s="20" t="s">
        <v>205</v>
      </c>
      <c r="C5" s="20" t="s">
        <v>540</v>
      </c>
      <c r="D5" s="20" t="s">
        <v>535</v>
      </c>
      <c r="E5" s="20" t="s">
        <v>541</v>
      </c>
      <c r="F5" s="21" t="s">
        <v>118</v>
      </c>
      <c r="G5" s="21" t="s">
        <v>110</v>
      </c>
      <c r="H5" s="20" t="s">
        <v>209</v>
      </c>
      <c r="I5" s="20" t="s">
        <v>539</v>
      </c>
    </row>
    <row r="6">
      <c r="A6" s="18" t="s">
        <v>215</v>
      </c>
      <c r="B6" s="18" t="s">
        <v>213</v>
      </c>
      <c r="C6" s="18" t="s">
        <v>542</v>
      </c>
      <c r="D6" s="18" t="s">
        <v>535</v>
      </c>
      <c r="E6" s="18" t="s">
        <v>543</v>
      </c>
      <c r="F6" s="19" t="s">
        <v>118</v>
      </c>
      <c r="G6" s="19" t="s">
        <v>110</v>
      </c>
      <c r="H6" s="18" t="s">
        <v>217</v>
      </c>
      <c r="I6" s="18" t="s">
        <v>539</v>
      </c>
    </row>
    <row r="7">
      <c r="A7" s="20" t="s">
        <v>222</v>
      </c>
      <c r="B7" s="20" t="s">
        <v>220</v>
      </c>
      <c r="C7" s="20" t="s">
        <v>544</v>
      </c>
      <c r="D7" s="20" t="s">
        <v>535</v>
      </c>
      <c r="E7" s="20" t="s">
        <v>545</v>
      </c>
      <c r="F7" s="21" t="s">
        <v>118</v>
      </c>
      <c r="G7" s="21" t="s">
        <v>110</v>
      </c>
      <c r="H7" s="20" t="s">
        <v>224</v>
      </c>
      <c r="I7" s="20" t="s">
        <v>539</v>
      </c>
    </row>
    <row r="8">
      <c r="A8" s="18" t="s">
        <v>230</v>
      </c>
      <c r="B8" s="18" t="s">
        <v>228</v>
      </c>
      <c r="C8" s="18" t="s">
        <v>546</v>
      </c>
      <c r="D8" s="18" t="s">
        <v>535</v>
      </c>
      <c r="E8" s="18" t="s">
        <v>547</v>
      </c>
      <c r="F8" s="19" t="s">
        <v>118</v>
      </c>
      <c r="G8" s="19" t="s">
        <v>110</v>
      </c>
      <c r="H8" s="18" t="s">
        <v>231</v>
      </c>
      <c r="I8" s="18" t="s">
        <v>539</v>
      </c>
    </row>
    <row r="9">
      <c r="A9" s="20" t="s">
        <v>235</v>
      </c>
      <c r="B9" s="20" t="s">
        <v>240</v>
      </c>
      <c r="C9" s="20" t="s">
        <v>548</v>
      </c>
      <c r="D9" s="20" t="s">
        <v>549</v>
      </c>
      <c r="E9" s="20" t="s">
        <v>550</v>
      </c>
      <c r="F9" s="21" t="s">
        <v>118</v>
      </c>
      <c r="G9" s="21" t="s">
        <v>110</v>
      </c>
      <c r="H9" s="20" t="s">
        <v>237</v>
      </c>
      <c r="I9" s="20" t="s">
        <v>551</v>
      </c>
    </row>
    <row r="10">
      <c r="A10" s="18" t="s">
        <v>243</v>
      </c>
      <c r="B10" s="18" t="s">
        <v>242</v>
      </c>
      <c r="C10" s="18" t="s">
        <v>249</v>
      </c>
      <c r="D10" s="18" t="s">
        <v>552</v>
      </c>
      <c r="E10" s="18" t="s">
        <v>553</v>
      </c>
      <c r="F10" s="19" t="s">
        <v>112</v>
      </c>
      <c r="G10" s="19" t="s">
        <v>106</v>
      </c>
      <c r="H10" s="18" t="s">
        <v>245</v>
      </c>
      <c r="I10" s="18" t="s">
        <v>554</v>
      </c>
    </row>
    <row r="11">
      <c r="A11" s="20" t="s">
        <v>253</v>
      </c>
      <c r="B11" s="20" t="s">
        <v>251</v>
      </c>
      <c r="C11" s="20" t="s">
        <v>555</v>
      </c>
      <c r="D11" s="20" t="s">
        <v>556</v>
      </c>
      <c r="E11" s="20" t="s">
        <v>557</v>
      </c>
      <c r="F11" s="21" t="s">
        <v>118</v>
      </c>
      <c r="G11" s="21" t="s">
        <v>110</v>
      </c>
      <c r="H11" s="20" t="s">
        <v>255</v>
      </c>
      <c r="I11" s="20" t="s">
        <v>554</v>
      </c>
    </row>
    <row r="12">
      <c r="A12" s="18" t="s">
        <v>269</v>
      </c>
      <c r="B12" s="18" t="s">
        <v>267</v>
      </c>
      <c r="C12" s="18" t="s">
        <v>558</v>
      </c>
      <c r="D12" s="18" t="s">
        <v>559</v>
      </c>
      <c r="E12" s="18" t="s">
        <v>560</v>
      </c>
      <c r="F12" s="19" t="s">
        <v>118</v>
      </c>
      <c r="G12" s="19" t="s">
        <v>110</v>
      </c>
      <c r="H12" s="18" t="s">
        <v>271</v>
      </c>
      <c r="I12" s="18" t="s">
        <v>561</v>
      </c>
    </row>
    <row r="13">
      <c r="A13" s="20" t="s">
        <v>284</v>
      </c>
      <c r="B13" s="20" t="s">
        <v>282</v>
      </c>
      <c r="C13" s="20" t="s">
        <v>562</v>
      </c>
      <c r="D13" s="20" t="s">
        <v>563</v>
      </c>
      <c r="E13" s="20" t="s">
        <v>564</v>
      </c>
      <c r="F13" s="21" t="s">
        <v>118</v>
      </c>
      <c r="G13" s="21" t="s">
        <v>110</v>
      </c>
      <c r="H13" s="20" t="s">
        <v>286</v>
      </c>
      <c r="I13" s="20" t="s">
        <v>561</v>
      </c>
    </row>
    <row r="14">
      <c r="A14" s="18" t="s">
        <v>296</v>
      </c>
      <c r="B14" s="18" t="s">
        <v>299</v>
      </c>
      <c r="C14" s="18" t="s">
        <v>565</v>
      </c>
      <c r="D14" s="18" t="s">
        <v>566</v>
      </c>
      <c r="E14" s="18" t="s">
        <v>567</v>
      </c>
      <c r="F14" s="19" t="s">
        <v>118</v>
      </c>
      <c r="G14" s="19" t="s">
        <v>110</v>
      </c>
      <c r="H14" s="18" t="s">
        <v>298</v>
      </c>
      <c r="I14" s="18" t="s">
        <v>561</v>
      </c>
    </row>
    <row r="15">
      <c r="A15" s="20" t="s">
        <v>309</v>
      </c>
      <c r="B15" s="20" t="s">
        <v>308</v>
      </c>
      <c r="C15" s="20" t="s">
        <v>568</v>
      </c>
      <c r="D15" s="20" t="s">
        <v>569</v>
      </c>
      <c r="E15" s="20" t="s">
        <v>570</v>
      </c>
      <c r="F15" s="21" t="s">
        <v>112</v>
      </c>
      <c r="G15" s="21" t="s">
        <v>106</v>
      </c>
      <c r="H15" s="20" t="s">
        <v>311</v>
      </c>
      <c r="I15" s="20" t="s">
        <v>571</v>
      </c>
    </row>
    <row r="16">
      <c r="A16" s="18" t="s">
        <v>321</v>
      </c>
      <c r="B16" s="18" t="s">
        <v>319</v>
      </c>
      <c r="C16" s="18" t="s">
        <v>572</v>
      </c>
      <c r="D16" s="18" t="s">
        <v>573</v>
      </c>
      <c r="E16" s="18" t="s">
        <v>574</v>
      </c>
      <c r="F16" s="19" t="s">
        <v>118</v>
      </c>
      <c r="G16" s="19" t="s">
        <v>110</v>
      </c>
      <c r="H16" s="18" t="s">
        <v>323</v>
      </c>
      <c r="I16" s="18" t="s">
        <v>561</v>
      </c>
    </row>
    <row r="17">
      <c r="A17" s="20" t="s">
        <v>338</v>
      </c>
      <c r="B17" s="20" t="s">
        <v>337</v>
      </c>
      <c r="C17" s="20" t="s">
        <v>575</v>
      </c>
      <c r="D17" s="20" t="s">
        <v>576</v>
      </c>
      <c r="E17" s="20" t="s">
        <v>577</v>
      </c>
      <c r="F17" s="21" t="s">
        <v>116</v>
      </c>
      <c r="G17" s="21" t="s">
        <v>108</v>
      </c>
      <c r="H17" s="20" t="s">
        <v>340</v>
      </c>
      <c r="I17" s="20" t="s">
        <v>578</v>
      </c>
    </row>
    <row r="18">
      <c r="A18" s="18" t="s">
        <v>349</v>
      </c>
      <c r="B18" s="18" t="s">
        <v>348</v>
      </c>
      <c r="C18" s="18" t="s">
        <v>579</v>
      </c>
      <c r="D18" s="18" t="s">
        <v>580</v>
      </c>
      <c r="E18" s="18" t="s">
        <v>581</v>
      </c>
      <c r="F18" s="19" t="s">
        <v>116</v>
      </c>
      <c r="G18" s="19" t="s">
        <v>108</v>
      </c>
      <c r="H18" s="18" t="s">
        <v>351</v>
      </c>
      <c r="I18" s="18" t="s">
        <v>571</v>
      </c>
    </row>
    <row r="19">
      <c r="A19" s="20" t="s">
        <v>360</v>
      </c>
      <c r="B19" s="20" t="s">
        <v>359</v>
      </c>
      <c r="C19" s="20" t="s">
        <v>582</v>
      </c>
      <c r="D19" s="20" t="s">
        <v>583</v>
      </c>
      <c r="E19" s="20" t="s">
        <v>584</v>
      </c>
      <c r="F19" s="21" t="s">
        <v>112</v>
      </c>
      <c r="G19" s="21" t="s">
        <v>106</v>
      </c>
      <c r="H19" s="20" t="s">
        <v>362</v>
      </c>
      <c r="I19" s="20" t="s">
        <v>571</v>
      </c>
    </row>
    <row r="20">
      <c r="A20" s="18" t="s">
        <v>372</v>
      </c>
      <c r="B20" s="18" t="s">
        <v>370</v>
      </c>
      <c r="C20" s="18" t="s">
        <v>585</v>
      </c>
      <c r="D20" s="18" t="s">
        <v>586</v>
      </c>
      <c r="E20" s="18" t="s">
        <v>587</v>
      </c>
      <c r="F20" s="19" t="s">
        <v>118</v>
      </c>
      <c r="G20" s="19" t="s">
        <v>110</v>
      </c>
      <c r="H20" s="18" t="s">
        <v>373</v>
      </c>
      <c r="I20" s="18" t="s">
        <v>561</v>
      </c>
    </row>
    <row r="21" ht="15.75" customHeight="1">
      <c r="A21" s="20" t="s">
        <v>384</v>
      </c>
      <c r="B21" s="20" t="s">
        <v>383</v>
      </c>
      <c r="C21" s="20" t="s">
        <v>588</v>
      </c>
      <c r="D21" s="20" t="s">
        <v>589</v>
      </c>
      <c r="E21" s="20" t="s">
        <v>590</v>
      </c>
      <c r="F21" s="21" t="s">
        <v>112</v>
      </c>
      <c r="G21" s="21" t="s">
        <v>106</v>
      </c>
      <c r="H21" s="20" t="s">
        <v>385</v>
      </c>
      <c r="I21" s="20" t="s">
        <v>571</v>
      </c>
    </row>
    <row r="22" ht="15.75" customHeight="1">
      <c r="A22" s="18" t="s">
        <v>393</v>
      </c>
      <c r="B22" s="18" t="s">
        <v>127</v>
      </c>
      <c r="C22" s="18" t="s">
        <v>591</v>
      </c>
      <c r="D22" s="18" t="s">
        <v>592</v>
      </c>
      <c r="E22" s="18" t="s">
        <v>593</v>
      </c>
      <c r="F22" s="19" t="s">
        <v>118</v>
      </c>
      <c r="G22" s="19" t="s">
        <v>110</v>
      </c>
      <c r="H22" s="18" t="s">
        <v>395</v>
      </c>
      <c r="I22" s="18" t="s">
        <v>561</v>
      </c>
    </row>
    <row r="23" ht="15.75" customHeight="1">
      <c r="A23" s="20" t="s">
        <v>406</v>
      </c>
      <c r="B23" s="20" t="s">
        <v>405</v>
      </c>
      <c r="C23" s="20" t="s">
        <v>594</v>
      </c>
      <c r="D23" s="20" t="s">
        <v>595</v>
      </c>
      <c r="E23" s="20" t="s">
        <v>596</v>
      </c>
      <c r="F23" s="21" t="s">
        <v>116</v>
      </c>
      <c r="G23" s="21" t="s">
        <v>108</v>
      </c>
      <c r="H23" s="20" t="s">
        <v>408</v>
      </c>
      <c r="I23" s="20" t="s">
        <v>571</v>
      </c>
    </row>
    <row r="24" ht="15.75" customHeight="1">
      <c r="A24" s="18" t="s">
        <v>415</v>
      </c>
      <c r="B24" s="18" t="s">
        <v>414</v>
      </c>
      <c r="C24" s="18" t="s">
        <v>597</v>
      </c>
      <c r="D24" s="18" t="s">
        <v>598</v>
      </c>
      <c r="E24" s="18" t="s">
        <v>599</v>
      </c>
      <c r="F24" s="19" t="s">
        <v>112</v>
      </c>
      <c r="G24" s="19" t="s">
        <v>106</v>
      </c>
      <c r="H24" s="18" t="s">
        <v>416</v>
      </c>
      <c r="I24" s="18" t="s">
        <v>571</v>
      </c>
    </row>
    <row r="25" ht="15.75" customHeight="1">
      <c r="A25" s="20" t="s">
        <v>422</v>
      </c>
      <c r="B25" s="20" t="s">
        <v>420</v>
      </c>
      <c r="C25" s="20" t="s">
        <v>600</v>
      </c>
      <c r="D25" s="20" t="s">
        <v>601</v>
      </c>
      <c r="E25" s="20" t="s">
        <v>602</v>
      </c>
      <c r="F25" s="21" t="s">
        <v>118</v>
      </c>
      <c r="G25" s="21" t="s">
        <v>110</v>
      </c>
      <c r="H25" s="20" t="s">
        <v>423</v>
      </c>
      <c r="I25" s="20" t="s">
        <v>561</v>
      </c>
    </row>
    <row r="26" ht="15.75" customHeight="1">
      <c r="A26" s="18" t="s">
        <v>430</v>
      </c>
      <c r="B26" s="18" t="s">
        <v>429</v>
      </c>
      <c r="C26" s="18" t="s">
        <v>603</v>
      </c>
      <c r="D26" s="18" t="s">
        <v>604</v>
      </c>
      <c r="E26" s="18" t="s">
        <v>605</v>
      </c>
      <c r="F26" s="19" t="s">
        <v>112</v>
      </c>
      <c r="G26" s="19" t="s">
        <v>106</v>
      </c>
      <c r="H26" s="18" t="s">
        <v>431</v>
      </c>
      <c r="I26" s="18" t="s">
        <v>571</v>
      </c>
    </row>
    <row r="27" ht="15.75" customHeight="1">
      <c r="A27" s="20" t="s">
        <v>439</v>
      </c>
      <c r="B27" s="20" t="s">
        <v>437</v>
      </c>
      <c r="C27" s="20" t="s">
        <v>606</v>
      </c>
      <c r="D27" s="20" t="s">
        <v>607</v>
      </c>
      <c r="E27" s="20" t="s">
        <v>608</v>
      </c>
      <c r="F27" s="21" t="s">
        <v>118</v>
      </c>
      <c r="G27" s="21" t="s">
        <v>110</v>
      </c>
      <c r="H27" s="20" t="s">
        <v>441</v>
      </c>
      <c r="I27" s="20" t="s">
        <v>561</v>
      </c>
    </row>
    <row r="28" ht="15.75" customHeight="1">
      <c r="A28" s="18" t="s">
        <v>450</v>
      </c>
      <c r="B28" s="18" t="s">
        <v>449</v>
      </c>
      <c r="C28" s="18" t="s">
        <v>609</v>
      </c>
      <c r="D28" s="18" t="s">
        <v>610</v>
      </c>
      <c r="E28" s="18" t="s">
        <v>611</v>
      </c>
      <c r="F28" s="19" t="s">
        <v>112</v>
      </c>
      <c r="G28" s="19" t="s">
        <v>106</v>
      </c>
      <c r="H28" s="18" t="s">
        <v>451</v>
      </c>
      <c r="I28" s="18" t="s">
        <v>571</v>
      </c>
    </row>
    <row r="29" ht="15.75" customHeight="1">
      <c r="A29" s="20" t="s">
        <v>461</v>
      </c>
      <c r="B29" s="20" t="s">
        <v>459</v>
      </c>
      <c r="C29" s="20" t="s">
        <v>612</v>
      </c>
      <c r="D29" s="20" t="s">
        <v>535</v>
      </c>
      <c r="E29" s="20" t="s">
        <v>613</v>
      </c>
      <c r="F29" s="21" t="s">
        <v>118</v>
      </c>
      <c r="G29" s="21" t="s">
        <v>110</v>
      </c>
      <c r="H29" s="20" t="s">
        <v>463</v>
      </c>
      <c r="I29" s="20" t="s">
        <v>561</v>
      </c>
    </row>
    <row r="30" ht="15.75" customHeight="1">
      <c r="A30" s="18" t="s">
        <v>472</v>
      </c>
      <c r="B30" s="18" t="s">
        <v>470</v>
      </c>
      <c r="C30" s="18" t="s">
        <v>614</v>
      </c>
      <c r="D30" s="18" t="s">
        <v>535</v>
      </c>
      <c r="E30" s="18" t="s">
        <v>615</v>
      </c>
      <c r="F30" s="19" t="s">
        <v>118</v>
      </c>
      <c r="G30" s="19" t="s">
        <v>110</v>
      </c>
      <c r="H30" s="18" t="s">
        <v>474</v>
      </c>
      <c r="I30" s="18" t="s">
        <v>561</v>
      </c>
    </row>
    <row r="31" ht="15.75" customHeight="1">
      <c r="A31" s="20" t="s">
        <v>479</v>
      </c>
      <c r="B31" s="20" t="s">
        <v>477</v>
      </c>
      <c r="C31" s="20" t="s">
        <v>616</v>
      </c>
      <c r="D31" s="20" t="s">
        <v>535</v>
      </c>
      <c r="E31" s="20" t="s">
        <v>617</v>
      </c>
      <c r="F31" s="21" t="s">
        <v>118</v>
      </c>
      <c r="G31" s="21" t="s">
        <v>110</v>
      </c>
      <c r="H31" s="20" t="s">
        <v>481</v>
      </c>
      <c r="I31" s="20" t="s">
        <v>561</v>
      </c>
    </row>
    <row r="32" ht="15.75" customHeight="1">
      <c r="A32" s="18" t="s">
        <v>486</v>
      </c>
      <c r="B32" s="18" t="s">
        <v>489</v>
      </c>
      <c r="C32" s="18" t="s">
        <v>618</v>
      </c>
      <c r="D32" s="18" t="s">
        <v>619</v>
      </c>
      <c r="E32" s="18" t="s">
        <v>620</v>
      </c>
      <c r="F32" s="19" t="s">
        <v>116</v>
      </c>
      <c r="G32" s="19" t="s">
        <v>108</v>
      </c>
      <c r="H32" s="18" t="s">
        <v>488</v>
      </c>
      <c r="I32" s="18" t="s">
        <v>578</v>
      </c>
    </row>
    <row r="33" ht="15.75" customHeight="1">
      <c r="A33" s="20" t="s">
        <v>496</v>
      </c>
      <c r="B33" s="20" t="s">
        <v>494</v>
      </c>
      <c r="C33" s="20" t="s">
        <v>621</v>
      </c>
      <c r="D33" s="20" t="s">
        <v>535</v>
      </c>
      <c r="E33" s="20" t="s">
        <v>622</v>
      </c>
      <c r="F33" s="21" t="s">
        <v>116</v>
      </c>
      <c r="G33" s="21" t="s">
        <v>108</v>
      </c>
      <c r="H33" s="20" t="s">
        <v>498</v>
      </c>
      <c r="I33" s="20" t="s">
        <v>561</v>
      </c>
    </row>
    <row r="34" ht="15.75" customHeight="1">
      <c r="A34" s="18" t="s">
        <v>505</v>
      </c>
      <c r="B34" s="18" t="s">
        <v>504</v>
      </c>
      <c r="C34" s="18"/>
      <c r="D34" s="18" t="s">
        <v>623</v>
      </c>
      <c r="E34" s="18" t="s">
        <v>624</v>
      </c>
      <c r="F34" s="19" t="s">
        <v>112</v>
      </c>
      <c r="G34" s="19" t="s">
        <v>106</v>
      </c>
      <c r="H34" s="18" t="s">
        <v>506</v>
      </c>
      <c r="I34" s="18" t="s">
        <v>571</v>
      </c>
    </row>
    <row r="35" ht="15.75" customHeight="1">
      <c r="A35" s="20" t="s">
        <v>511</v>
      </c>
      <c r="B35" s="20" t="s">
        <v>509</v>
      </c>
      <c r="C35" s="20" t="s">
        <v>625</v>
      </c>
      <c r="D35" s="20" t="s">
        <v>535</v>
      </c>
      <c r="E35" s="20" t="s">
        <v>626</v>
      </c>
      <c r="F35" s="21" t="s">
        <v>118</v>
      </c>
      <c r="G35" s="21" t="s">
        <v>110</v>
      </c>
      <c r="H35" s="20" t="s">
        <v>513</v>
      </c>
      <c r="I35" s="20" t="s">
        <v>627</v>
      </c>
    </row>
    <row r="36" ht="15.75" customHeight="1">
      <c r="A36" s="18" t="s">
        <v>517</v>
      </c>
      <c r="B36" s="18" t="s">
        <v>516</v>
      </c>
      <c r="C36" s="18" t="s">
        <v>628</v>
      </c>
      <c r="D36" s="18" t="s">
        <v>535</v>
      </c>
      <c r="E36" s="18" t="s">
        <v>629</v>
      </c>
      <c r="F36" s="19" t="s">
        <v>118</v>
      </c>
      <c r="G36" s="19" t="s">
        <v>110</v>
      </c>
      <c r="H36" s="18" t="s">
        <v>519</v>
      </c>
      <c r="I36" s="18" t="s">
        <v>627</v>
      </c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</row>
  </sheetData>
  <conditionalFormatting sqref="G2:G36">
    <cfRule type="cellIs" dxfId="0" priority="1" operator="equal">
      <formula>"TOFU"</formula>
    </cfRule>
  </conditionalFormatting>
  <conditionalFormatting sqref="G2:G36">
    <cfRule type="cellIs" dxfId="1" priority="2" operator="equal">
      <formula>"MOFU"</formula>
    </cfRule>
  </conditionalFormatting>
  <conditionalFormatting sqref="G2:G36">
    <cfRule type="cellIs" dxfId="2" priority="3" operator="equal">
      <formula>"BOFU"</formula>
    </cfRule>
  </conditionalFormatting>
  <conditionalFormatting sqref="F2:F36">
    <cfRule type="cellIs" dxfId="8" priority="4" operator="equal">
      <formula>"Informational"</formula>
    </cfRule>
  </conditionalFormatting>
  <conditionalFormatting sqref="F2:F36">
    <cfRule type="cellIs" dxfId="9" priority="5" operator="equal">
      <formula>"Navigational"</formula>
    </cfRule>
  </conditionalFormatting>
  <conditionalFormatting sqref="F2:F36">
    <cfRule type="cellIs" dxfId="10" priority="6" operator="equal">
      <formula>"Commercial"</formula>
    </cfRule>
  </conditionalFormatting>
  <conditionalFormatting sqref="F2:F36">
    <cfRule type="cellIs" dxfId="11" priority="7" operator="equal">
      <formula>"Transactional"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3.86"/>
    <col customWidth="1" min="2" max="2" width="30.0"/>
    <col customWidth="1" min="3" max="3" width="56.57"/>
    <col customWidth="1" min="4" max="4" width="44.0"/>
    <col customWidth="1" min="5" max="5" width="47.86"/>
    <col customWidth="1" min="6" max="6" width="43.57"/>
    <col customWidth="1" min="7" max="7" width="53.0"/>
    <col customWidth="1" min="8" max="26" width="8.71"/>
  </cols>
  <sheetData>
    <row r="1">
      <c r="A1" s="17" t="s">
        <v>630</v>
      </c>
      <c r="B1" s="17" t="s">
        <v>631</v>
      </c>
      <c r="C1" s="17" t="s">
        <v>632</v>
      </c>
      <c r="D1" s="17" t="s">
        <v>633</v>
      </c>
      <c r="E1" s="17" t="s">
        <v>634</v>
      </c>
      <c r="F1" s="17" t="s">
        <v>635</v>
      </c>
      <c r="G1" s="17" t="s">
        <v>636</v>
      </c>
    </row>
    <row r="2">
      <c r="A2" s="50" t="s">
        <v>637</v>
      </c>
      <c r="B2" s="18" t="s">
        <v>638</v>
      </c>
      <c r="C2" s="18" t="s">
        <v>639</v>
      </c>
      <c r="D2" s="18" t="s">
        <v>640</v>
      </c>
      <c r="E2" s="18" t="s">
        <v>641</v>
      </c>
      <c r="F2" s="18" t="s">
        <v>642</v>
      </c>
      <c r="G2" s="18" t="s">
        <v>643</v>
      </c>
    </row>
    <row r="3">
      <c r="A3" s="51" t="s">
        <v>644</v>
      </c>
      <c r="B3" s="20" t="s">
        <v>645</v>
      </c>
      <c r="C3" s="20" t="s">
        <v>646</v>
      </c>
      <c r="D3" s="20" t="s">
        <v>647</v>
      </c>
      <c r="E3" s="20" t="s">
        <v>648</v>
      </c>
      <c r="F3" s="20" t="s">
        <v>649</v>
      </c>
      <c r="G3" s="20" t="s">
        <v>650</v>
      </c>
    </row>
    <row r="4">
      <c r="A4" s="50" t="s">
        <v>651</v>
      </c>
      <c r="B4" s="18" t="s">
        <v>652</v>
      </c>
      <c r="C4" s="18" t="s">
        <v>653</v>
      </c>
      <c r="D4" s="18" t="s">
        <v>654</v>
      </c>
      <c r="E4" s="18" t="s">
        <v>655</v>
      </c>
      <c r="F4" s="18" t="s">
        <v>656</v>
      </c>
      <c r="G4" s="18" t="s">
        <v>657</v>
      </c>
    </row>
    <row r="5">
      <c r="A5" s="51" t="s">
        <v>658</v>
      </c>
      <c r="B5" s="20" t="s">
        <v>659</v>
      </c>
      <c r="C5" s="20" t="s">
        <v>660</v>
      </c>
      <c r="D5" s="20" t="s">
        <v>661</v>
      </c>
      <c r="E5" s="20" t="s">
        <v>662</v>
      </c>
      <c r="F5" s="20" t="s">
        <v>663</v>
      </c>
      <c r="G5" s="20" t="s">
        <v>664</v>
      </c>
    </row>
    <row r="6">
      <c r="A6" s="50" t="s">
        <v>665</v>
      </c>
      <c r="B6" s="18" t="s">
        <v>666</v>
      </c>
      <c r="C6" s="18" t="s">
        <v>667</v>
      </c>
      <c r="D6" s="18" t="s">
        <v>668</v>
      </c>
      <c r="E6" s="18" t="s">
        <v>669</v>
      </c>
      <c r="F6" s="18" t="s">
        <v>670</v>
      </c>
      <c r="G6" s="18" t="s">
        <v>671</v>
      </c>
    </row>
    <row r="7">
      <c r="A7" s="8"/>
      <c r="B7" s="8"/>
      <c r="C7" s="8"/>
      <c r="D7" s="8"/>
      <c r="E7" s="8"/>
      <c r="F7" s="8"/>
      <c r="G7" s="8"/>
    </row>
    <row r="8">
      <c r="A8" s="8"/>
      <c r="B8" s="8"/>
      <c r="C8" s="8"/>
      <c r="D8" s="8"/>
      <c r="E8" s="8"/>
      <c r="F8" s="8"/>
      <c r="G8" s="8"/>
    </row>
    <row r="9">
      <c r="A9" s="8"/>
      <c r="B9" s="8"/>
      <c r="C9" s="8"/>
      <c r="D9" s="8"/>
      <c r="E9" s="8"/>
      <c r="F9" s="8"/>
      <c r="G9" s="8"/>
    </row>
    <row r="10">
      <c r="A10" s="8"/>
      <c r="B10" s="8"/>
      <c r="C10" s="8"/>
      <c r="D10" s="8"/>
      <c r="E10" s="8"/>
      <c r="F10" s="8"/>
      <c r="G10" s="8"/>
    </row>
    <row r="11">
      <c r="A11" s="8"/>
      <c r="B11" s="8"/>
      <c r="C11" s="8"/>
      <c r="D11" s="8"/>
      <c r="E11" s="8"/>
      <c r="F11" s="8"/>
      <c r="G11" s="8"/>
    </row>
    <row r="12">
      <c r="A12" s="8"/>
      <c r="B12" s="8"/>
      <c r="C12" s="8"/>
      <c r="D12" s="8"/>
      <c r="E12" s="8"/>
      <c r="F12" s="8"/>
      <c r="G12" s="8"/>
    </row>
    <row r="13">
      <c r="A13" s="8"/>
      <c r="B13" s="8"/>
      <c r="C13" s="8"/>
      <c r="D13" s="8"/>
      <c r="E13" s="8"/>
      <c r="F13" s="8"/>
      <c r="G13" s="8"/>
    </row>
    <row r="14">
      <c r="A14" s="8"/>
      <c r="B14" s="8"/>
      <c r="C14" s="8"/>
      <c r="D14" s="8"/>
      <c r="E14" s="8"/>
      <c r="F14" s="8"/>
      <c r="G14" s="8"/>
    </row>
    <row r="15">
      <c r="A15" s="8"/>
      <c r="B15" s="8"/>
      <c r="C15" s="8"/>
      <c r="D15" s="8"/>
      <c r="E15" s="8"/>
      <c r="F15" s="8"/>
      <c r="G15" s="8"/>
    </row>
    <row r="16">
      <c r="A16" s="8"/>
      <c r="B16" s="8"/>
      <c r="C16" s="8"/>
      <c r="D16" s="8"/>
      <c r="E16" s="8"/>
      <c r="F16" s="8"/>
      <c r="G16" s="8"/>
    </row>
    <row r="17">
      <c r="A17" s="8"/>
      <c r="B17" s="8"/>
      <c r="C17" s="8"/>
      <c r="D17" s="8"/>
      <c r="E17" s="8"/>
      <c r="F17" s="8"/>
      <c r="G17" s="8"/>
    </row>
    <row r="18">
      <c r="A18" s="8"/>
      <c r="B18" s="8"/>
      <c r="C18" s="8"/>
      <c r="D18" s="8"/>
      <c r="E18" s="8"/>
      <c r="F18" s="8"/>
      <c r="G18" s="8"/>
    </row>
    <row r="19">
      <c r="A19" s="8"/>
      <c r="B19" s="8"/>
      <c r="C19" s="8"/>
      <c r="D19" s="8"/>
      <c r="E19" s="8"/>
      <c r="F19" s="8"/>
      <c r="G19" s="8"/>
    </row>
    <row r="20">
      <c r="A20" s="8"/>
      <c r="B20" s="8"/>
      <c r="C20" s="8"/>
      <c r="D20" s="8"/>
      <c r="E20" s="8"/>
      <c r="F20" s="8"/>
      <c r="G20" s="8"/>
    </row>
    <row r="21" ht="15.75" customHeight="1">
      <c r="A21" s="8"/>
      <c r="B21" s="8"/>
      <c r="C21" s="8"/>
      <c r="D21" s="8"/>
      <c r="E21" s="8"/>
      <c r="F21" s="8"/>
      <c r="G21" s="8"/>
    </row>
    <row r="22" ht="15.75" customHeight="1">
      <c r="A22" s="8"/>
      <c r="B22" s="8"/>
      <c r="C22" s="8"/>
      <c r="D22" s="8"/>
      <c r="E22" s="8"/>
      <c r="F22" s="8"/>
      <c r="G22" s="8"/>
    </row>
    <row r="23" ht="15.75" customHeight="1">
      <c r="A23" s="8"/>
      <c r="B23" s="8"/>
      <c r="C23" s="8"/>
      <c r="D23" s="8"/>
      <c r="E23" s="8"/>
      <c r="F23" s="8"/>
      <c r="G23" s="8"/>
    </row>
    <row r="24" ht="15.75" customHeight="1">
      <c r="A24" s="8"/>
      <c r="B24" s="8"/>
      <c r="C24" s="8"/>
      <c r="D24" s="8"/>
      <c r="E24" s="8"/>
      <c r="F24" s="8"/>
      <c r="G24" s="8"/>
    </row>
    <row r="25" ht="15.75" customHeight="1">
      <c r="A25" s="8"/>
      <c r="B25" s="8"/>
      <c r="C25" s="8"/>
      <c r="D25" s="8"/>
      <c r="E25" s="8"/>
      <c r="F25" s="8"/>
      <c r="G25" s="8"/>
    </row>
    <row r="26" ht="15.75" customHeight="1">
      <c r="A26" s="8"/>
      <c r="B26" s="8"/>
      <c r="C26" s="8"/>
      <c r="D26" s="8"/>
      <c r="E26" s="8"/>
      <c r="F26" s="8"/>
      <c r="G26" s="8"/>
    </row>
    <row r="27" ht="15.75" customHeight="1">
      <c r="A27" s="8"/>
      <c r="B27" s="8"/>
      <c r="C27" s="8"/>
      <c r="D27" s="8"/>
      <c r="E27" s="8"/>
      <c r="F27" s="8"/>
      <c r="G27" s="8"/>
    </row>
    <row r="28" ht="15.75" customHeight="1">
      <c r="A28" s="8"/>
      <c r="B28" s="8"/>
      <c r="C28" s="8"/>
      <c r="D28" s="8"/>
      <c r="E28" s="8"/>
      <c r="F28" s="8"/>
      <c r="G28" s="8"/>
    </row>
    <row r="29" ht="15.75" customHeight="1">
      <c r="A29" s="8"/>
      <c r="B29" s="8"/>
      <c r="C29" s="8"/>
      <c r="D29" s="8"/>
      <c r="E29" s="8"/>
      <c r="F29" s="8"/>
      <c r="G29" s="8"/>
    </row>
    <row r="30" ht="15.75" customHeight="1">
      <c r="A30" s="8"/>
      <c r="B30" s="8"/>
      <c r="C30" s="8"/>
      <c r="D30" s="8"/>
      <c r="E30" s="8"/>
      <c r="F30" s="8"/>
      <c r="G30" s="8"/>
    </row>
    <row r="31" ht="15.75" customHeight="1">
      <c r="A31" s="8"/>
      <c r="B31" s="8"/>
      <c r="C31" s="8"/>
      <c r="D31" s="8"/>
      <c r="E31" s="8"/>
      <c r="F31" s="8"/>
      <c r="G31" s="8"/>
    </row>
    <row r="32" ht="15.75" customHeight="1">
      <c r="A32" s="8"/>
      <c r="B32" s="8"/>
      <c r="C32" s="8"/>
      <c r="D32" s="8"/>
      <c r="E32" s="8"/>
      <c r="F32" s="8"/>
      <c r="G32" s="8"/>
    </row>
    <row r="33" ht="15.75" customHeight="1">
      <c r="A33" s="8"/>
      <c r="B33" s="8"/>
      <c r="C33" s="8"/>
      <c r="D33" s="8"/>
      <c r="E33" s="8"/>
      <c r="F33" s="8"/>
      <c r="G33" s="8"/>
    </row>
    <row r="34" ht="15.75" customHeight="1">
      <c r="A34" s="8"/>
      <c r="B34" s="8"/>
      <c r="C34" s="8"/>
      <c r="D34" s="8"/>
      <c r="E34" s="8"/>
      <c r="F34" s="8"/>
      <c r="G34" s="8"/>
    </row>
    <row r="35" ht="15.75" customHeight="1">
      <c r="A35" s="8"/>
      <c r="B35" s="8"/>
      <c r="C35" s="8"/>
      <c r="D35" s="8"/>
      <c r="E35" s="8"/>
      <c r="F35" s="8"/>
      <c r="G35" s="8"/>
    </row>
    <row r="36" ht="15.75" customHeight="1">
      <c r="A36" s="8"/>
      <c r="B36" s="8"/>
      <c r="C36" s="8"/>
      <c r="D36" s="8"/>
      <c r="E36" s="8"/>
      <c r="F36" s="8"/>
      <c r="G36" s="8"/>
    </row>
    <row r="37" ht="15.75" customHeight="1">
      <c r="A37" s="8"/>
      <c r="B37" s="8"/>
      <c r="C37" s="8"/>
      <c r="D37" s="8"/>
      <c r="E37" s="8"/>
      <c r="F37" s="8"/>
      <c r="G37" s="8"/>
    </row>
    <row r="38" ht="15.75" customHeight="1">
      <c r="A38" s="8"/>
      <c r="B38" s="8"/>
      <c r="C38" s="8"/>
      <c r="D38" s="8"/>
      <c r="E38" s="8"/>
      <c r="F38" s="8"/>
      <c r="G38" s="8"/>
    </row>
    <row r="39" ht="15.75" customHeight="1">
      <c r="A39" s="8"/>
      <c r="B39" s="8"/>
      <c r="C39" s="8"/>
      <c r="D39" s="8"/>
      <c r="E39" s="8"/>
      <c r="F39" s="8"/>
      <c r="G39" s="8"/>
    </row>
    <row r="40" ht="15.75" customHeight="1">
      <c r="A40" s="8"/>
      <c r="B40" s="8"/>
      <c r="C40" s="8"/>
      <c r="D40" s="8"/>
      <c r="E40" s="8"/>
      <c r="F40" s="8"/>
      <c r="G40" s="8"/>
    </row>
    <row r="41" ht="15.75" customHeight="1">
      <c r="A41" s="8"/>
      <c r="B41" s="8"/>
      <c r="C41" s="8"/>
      <c r="D41" s="8"/>
      <c r="E41" s="8"/>
      <c r="F41" s="8"/>
      <c r="G41" s="8"/>
    </row>
    <row r="42" ht="15.75" customHeight="1">
      <c r="A42" s="8"/>
      <c r="B42" s="8"/>
      <c r="C42" s="8"/>
      <c r="D42" s="8"/>
      <c r="E42" s="8"/>
      <c r="F42" s="8"/>
      <c r="G42" s="8"/>
    </row>
    <row r="43" ht="15.75" customHeight="1">
      <c r="A43" s="8"/>
      <c r="B43" s="8"/>
      <c r="C43" s="8"/>
      <c r="D43" s="8"/>
      <c r="E43" s="8"/>
      <c r="F43" s="8"/>
      <c r="G43" s="8"/>
    </row>
    <row r="44" ht="15.75" customHeight="1">
      <c r="A44" s="8"/>
      <c r="B44" s="8"/>
      <c r="C44" s="8"/>
      <c r="D44" s="8"/>
      <c r="E44" s="8"/>
      <c r="F44" s="8"/>
      <c r="G44" s="8"/>
    </row>
    <row r="45" ht="15.75" customHeight="1">
      <c r="A45" s="8"/>
      <c r="B45" s="8"/>
      <c r="C45" s="8"/>
      <c r="D45" s="8"/>
      <c r="E45" s="8"/>
      <c r="F45" s="8"/>
      <c r="G45" s="8"/>
    </row>
    <row r="46" ht="15.75" customHeight="1">
      <c r="A46" s="8"/>
      <c r="B46" s="8"/>
      <c r="C46" s="8"/>
      <c r="D46" s="8"/>
      <c r="E46" s="8"/>
      <c r="F46" s="8"/>
      <c r="G46" s="8"/>
    </row>
    <row r="47" ht="15.75" customHeight="1">
      <c r="A47" s="8"/>
      <c r="B47" s="8"/>
      <c r="C47" s="8"/>
      <c r="D47" s="8"/>
      <c r="E47" s="8"/>
      <c r="F47" s="8"/>
      <c r="G47" s="8"/>
    </row>
    <row r="48" ht="15.75" customHeight="1">
      <c r="A48" s="8"/>
      <c r="B48" s="8"/>
      <c r="C48" s="8"/>
      <c r="D48" s="8"/>
      <c r="E48" s="8"/>
      <c r="F48" s="8"/>
      <c r="G48" s="8"/>
    </row>
    <row r="49" ht="15.75" customHeight="1">
      <c r="A49" s="8"/>
      <c r="B49" s="8"/>
      <c r="C49" s="8"/>
      <c r="D49" s="8"/>
      <c r="E49" s="8"/>
      <c r="F49" s="8"/>
      <c r="G49" s="8"/>
    </row>
    <row r="50" ht="15.75" customHeight="1">
      <c r="A50" s="8"/>
      <c r="B50" s="8"/>
      <c r="C50" s="8"/>
      <c r="D50" s="8"/>
      <c r="E50" s="8"/>
      <c r="F50" s="8"/>
      <c r="G50" s="8"/>
    </row>
    <row r="51" ht="15.75" customHeight="1">
      <c r="A51" s="8"/>
      <c r="B51" s="8"/>
      <c r="C51" s="8"/>
      <c r="D51" s="8"/>
      <c r="E51" s="8"/>
      <c r="F51" s="8"/>
      <c r="G51" s="8"/>
    </row>
    <row r="52" ht="15.75" customHeight="1">
      <c r="A52" s="8"/>
      <c r="B52" s="8"/>
      <c r="C52" s="8"/>
      <c r="D52" s="8"/>
      <c r="E52" s="8"/>
      <c r="F52" s="8"/>
      <c r="G52" s="8"/>
    </row>
    <row r="53" ht="15.75" customHeight="1">
      <c r="A53" s="8"/>
      <c r="B53" s="8"/>
      <c r="C53" s="8"/>
      <c r="D53" s="8"/>
      <c r="E53" s="8"/>
      <c r="F53" s="8"/>
      <c r="G53" s="8"/>
    </row>
    <row r="54" ht="15.75" customHeight="1">
      <c r="A54" s="8"/>
      <c r="B54" s="8"/>
      <c r="C54" s="8"/>
      <c r="D54" s="8"/>
      <c r="E54" s="8"/>
      <c r="F54" s="8"/>
      <c r="G54" s="8"/>
    </row>
    <row r="55" ht="15.75" customHeight="1">
      <c r="A55" s="8"/>
      <c r="B55" s="8"/>
      <c r="C55" s="8"/>
      <c r="D55" s="8"/>
      <c r="E55" s="8"/>
      <c r="F55" s="8"/>
      <c r="G55" s="8"/>
    </row>
    <row r="56" ht="15.75" customHeight="1">
      <c r="A56" s="8"/>
      <c r="B56" s="8"/>
      <c r="C56" s="8"/>
      <c r="D56" s="8"/>
      <c r="E56" s="8"/>
      <c r="F56" s="8"/>
      <c r="G56" s="8"/>
    </row>
    <row r="57" ht="15.75" customHeight="1">
      <c r="A57" s="8"/>
      <c r="B57" s="8"/>
      <c r="C57" s="8"/>
      <c r="D57" s="8"/>
      <c r="E57" s="8"/>
      <c r="F57" s="8"/>
      <c r="G57" s="8"/>
    </row>
    <row r="58" ht="15.75" customHeight="1">
      <c r="A58" s="8"/>
      <c r="B58" s="8"/>
      <c r="C58" s="8"/>
      <c r="D58" s="8"/>
      <c r="E58" s="8"/>
      <c r="F58" s="8"/>
      <c r="G58" s="8"/>
    </row>
    <row r="59" ht="15.75" customHeight="1">
      <c r="A59" s="8"/>
      <c r="B59" s="8"/>
      <c r="C59" s="8"/>
      <c r="D59" s="8"/>
      <c r="E59" s="8"/>
      <c r="F59" s="8"/>
      <c r="G59" s="8"/>
    </row>
    <row r="60" ht="15.75" customHeight="1">
      <c r="A60" s="8"/>
      <c r="B60" s="8"/>
      <c r="C60" s="8"/>
      <c r="D60" s="8"/>
      <c r="E60" s="8"/>
      <c r="F60" s="8"/>
      <c r="G60" s="8"/>
    </row>
    <row r="61" ht="15.75" customHeight="1">
      <c r="A61" s="8"/>
      <c r="B61" s="8"/>
      <c r="C61" s="8"/>
      <c r="D61" s="8"/>
      <c r="E61" s="8"/>
      <c r="F61" s="8"/>
      <c r="G61" s="8"/>
    </row>
    <row r="62" ht="15.75" customHeight="1">
      <c r="A62" s="8"/>
      <c r="B62" s="8"/>
      <c r="C62" s="8"/>
      <c r="D62" s="8"/>
      <c r="E62" s="8"/>
      <c r="F62" s="8"/>
      <c r="G62" s="8"/>
    </row>
    <row r="63" ht="15.75" customHeight="1">
      <c r="A63" s="8"/>
      <c r="B63" s="8"/>
      <c r="C63" s="8"/>
      <c r="D63" s="8"/>
      <c r="E63" s="8"/>
      <c r="F63" s="8"/>
      <c r="G63" s="8"/>
    </row>
    <row r="64" ht="15.75" customHeight="1">
      <c r="A64" s="8"/>
      <c r="B64" s="8"/>
      <c r="C64" s="8"/>
      <c r="D64" s="8"/>
      <c r="E64" s="8"/>
      <c r="F64" s="8"/>
      <c r="G64" s="8"/>
    </row>
    <row r="65" ht="15.75" customHeight="1">
      <c r="A65" s="8"/>
      <c r="B65" s="8"/>
      <c r="C65" s="8"/>
      <c r="D65" s="8"/>
      <c r="E65" s="8"/>
      <c r="F65" s="8"/>
      <c r="G65" s="8"/>
    </row>
    <row r="66" ht="15.75" customHeight="1">
      <c r="A66" s="8"/>
      <c r="B66" s="8"/>
      <c r="C66" s="8"/>
      <c r="D66" s="8"/>
      <c r="E66" s="8"/>
      <c r="F66" s="8"/>
      <c r="G66" s="8"/>
    </row>
    <row r="67" ht="15.75" customHeight="1">
      <c r="A67" s="8"/>
      <c r="B67" s="8"/>
      <c r="C67" s="8"/>
      <c r="D67" s="8"/>
      <c r="E67" s="8"/>
      <c r="F67" s="8"/>
      <c r="G67" s="8"/>
    </row>
    <row r="68" ht="15.75" customHeight="1">
      <c r="A68" s="8"/>
      <c r="B68" s="8"/>
      <c r="C68" s="8"/>
      <c r="D68" s="8"/>
      <c r="E68" s="8"/>
      <c r="F68" s="8"/>
      <c r="G68" s="8"/>
    </row>
    <row r="69" ht="15.75" customHeight="1">
      <c r="A69" s="8"/>
      <c r="B69" s="8"/>
      <c r="C69" s="8"/>
      <c r="D69" s="8"/>
      <c r="E69" s="8"/>
      <c r="F69" s="8"/>
      <c r="G69" s="8"/>
    </row>
    <row r="70" ht="15.75" customHeight="1">
      <c r="A70" s="8"/>
      <c r="B70" s="8"/>
      <c r="C70" s="8"/>
      <c r="D70" s="8"/>
      <c r="E70" s="8"/>
      <c r="F70" s="8"/>
      <c r="G70" s="8"/>
    </row>
    <row r="71" ht="15.75" customHeight="1">
      <c r="A71" s="8"/>
      <c r="B71" s="8"/>
      <c r="C71" s="8"/>
      <c r="D71" s="8"/>
      <c r="E71" s="8"/>
      <c r="F71" s="8"/>
      <c r="G71" s="8"/>
    </row>
    <row r="72" ht="15.75" customHeight="1">
      <c r="A72" s="8"/>
      <c r="B72" s="8"/>
      <c r="C72" s="8"/>
      <c r="D72" s="8"/>
      <c r="E72" s="8"/>
      <c r="F72" s="8"/>
      <c r="G72" s="8"/>
    </row>
    <row r="73" ht="15.75" customHeight="1">
      <c r="A73" s="8"/>
      <c r="B73" s="8"/>
      <c r="C73" s="8"/>
      <c r="D73" s="8"/>
      <c r="E73" s="8"/>
      <c r="F73" s="8"/>
      <c r="G73" s="8"/>
    </row>
    <row r="74" ht="15.75" customHeight="1">
      <c r="A74" s="8"/>
      <c r="B74" s="8"/>
      <c r="C74" s="8"/>
      <c r="D74" s="8"/>
      <c r="E74" s="8"/>
      <c r="F74" s="8"/>
      <c r="G74" s="8"/>
    </row>
    <row r="75" ht="15.75" customHeight="1">
      <c r="A75" s="8"/>
      <c r="B75" s="8"/>
      <c r="C75" s="8"/>
      <c r="D75" s="8"/>
      <c r="E75" s="8"/>
      <c r="F75" s="8"/>
      <c r="G75" s="8"/>
    </row>
    <row r="76" ht="15.75" customHeight="1">
      <c r="A76" s="8"/>
      <c r="B76" s="8"/>
      <c r="C76" s="8"/>
      <c r="D76" s="8"/>
      <c r="E76" s="8"/>
      <c r="F76" s="8"/>
      <c r="G76" s="8"/>
    </row>
    <row r="77" ht="15.75" customHeight="1">
      <c r="A77" s="8"/>
      <c r="B77" s="8"/>
      <c r="C77" s="8"/>
      <c r="D77" s="8"/>
      <c r="E77" s="8"/>
      <c r="F77" s="8"/>
      <c r="G77" s="8"/>
    </row>
    <row r="78" ht="15.75" customHeight="1">
      <c r="A78" s="8"/>
      <c r="B78" s="8"/>
      <c r="C78" s="8"/>
      <c r="D78" s="8"/>
      <c r="E78" s="8"/>
      <c r="F78" s="8"/>
      <c r="G78" s="8"/>
    </row>
    <row r="79" ht="15.75" customHeight="1">
      <c r="A79" s="8"/>
      <c r="B79" s="8"/>
      <c r="C79" s="8"/>
      <c r="D79" s="8"/>
      <c r="E79" s="8"/>
      <c r="F79" s="8"/>
      <c r="G79" s="8"/>
    </row>
    <row r="80" ht="15.75" customHeight="1">
      <c r="A80" s="8"/>
      <c r="B80" s="8"/>
      <c r="C80" s="8"/>
      <c r="D80" s="8"/>
      <c r="E80" s="8"/>
      <c r="F80" s="8"/>
      <c r="G80" s="8"/>
    </row>
    <row r="81" ht="15.75" customHeight="1">
      <c r="A81" s="8"/>
      <c r="B81" s="8"/>
      <c r="C81" s="8"/>
      <c r="D81" s="8"/>
      <c r="E81" s="8"/>
      <c r="F81" s="8"/>
      <c r="G81" s="8"/>
    </row>
    <row r="82" ht="15.75" customHeight="1">
      <c r="A82" s="8"/>
      <c r="B82" s="8"/>
      <c r="C82" s="8"/>
      <c r="D82" s="8"/>
      <c r="E82" s="8"/>
      <c r="F82" s="8"/>
      <c r="G82" s="8"/>
    </row>
    <row r="83" ht="15.75" customHeight="1">
      <c r="A83" s="8"/>
      <c r="B83" s="8"/>
      <c r="C83" s="8"/>
      <c r="D83" s="8"/>
      <c r="E83" s="8"/>
      <c r="F83" s="8"/>
      <c r="G83" s="8"/>
    </row>
    <row r="84" ht="15.75" customHeight="1">
      <c r="A84" s="8"/>
      <c r="B84" s="8"/>
      <c r="C84" s="8"/>
      <c r="D84" s="8"/>
      <c r="E84" s="8"/>
      <c r="F84" s="8"/>
      <c r="G84" s="8"/>
    </row>
    <row r="85" ht="15.75" customHeight="1">
      <c r="A85" s="8"/>
      <c r="B85" s="8"/>
      <c r="C85" s="8"/>
      <c r="D85" s="8"/>
      <c r="E85" s="8"/>
      <c r="F85" s="8"/>
      <c r="G85" s="8"/>
    </row>
    <row r="86" ht="15.75" customHeight="1">
      <c r="A86" s="8"/>
      <c r="B86" s="8"/>
      <c r="C86" s="8"/>
      <c r="D86" s="8"/>
      <c r="E86" s="8"/>
      <c r="F86" s="8"/>
      <c r="G86" s="8"/>
    </row>
    <row r="87" ht="15.75" customHeight="1">
      <c r="A87" s="8"/>
      <c r="B87" s="8"/>
      <c r="C87" s="8"/>
      <c r="D87" s="8"/>
      <c r="E87" s="8"/>
      <c r="F87" s="8"/>
      <c r="G87" s="8"/>
    </row>
    <row r="88" ht="15.75" customHeight="1">
      <c r="A88" s="8"/>
      <c r="B88" s="8"/>
      <c r="C88" s="8"/>
      <c r="D88" s="8"/>
      <c r="E88" s="8"/>
      <c r="F88" s="8"/>
      <c r="G88" s="8"/>
    </row>
    <row r="89" ht="15.75" customHeight="1">
      <c r="A89" s="8"/>
      <c r="B89" s="8"/>
      <c r="C89" s="8"/>
      <c r="D89" s="8"/>
      <c r="E89" s="8"/>
      <c r="F89" s="8"/>
      <c r="G89" s="8"/>
    </row>
    <row r="90" ht="15.75" customHeight="1">
      <c r="A90" s="8"/>
      <c r="B90" s="8"/>
      <c r="C90" s="8"/>
      <c r="D90" s="8"/>
      <c r="E90" s="8"/>
      <c r="F90" s="8"/>
      <c r="G90" s="8"/>
    </row>
    <row r="91" ht="15.75" customHeight="1">
      <c r="A91" s="8"/>
      <c r="B91" s="8"/>
      <c r="C91" s="8"/>
      <c r="D91" s="8"/>
      <c r="E91" s="8"/>
      <c r="F91" s="8"/>
      <c r="G91" s="8"/>
    </row>
    <row r="92" ht="15.75" customHeight="1">
      <c r="A92" s="8"/>
      <c r="B92" s="8"/>
      <c r="C92" s="8"/>
      <c r="D92" s="8"/>
      <c r="E92" s="8"/>
      <c r="F92" s="8"/>
      <c r="G92" s="8"/>
    </row>
    <row r="93" ht="15.75" customHeight="1">
      <c r="A93" s="8"/>
      <c r="B93" s="8"/>
      <c r="C93" s="8"/>
      <c r="D93" s="8"/>
      <c r="E93" s="8"/>
      <c r="F93" s="8"/>
      <c r="G93" s="8"/>
    </row>
    <row r="94" ht="15.75" customHeight="1">
      <c r="A94" s="8"/>
      <c r="B94" s="8"/>
      <c r="C94" s="8"/>
      <c r="D94" s="8"/>
      <c r="E94" s="8"/>
      <c r="F94" s="8"/>
      <c r="G94" s="8"/>
    </row>
    <row r="95" ht="15.75" customHeight="1">
      <c r="A95" s="8"/>
      <c r="B95" s="8"/>
      <c r="C95" s="8"/>
      <c r="D95" s="8"/>
      <c r="E95" s="8"/>
      <c r="F95" s="8"/>
      <c r="G95" s="8"/>
    </row>
    <row r="96" ht="15.75" customHeight="1">
      <c r="A96" s="8"/>
      <c r="B96" s="8"/>
      <c r="C96" s="8"/>
      <c r="D96" s="8"/>
      <c r="E96" s="8"/>
      <c r="F96" s="8"/>
      <c r="G96" s="8"/>
    </row>
    <row r="97" ht="15.75" customHeight="1">
      <c r="A97" s="8"/>
      <c r="B97" s="8"/>
      <c r="C97" s="8"/>
      <c r="D97" s="8"/>
      <c r="E97" s="8"/>
      <c r="F97" s="8"/>
      <c r="G97" s="8"/>
    </row>
    <row r="98" ht="15.75" customHeight="1">
      <c r="A98" s="8"/>
      <c r="B98" s="8"/>
      <c r="C98" s="8"/>
      <c r="D98" s="8"/>
      <c r="E98" s="8"/>
      <c r="F98" s="8"/>
      <c r="G98" s="8"/>
    </row>
    <row r="99" ht="15.75" customHeight="1">
      <c r="A99" s="8"/>
      <c r="B99" s="8"/>
      <c r="C99" s="8"/>
      <c r="D99" s="8"/>
      <c r="E99" s="8"/>
      <c r="F99" s="8"/>
      <c r="G99" s="8"/>
    </row>
    <row r="100" ht="15.75" customHeight="1">
      <c r="A100" s="8"/>
      <c r="B100" s="8"/>
      <c r="C100" s="8"/>
      <c r="D100" s="8"/>
      <c r="E100" s="8"/>
      <c r="F100" s="8"/>
      <c r="G100" s="8"/>
    </row>
    <row r="101" ht="15.75" customHeight="1">
      <c r="A101" s="8"/>
      <c r="B101" s="8"/>
      <c r="C101" s="8"/>
      <c r="D101" s="8"/>
      <c r="E101" s="8"/>
      <c r="F101" s="8"/>
      <c r="G101" s="8"/>
    </row>
    <row r="102" ht="15.75" customHeight="1">
      <c r="A102" s="8"/>
      <c r="B102" s="8"/>
      <c r="C102" s="8"/>
      <c r="D102" s="8"/>
      <c r="E102" s="8"/>
      <c r="F102" s="8"/>
      <c r="G102" s="8"/>
    </row>
    <row r="103" ht="15.75" customHeight="1">
      <c r="A103" s="8"/>
      <c r="B103" s="8"/>
      <c r="C103" s="8"/>
      <c r="D103" s="8"/>
      <c r="E103" s="8"/>
      <c r="F103" s="8"/>
      <c r="G103" s="8"/>
    </row>
    <row r="104" ht="15.75" customHeight="1">
      <c r="A104" s="8"/>
      <c r="B104" s="8"/>
      <c r="C104" s="8"/>
      <c r="D104" s="8"/>
      <c r="E104" s="8"/>
      <c r="F104" s="8"/>
      <c r="G104" s="8"/>
    </row>
    <row r="105" ht="15.75" customHeight="1">
      <c r="A105" s="8"/>
      <c r="B105" s="8"/>
      <c r="C105" s="8"/>
      <c r="D105" s="8"/>
      <c r="E105" s="8"/>
      <c r="F105" s="8"/>
      <c r="G105" s="8"/>
    </row>
    <row r="106" ht="15.75" customHeight="1">
      <c r="A106" s="8"/>
      <c r="B106" s="8"/>
      <c r="C106" s="8"/>
      <c r="D106" s="8"/>
      <c r="E106" s="8"/>
      <c r="F106" s="8"/>
      <c r="G106" s="8"/>
    </row>
    <row r="107" ht="15.75" customHeight="1">
      <c r="A107" s="8"/>
      <c r="B107" s="8"/>
      <c r="C107" s="8"/>
      <c r="D107" s="8"/>
      <c r="E107" s="8"/>
      <c r="F107" s="8"/>
      <c r="G107" s="8"/>
    </row>
    <row r="108" ht="15.75" customHeight="1">
      <c r="A108" s="8"/>
      <c r="B108" s="8"/>
      <c r="C108" s="8"/>
      <c r="D108" s="8"/>
      <c r="E108" s="8"/>
      <c r="F108" s="8"/>
      <c r="G108" s="8"/>
    </row>
    <row r="109" ht="15.75" customHeight="1">
      <c r="A109" s="8"/>
      <c r="B109" s="8"/>
      <c r="C109" s="8"/>
      <c r="D109" s="8"/>
      <c r="E109" s="8"/>
      <c r="F109" s="8"/>
      <c r="G109" s="8"/>
    </row>
    <row r="110" ht="15.75" customHeight="1">
      <c r="A110" s="8"/>
      <c r="B110" s="8"/>
      <c r="C110" s="8"/>
      <c r="D110" s="8"/>
      <c r="E110" s="8"/>
      <c r="F110" s="8"/>
      <c r="G110" s="8"/>
    </row>
    <row r="111" ht="15.75" customHeight="1">
      <c r="A111" s="8"/>
      <c r="B111" s="8"/>
      <c r="C111" s="8"/>
      <c r="D111" s="8"/>
      <c r="E111" s="8"/>
      <c r="F111" s="8"/>
      <c r="G111" s="8"/>
    </row>
    <row r="112" ht="15.75" customHeight="1">
      <c r="A112" s="8"/>
      <c r="B112" s="8"/>
      <c r="C112" s="8"/>
      <c r="D112" s="8"/>
      <c r="E112" s="8"/>
      <c r="F112" s="8"/>
      <c r="G112" s="8"/>
    </row>
    <row r="113" ht="15.75" customHeight="1">
      <c r="A113" s="8"/>
      <c r="B113" s="8"/>
      <c r="C113" s="8"/>
      <c r="D113" s="8"/>
      <c r="E113" s="8"/>
      <c r="F113" s="8"/>
      <c r="G113" s="8"/>
    </row>
    <row r="114" ht="15.75" customHeight="1">
      <c r="A114" s="8"/>
      <c r="B114" s="8"/>
      <c r="C114" s="8"/>
      <c r="D114" s="8"/>
      <c r="E114" s="8"/>
      <c r="F114" s="8"/>
      <c r="G114" s="8"/>
    </row>
    <row r="115" ht="15.75" customHeight="1">
      <c r="A115" s="8"/>
      <c r="B115" s="8"/>
      <c r="C115" s="8"/>
      <c r="D115" s="8"/>
      <c r="E115" s="8"/>
      <c r="F115" s="8"/>
      <c r="G115" s="8"/>
    </row>
    <row r="116" ht="15.75" customHeight="1">
      <c r="A116" s="8"/>
      <c r="B116" s="8"/>
      <c r="C116" s="8"/>
      <c r="D116" s="8"/>
      <c r="E116" s="8"/>
      <c r="F116" s="8"/>
      <c r="G116" s="8"/>
    </row>
    <row r="117" ht="15.75" customHeight="1">
      <c r="A117" s="8"/>
      <c r="B117" s="8"/>
      <c r="C117" s="8"/>
      <c r="D117" s="8"/>
      <c r="E117" s="8"/>
      <c r="F117" s="8"/>
      <c r="G117" s="8"/>
    </row>
    <row r="118" ht="15.75" customHeight="1">
      <c r="A118" s="8"/>
      <c r="B118" s="8"/>
      <c r="C118" s="8"/>
      <c r="D118" s="8"/>
      <c r="E118" s="8"/>
      <c r="F118" s="8"/>
      <c r="G118" s="8"/>
    </row>
    <row r="119" ht="15.75" customHeight="1">
      <c r="A119" s="8"/>
      <c r="B119" s="8"/>
      <c r="C119" s="8"/>
      <c r="D119" s="8"/>
      <c r="E119" s="8"/>
      <c r="F119" s="8"/>
      <c r="G119" s="8"/>
    </row>
    <row r="120" ht="15.75" customHeight="1">
      <c r="A120" s="8"/>
      <c r="B120" s="8"/>
      <c r="C120" s="8"/>
      <c r="D120" s="8"/>
      <c r="E120" s="8"/>
      <c r="F120" s="8"/>
      <c r="G120" s="8"/>
    </row>
    <row r="121" ht="15.75" customHeight="1">
      <c r="A121" s="8"/>
      <c r="B121" s="8"/>
      <c r="C121" s="8"/>
      <c r="D121" s="8"/>
      <c r="E121" s="8"/>
      <c r="F121" s="8"/>
      <c r="G121" s="8"/>
    </row>
    <row r="122" ht="15.75" customHeight="1">
      <c r="A122" s="8"/>
      <c r="B122" s="8"/>
      <c r="C122" s="8"/>
      <c r="D122" s="8"/>
      <c r="E122" s="8"/>
      <c r="F122" s="8"/>
      <c r="G122" s="8"/>
    </row>
    <row r="123" ht="15.75" customHeight="1">
      <c r="A123" s="8"/>
      <c r="B123" s="8"/>
      <c r="C123" s="8"/>
      <c r="D123" s="8"/>
      <c r="E123" s="8"/>
      <c r="F123" s="8"/>
      <c r="G123" s="8"/>
    </row>
    <row r="124" ht="15.75" customHeight="1">
      <c r="A124" s="8"/>
      <c r="B124" s="8"/>
      <c r="C124" s="8"/>
      <c r="D124" s="8"/>
      <c r="E124" s="8"/>
      <c r="F124" s="8"/>
      <c r="G124" s="8"/>
    </row>
    <row r="125" ht="15.75" customHeight="1">
      <c r="A125" s="8"/>
      <c r="B125" s="8"/>
      <c r="C125" s="8"/>
      <c r="D125" s="8"/>
      <c r="E125" s="8"/>
      <c r="F125" s="8"/>
      <c r="G125" s="8"/>
    </row>
    <row r="126" ht="15.75" customHeight="1">
      <c r="A126" s="8"/>
      <c r="B126" s="8"/>
      <c r="C126" s="8"/>
      <c r="D126" s="8"/>
      <c r="E126" s="8"/>
      <c r="F126" s="8"/>
      <c r="G126" s="8"/>
    </row>
    <row r="127" ht="15.75" customHeight="1">
      <c r="A127" s="8"/>
      <c r="B127" s="8"/>
      <c r="C127" s="8"/>
      <c r="D127" s="8"/>
      <c r="E127" s="8"/>
      <c r="F127" s="8"/>
      <c r="G127" s="8"/>
    </row>
    <row r="128" ht="15.75" customHeight="1">
      <c r="A128" s="8"/>
      <c r="B128" s="8"/>
      <c r="C128" s="8"/>
      <c r="D128" s="8"/>
      <c r="E128" s="8"/>
      <c r="F128" s="8"/>
      <c r="G128" s="8"/>
    </row>
    <row r="129" ht="15.75" customHeight="1">
      <c r="A129" s="8"/>
      <c r="B129" s="8"/>
      <c r="C129" s="8"/>
      <c r="D129" s="8"/>
      <c r="E129" s="8"/>
      <c r="F129" s="8"/>
      <c r="G129" s="8"/>
    </row>
    <row r="130" ht="15.75" customHeight="1">
      <c r="A130" s="8"/>
      <c r="B130" s="8"/>
      <c r="C130" s="8"/>
      <c r="D130" s="8"/>
      <c r="E130" s="8"/>
      <c r="F130" s="8"/>
      <c r="G130" s="8"/>
    </row>
    <row r="131" ht="15.75" customHeight="1">
      <c r="A131" s="8"/>
      <c r="B131" s="8"/>
      <c r="C131" s="8"/>
      <c r="D131" s="8"/>
      <c r="E131" s="8"/>
      <c r="F131" s="8"/>
      <c r="G131" s="8"/>
    </row>
    <row r="132" ht="15.75" customHeight="1">
      <c r="A132" s="8"/>
      <c r="B132" s="8"/>
      <c r="C132" s="8"/>
      <c r="D132" s="8"/>
      <c r="E132" s="8"/>
      <c r="F132" s="8"/>
      <c r="G132" s="8"/>
    </row>
    <row r="133" ht="15.75" customHeight="1">
      <c r="A133" s="8"/>
      <c r="B133" s="8"/>
      <c r="C133" s="8"/>
      <c r="D133" s="8"/>
      <c r="E133" s="8"/>
      <c r="F133" s="8"/>
      <c r="G133" s="8"/>
    </row>
    <row r="134" ht="15.75" customHeight="1">
      <c r="A134" s="8"/>
      <c r="B134" s="8"/>
      <c r="C134" s="8"/>
      <c r="D134" s="8"/>
      <c r="E134" s="8"/>
      <c r="F134" s="8"/>
      <c r="G134" s="8"/>
    </row>
    <row r="135" ht="15.75" customHeight="1">
      <c r="A135" s="8"/>
      <c r="B135" s="8"/>
      <c r="C135" s="8"/>
      <c r="D135" s="8"/>
      <c r="E135" s="8"/>
      <c r="F135" s="8"/>
      <c r="G135" s="8"/>
    </row>
    <row r="136" ht="15.75" customHeight="1">
      <c r="A136" s="8"/>
      <c r="B136" s="8"/>
      <c r="C136" s="8"/>
      <c r="D136" s="8"/>
      <c r="E136" s="8"/>
      <c r="F136" s="8"/>
      <c r="G136" s="8"/>
    </row>
    <row r="137" ht="15.75" customHeight="1">
      <c r="A137" s="8"/>
      <c r="B137" s="8"/>
      <c r="C137" s="8"/>
      <c r="D137" s="8"/>
      <c r="E137" s="8"/>
      <c r="F137" s="8"/>
      <c r="G137" s="8"/>
    </row>
    <row r="138" ht="15.75" customHeight="1">
      <c r="A138" s="8"/>
      <c r="B138" s="8"/>
      <c r="C138" s="8"/>
      <c r="D138" s="8"/>
      <c r="E138" s="8"/>
      <c r="F138" s="8"/>
      <c r="G138" s="8"/>
    </row>
    <row r="139" ht="15.75" customHeight="1">
      <c r="A139" s="8"/>
      <c r="B139" s="8"/>
      <c r="C139" s="8"/>
      <c r="D139" s="8"/>
      <c r="E139" s="8"/>
      <c r="F139" s="8"/>
      <c r="G139" s="8"/>
    </row>
    <row r="140" ht="15.75" customHeight="1">
      <c r="A140" s="8"/>
      <c r="B140" s="8"/>
      <c r="C140" s="8"/>
      <c r="D140" s="8"/>
      <c r="E140" s="8"/>
      <c r="F140" s="8"/>
      <c r="G140" s="8"/>
    </row>
    <row r="141" ht="15.75" customHeight="1">
      <c r="A141" s="8"/>
      <c r="B141" s="8"/>
      <c r="C141" s="8"/>
      <c r="D141" s="8"/>
      <c r="E141" s="8"/>
      <c r="F141" s="8"/>
      <c r="G141" s="8"/>
    </row>
    <row r="142" ht="15.75" customHeight="1">
      <c r="A142" s="8"/>
      <c r="B142" s="8"/>
      <c r="C142" s="8"/>
      <c r="D142" s="8"/>
      <c r="E142" s="8"/>
      <c r="F142" s="8"/>
      <c r="G142" s="8"/>
    </row>
    <row r="143" ht="15.75" customHeight="1">
      <c r="A143" s="8"/>
      <c r="B143" s="8"/>
      <c r="C143" s="8"/>
      <c r="D143" s="8"/>
      <c r="E143" s="8"/>
      <c r="F143" s="8"/>
      <c r="G143" s="8"/>
    </row>
    <row r="144" ht="15.75" customHeight="1">
      <c r="A144" s="8"/>
      <c r="B144" s="8"/>
      <c r="C144" s="8"/>
      <c r="D144" s="8"/>
      <c r="E144" s="8"/>
      <c r="F144" s="8"/>
      <c r="G144" s="8"/>
    </row>
    <row r="145" ht="15.75" customHeight="1">
      <c r="A145" s="8"/>
      <c r="B145" s="8"/>
      <c r="C145" s="8"/>
      <c r="D145" s="8"/>
      <c r="E145" s="8"/>
      <c r="F145" s="8"/>
      <c r="G145" s="8"/>
    </row>
    <row r="146" ht="15.75" customHeight="1">
      <c r="A146" s="8"/>
      <c r="B146" s="8"/>
      <c r="C146" s="8"/>
      <c r="D146" s="8"/>
      <c r="E146" s="8"/>
      <c r="F146" s="8"/>
      <c r="G146" s="8"/>
    </row>
    <row r="147" ht="15.75" customHeight="1">
      <c r="A147" s="8"/>
      <c r="B147" s="8"/>
      <c r="C147" s="8"/>
      <c r="D147" s="8"/>
      <c r="E147" s="8"/>
      <c r="F147" s="8"/>
      <c r="G147" s="8"/>
    </row>
    <row r="148" ht="15.75" customHeight="1">
      <c r="A148" s="8"/>
      <c r="B148" s="8"/>
      <c r="C148" s="8"/>
      <c r="D148" s="8"/>
      <c r="E148" s="8"/>
      <c r="F148" s="8"/>
      <c r="G148" s="8"/>
    </row>
    <row r="149" ht="15.75" customHeight="1">
      <c r="A149" s="8"/>
      <c r="B149" s="8"/>
      <c r="C149" s="8"/>
      <c r="D149" s="8"/>
      <c r="E149" s="8"/>
      <c r="F149" s="8"/>
      <c r="G149" s="8"/>
    </row>
    <row r="150" ht="15.75" customHeight="1">
      <c r="A150" s="8"/>
      <c r="B150" s="8"/>
      <c r="C150" s="8"/>
      <c r="D150" s="8"/>
      <c r="E150" s="8"/>
      <c r="F150" s="8"/>
      <c r="G150" s="8"/>
    </row>
    <row r="151" ht="15.75" customHeight="1">
      <c r="A151" s="8"/>
      <c r="B151" s="8"/>
      <c r="C151" s="8"/>
      <c r="D151" s="8"/>
      <c r="E151" s="8"/>
      <c r="F151" s="8"/>
      <c r="G151" s="8"/>
    </row>
    <row r="152" ht="15.75" customHeight="1">
      <c r="A152" s="8"/>
      <c r="B152" s="8"/>
      <c r="C152" s="8"/>
      <c r="D152" s="8"/>
      <c r="E152" s="8"/>
      <c r="F152" s="8"/>
      <c r="G152" s="8"/>
    </row>
    <row r="153" ht="15.75" customHeight="1">
      <c r="A153" s="8"/>
      <c r="B153" s="8"/>
      <c r="C153" s="8"/>
      <c r="D153" s="8"/>
      <c r="E153" s="8"/>
      <c r="F153" s="8"/>
      <c r="G153" s="8"/>
    </row>
    <row r="154" ht="15.75" customHeight="1">
      <c r="A154" s="8"/>
      <c r="B154" s="8"/>
      <c r="C154" s="8"/>
      <c r="D154" s="8"/>
      <c r="E154" s="8"/>
      <c r="F154" s="8"/>
      <c r="G154" s="8"/>
    </row>
    <row r="155" ht="15.75" customHeight="1">
      <c r="A155" s="8"/>
      <c r="B155" s="8"/>
      <c r="C155" s="8"/>
      <c r="D155" s="8"/>
      <c r="E155" s="8"/>
      <c r="F155" s="8"/>
      <c r="G155" s="8"/>
    </row>
    <row r="156" ht="15.75" customHeight="1">
      <c r="A156" s="8"/>
      <c r="B156" s="8"/>
      <c r="C156" s="8"/>
      <c r="D156" s="8"/>
      <c r="E156" s="8"/>
      <c r="F156" s="8"/>
      <c r="G156" s="8"/>
    </row>
    <row r="157" ht="15.75" customHeight="1">
      <c r="A157" s="8"/>
      <c r="B157" s="8"/>
      <c r="C157" s="8"/>
      <c r="D157" s="8"/>
      <c r="E157" s="8"/>
      <c r="F157" s="8"/>
      <c r="G157" s="8"/>
    </row>
    <row r="158" ht="15.75" customHeight="1">
      <c r="A158" s="8"/>
      <c r="B158" s="8"/>
      <c r="C158" s="8"/>
      <c r="D158" s="8"/>
      <c r="E158" s="8"/>
      <c r="F158" s="8"/>
      <c r="G158" s="8"/>
    </row>
    <row r="159" ht="15.75" customHeight="1">
      <c r="A159" s="8"/>
      <c r="B159" s="8"/>
      <c r="C159" s="8"/>
      <c r="D159" s="8"/>
      <c r="E159" s="8"/>
      <c r="F159" s="8"/>
      <c r="G159" s="8"/>
    </row>
    <row r="160" ht="15.75" customHeight="1">
      <c r="A160" s="8"/>
      <c r="B160" s="8"/>
      <c r="C160" s="8"/>
      <c r="D160" s="8"/>
      <c r="E160" s="8"/>
      <c r="F160" s="8"/>
      <c r="G160" s="8"/>
    </row>
    <row r="161" ht="15.75" customHeight="1">
      <c r="A161" s="8"/>
      <c r="B161" s="8"/>
      <c r="C161" s="8"/>
      <c r="D161" s="8"/>
      <c r="E161" s="8"/>
      <c r="F161" s="8"/>
      <c r="G161" s="8"/>
    </row>
    <row r="162" ht="15.75" customHeight="1">
      <c r="A162" s="8"/>
      <c r="B162" s="8"/>
      <c r="C162" s="8"/>
      <c r="D162" s="8"/>
      <c r="E162" s="8"/>
      <c r="F162" s="8"/>
      <c r="G162" s="8"/>
    </row>
    <row r="163" ht="15.75" customHeight="1">
      <c r="A163" s="8"/>
      <c r="B163" s="8"/>
      <c r="C163" s="8"/>
      <c r="D163" s="8"/>
      <c r="E163" s="8"/>
      <c r="F163" s="8"/>
      <c r="G163" s="8"/>
    </row>
    <row r="164" ht="15.75" customHeight="1">
      <c r="A164" s="8"/>
      <c r="B164" s="8"/>
      <c r="C164" s="8"/>
      <c r="D164" s="8"/>
      <c r="E164" s="8"/>
      <c r="F164" s="8"/>
      <c r="G164" s="8"/>
    </row>
    <row r="165" ht="15.75" customHeight="1">
      <c r="A165" s="8"/>
      <c r="B165" s="8"/>
      <c r="C165" s="8"/>
      <c r="D165" s="8"/>
      <c r="E165" s="8"/>
      <c r="F165" s="8"/>
      <c r="G165" s="8"/>
    </row>
    <row r="166" ht="15.75" customHeight="1">
      <c r="A166" s="8"/>
      <c r="B166" s="8"/>
      <c r="C166" s="8"/>
      <c r="D166" s="8"/>
      <c r="E166" s="8"/>
      <c r="F166" s="8"/>
      <c r="G166" s="8"/>
    </row>
    <row r="167" ht="15.75" customHeight="1">
      <c r="A167" s="8"/>
      <c r="B167" s="8"/>
      <c r="C167" s="8"/>
      <c r="D167" s="8"/>
      <c r="E167" s="8"/>
      <c r="F167" s="8"/>
      <c r="G167" s="8"/>
    </row>
    <row r="168" ht="15.75" customHeight="1">
      <c r="A168" s="8"/>
      <c r="B168" s="8"/>
      <c r="C168" s="8"/>
      <c r="D168" s="8"/>
      <c r="E168" s="8"/>
      <c r="F168" s="8"/>
      <c r="G168" s="8"/>
    </row>
    <row r="169" ht="15.75" customHeight="1">
      <c r="A169" s="8"/>
      <c r="B169" s="8"/>
      <c r="C169" s="8"/>
      <c r="D169" s="8"/>
      <c r="E169" s="8"/>
      <c r="F169" s="8"/>
      <c r="G169" s="8"/>
    </row>
    <row r="170" ht="15.75" customHeight="1">
      <c r="A170" s="8"/>
      <c r="B170" s="8"/>
      <c r="C170" s="8"/>
      <c r="D170" s="8"/>
      <c r="E170" s="8"/>
      <c r="F170" s="8"/>
      <c r="G170" s="8"/>
    </row>
    <row r="171" ht="15.75" customHeight="1">
      <c r="A171" s="8"/>
      <c r="B171" s="8"/>
      <c r="C171" s="8"/>
      <c r="D171" s="8"/>
      <c r="E171" s="8"/>
      <c r="F171" s="8"/>
      <c r="G171" s="8"/>
    </row>
    <row r="172" ht="15.75" customHeight="1">
      <c r="A172" s="8"/>
      <c r="B172" s="8"/>
      <c r="C172" s="8"/>
      <c r="D172" s="8"/>
      <c r="E172" s="8"/>
      <c r="F172" s="8"/>
      <c r="G172" s="8"/>
    </row>
    <row r="173" ht="15.75" customHeight="1">
      <c r="A173" s="8"/>
      <c r="B173" s="8"/>
      <c r="C173" s="8"/>
      <c r="D173" s="8"/>
      <c r="E173" s="8"/>
      <c r="F173" s="8"/>
      <c r="G173" s="8"/>
    </row>
    <row r="174" ht="15.75" customHeight="1">
      <c r="A174" s="8"/>
      <c r="B174" s="8"/>
      <c r="C174" s="8"/>
      <c r="D174" s="8"/>
      <c r="E174" s="8"/>
      <c r="F174" s="8"/>
      <c r="G174" s="8"/>
    </row>
    <row r="175" ht="15.75" customHeight="1">
      <c r="A175" s="8"/>
      <c r="B175" s="8"/>
      <c r="C175" s="8"/>
      <c r="D175" s="8"/>
      <c r="E175" s="8"/>
      <c r="F175" s="8"/>
      <c r="G175" s="8"/>
    </row>
    <row r="176" ht="15.75" customHeight="1">
      <c r="A176" s="8"/>
      <c r="B176" s="8"/>
      <c r="C176" s="8"/>
      <c r="D176" s="8"/>
      <c r="E176" s="8"/>
      <c r="F176" s="8"/>
      <c r="G176" s="8"/>
    </row>
    <row r="177" ht="15.75" customHeight="1">
      <c r="A177" s="8"/>
      <c r="B177" s="8"/>
      <c r="C177" s="8"/>
      <c r="D177" s="8"/>
      <c r="E177" s="8"/>
      <c r="F177" s="8"/>
      <c r="G177" s="8"/>
    </row>
    <row r="178" ht="15.75" customHeight="1">
      <c r="A178" s="8"/>
      <c r="B178" s="8"/>
      <c r="C178" s="8"/>
      <c r="D178" s="8"/>
      <c r="E178" s="8"/>
      <c r="F178" s="8"/>
      <c r="G178" s="8"/>
    </row>
    <row r="179" ht="15.75" customHeight="1">
      <c r="A179" s="8"/>
      <c r="B179" s="8"/>
      <c r="C179" s="8"/>
      <c r="D179" s="8"/>
      <c r="E179" s="8"/>
      <c r="F179" s="8"/>
      <c r="G179" s="8"/>
    </row>
    <row r="180" ht="15.75" customHeight="1">
      <c r="A180" s="8"/>
      <c r="B180" s="8"/>
      <c r="C180" s="8"/>
      <c r="D180" s="8"/>
      <c r="E180" s="8"/>
      <c r="F180" s="8"/>
      <c r="G180" s="8"/>
    </row>
    <row r="181" ht="15.75" customHeight="1">
      <c r="A181" s="8"/>
      <c r="B181" s="8"/>
      <c r="C181" s="8"/>
      <c r="D181" s="8"/>
      <c r="E181" s="8"/>
      <c r="F181" s="8"/>
      <c r="G181" s="8"/>
    </row>
    <row r="182" ht="15.75" customHeight="1">
      <c r="A182" s="8"/>
      <c r="B182" s="8"/>
      <c r="C182" s="8"/>
      <c r="D182" s="8"/>
      <c r="E182" s="8"/>
      <c r="F182" s="8"/>
      <c r="G182" s="8"/>
    </row>
    <row r="183" ht="15.75" customHeight="1">
      <c r="A183" s="8"/>
      <c r="B183" s="8"/>
      <c r="C183" s="8"/>
      <c r="D183" s="8"/>
      <c r="E183" s="8"/>
      <c r="F183" s="8"/>
      <c r="G183" s="8"/>
    </row>
    <row r="184" ht="15.75" customHeight="1">
      <c r="A184" s="8"/>
      <c r="B184" s="8"/>
      <c r="C184" s="8"/>
      <c r="D184" s="8"/>
      <c r="E184" s="8"/>
      <c r="F184" s="8"/>
      <c r="G184" s="8"/>
    </row>
    <row r="185" ht="15.75" customHeight="1">
      <c r="A185" s="8"/>
      <c r="B185" s="8"/>
      <c r="C185" s="8"/>
      <c r="D185" s="8"/>
      <c r="E185" s="8"/>
      <c r="F185" s="8"/>
      <c r="G185" s="8"/>
    </row>
    <row r="186" ht="15.75" customHeight="1">
      <c r="A186" s="8"/>
      <c r="B186" s="8"/>
      <c r="C186" s="8"/>
      <c r="D186" s="8"/>
      <c r="E186" s="8"/>
      <c r="F186" s="8"/>
      <c r="G186" s="8"/>
    </row>
    <row r="187" ht="15.75" customHeight="1">
      <c r="A187" s="8"/>
      <c r="B187" s="8"/>
      <c r="C187" s="8"/>
      <c r="D187" s="8"/>
      <c r="E187" s="8"/>
      <c r="F187" s="8"/>
      <c r="G187" s="8"/>
    </row>
    <row r="188" ht="15.75" customHeight="1">
      <c r="A188" s="8"/>
      <c r="B188" s="8"/>
      <c r="C188" s="8"/>
      <c r="D188" s="8"/>
      <c r="E188" s="8"/>
      <c r="F188" s="8"/>
      <c r="G188" s="8"/>
    </row>
    <row r="189" ht="15.75" customHeight="1">
      <c r="A189" s="8"/>
      <c r="B189" s="8"/>
      <c r="C189" s="8"/>
      <c r="D189" s="8"/>
      <c r="E189" s="8"/>
      <c r="F189" s="8"/>
      <c r="G189" s="8"/>
    </row>
    <row r="190" ht="15.75" customHeight="1">
      <c r="A190" s="8"/>
      <c r="B190" s="8"/>
      <c r="C190" s="8"/>
      <c r="D190" s="8"/>
      <c r="E190" s="8"/>
      <c r="F190" s="8"/>
      <c r="G190" s="8"/>
    </row>
    <row r="191" ht="15.75" customHeight="1">
      <c r="A191" s="8"/>
      <c r="B191" s="8"/>
      <c r="C191" s="8"/>
      <c r="D191" s="8"/>
      <c r="E191" s="8"/>
      <c r="F191" s="8"/>
      <c r="G191" s="8"/>
    </row>
    <row r="192" ht="15.75" customHeight="1">
      <c r="A192" s="8"/>
      <c r="B192" s="8"/>
      <c r="C192" s="8"/>
      <c r="D192" s="8"/>
      <c r="E192" s="8"/>
      <c r="F192" s="8"/>
      <c r="G192" s="8"/>
    </row>
    <row r="193" ht="15.75" customHeight="1">
      <c r="A193" s="8"/>
      <c r="B193" s="8"/>
      <c r="C193" s="8"/>
      <c r="D193" s="8"/>
      <c r="E193" s="8"/>
      <c r="F193" s="8"/>
      <c r="G193" s="8"/>
    </row>
    <row r="194" ht="15.75" customHeight="1">
      <c r="A194" s="8"/>
      <c r="B194" s="8"/>
      <c r="C194" s="8"/>
      <c r="D194" s="8"/>
      <c r="E194" s="8"/>
      <c r="F194" s="8"/>
      <c r="G194" s="8"/>
    </row>
    <row r="195" ht="15.75" customHeight="1">
      <c r="A195" s="8"/>
      <c r="B195" s="8"/>
      <c r="C195" s="8"/>
      <c r="D195" s="8"/>
      <c r="E195" s="8"/>
      <c r="F195" s="8"/>
      <c r="G195" s="8"/>
    </row>
    <row r="196" ht="15.75" customHeight="1">
      <c r="A196" s="8"/>
      <c r="B196" s="8"/>
      <c r="C196" s="8"/>
      <c r="D196" s="8"/>
      <c r="E196" s="8"/>
      <c r="F196" s="8"/>
      <c r="G196" s="8"/>
    </row>
    <row r="197" ht="15.75" customHeight="1">
      <c r="A197" s="8"/>
      <c r="B197" s="8"/>
      <c r="C197" s="8"/>
      <c r="D197" s="8"/>
      <c r="E197" s="8"/>
      <c r="F197" s="8"/>
      <c r="G197" s="8"/>
    </row>
    <row r="198" ht="15.75" customHeight="1">
      <c r="A198" s="8"/>
      <c r="B198" s="8"/>
      <c r="C198" s="8"/>
      <c r="D198" s="8"/>
      <c r="E198" s="8"/>
      <c r="F198" s="8"/>
      <c r="G198" s="8"/>
    </row>
    <row r="199" ht="15.75" customHeight="1">
      <c r="A199" s="8"/>
      <c r="B199" s="8"/>
      <c r="C199" s="8"/>
      <c r="D199" s="8"/>
      <c r="E199" s="8"/>
      <c r="F199" s="8"/>
      <c r="G199" s="8"/>
    </row>
    <row r="200" ht="15.75" customHeight="1">
      <c r="A200" s="8"/>
      <c r="B200" s="8"/>
      <c r="C200" s="8"/>
      <c r="D200" s="8"/>
      <c r="E200" s="8"/>
      <c r="F200" s="8"/>
      <c r="G200" s="8"/>
    </row>
    <row r="201" ht="15.75" customHeight="1">
      <c r="A201" s="8"/>
      <c r="B201" s="8"/>
      <c r="C201" s="8"/>
      <c r="D201" s="8"/>
      <c r="E201" s="8"/>
      <c r="F201" s="8"/>
      <c r="G201" s="8"/>
    </row>
    <row r="202" ht="15.75" customHeight="1">
      <c r="A202" s="8"/>
      <c r="B202" s="8"/>
      <c r="C202" s="8"/>
      <c r="D202" s="8"/>
      <c r="E202" s="8"/>
      <c r="F202" s="8"/>
      <c r="G202" s="8"/>
    </row>
    <row r="203" ht="15.75" customHeight="1">
      <c r="A203" s="8"/>
      <c r="B203" s="8"/>
      <c r="C203" s="8"/>
      <c r="D203" s="8"/>
      <c r="E203" s="8"/>
      <c r="F203" s="8"/>
      <c r="G203" s="8"/>
    </row>
    <row r="204" ht="15.75" customHeight="1">
      <c r="A204" s="8"/>
      <c r="B204" s="8"/>
      <c r="C204" s="8"/>
      <c r="D204" s="8"/>
      <c r="E204" s="8"/>
      <c r="F204" s="8"/>
      <c r="G204" s="8"/>
    </row>
    <row r="205" ht="15.75" customHeight="1">
      <c r="A205" s="8"/>
      <c r="B205" s="8"/>
      <c r="C205" s="8"/>
      <c r="D205" s="8"/>
      <c r="E205" s="8"/>
      <c r="F205" s="8"/>
      <c r="G205" s="8"/>
    </row>
    <row r="206" ht="15.75" customHeight="1">
      <c r="A206" s="8"/>
      <c r="B206" s="8"/>
      <c r="C206" s="8"/>
      <c r="D206" s="8"/>
      <c r="E206" s="8"/>
      <c r="F206" s="8"/>
      <c r="G206" s="8"/>
    </row>
    <row r="207" ht="15.75" customHeight="1">
      <c r="A207" s="8"/>
      <c r="B207" s="8"/>
      <c r="C207" s="8"/>
      <c r="D207" s="8"/>
      <c r="E207" s="8"/>
      <c r="F207" s="8"/>
      <c r="G207" s="8"/>
    </row>
    <row r="208" ht="15.75" customHeight="1">
      <c r="A208" s="8"/>
      <c r="B208" s="8"/>
      <c r="C208" s="8"/>
      <c r="D208" s="8"/>
      <c r="E208" s="8"/>
      <c r="F208" s="8"/>
      <c r="G208" s="8"/>
    </row>
    <row r="209" ht="15.75" customHeight="1">
      <c r="A209" s="8"/>
      <c r="B209" s="8"/>
      <c r="C209" s="8"/>
      <c r="D209" s="8"/>
      <c r="E209" s="8"/>
      <c r="F209" s="8"/>
      <c r="G209" s="8"/>
    </row>
    <row r="210" ht="15.75" customHeight="1">
      <c r="A210" s="8"/>
      <c r="B210" s="8"/>
      <c r="C210" s="8"/>
      <c r="D210" s="8"/>
      <c r="E210" s="8"/>
      <c r="F210" s="8"/>
      <c r="G210" s="8"/>
    </row>
    <row r="211" ht="15.75" customHeight="1">
      <c r="A211" s="8"/>
      <c r="B211" s="8"/>
      <c r="C211" s="8"/>
      <c r="D211" s="8"/>
      <c r="E211" s="8"/>
      <c r="F211" s="8"/>
      <c r="G211" s="8"/>
    </row>
    <row r="212" ht="15.75" customHeight="1">
      <c r="A212" s="8"/>
      <c r="B212" s="8"/>
      <c r="C212" s="8"/>
      <c r="D212" s="8"/>
      <c r="E212" s="8"/>
      <c r="F212" s="8"/>
      <c r="G212" s="8"/>
    </row>
    <row r="213" ht="15.75" customHeight="1">
      <c r="A213" s="8"/>
      <c r="B213" s="8"/>
      <c r="C213" s="8"/>
      <c r="D213" s="8"/>
      <c r="E213" s="8"/>
      <c r="F213" s="8"/>
      <c r="G213" s="8"/>
    </row>
    <row r="214" ht="15.75" customHeight="1">
      <c r="A214" s="8"/>
      <c r="B214" s="8"/>
      <c r="C214" s="8"/>
      <c r="D214" s="8"/>
      <c r="E214" s="8"/>
      <c r="F214" s="8"/>
      <c r="G214" s="8"/>
    </row>
    <row r="215" ht="15.75" customHeight="1">
      <c r="A215" s="8"/>
      <c r="B215" s="8"/>
      <c r="C215" s="8"/>
      <c r="D215" s="8"/>
      <c r="E215" s="8"/>
      <c r="F215" s="8"/>
      <c r="G215" s="8"/>
    </row>
    <row r="216" ht="15.75" customHeight="1">
      <c r="A216" s="8"/>
      <c r="B216" s="8"/>
      <c r="C216" s="8"/>
      <c r="D216" s="8"/>
      <c r="E216" s="8"/>
      <c r="F216" s="8"/>
      <c r="G216" s="8"/>
    </row>
    <row r="217" ht="15.75" customHeight="1">
      <c r="A217" s="8"/>
      <c r="B217" s="8"/>
      <c r="C217" s="8"/>
      <c r="D217" s="8"/>
      <c r="E217" s="8"/>
      <c r="F217" s="8"/>
      <c r="G217" s="8"/>
    </row>
    <row r="218" ht="15.75" customHeight="1">
      <c r="A218" s="8"/>
      <c r="B218" s="8"/>
      <c r="C218" s="8"/>
      <c r="D218" s="8"/>
      <c r="E218" s="8"/>
      <c r="F218" s="8"/>
      <c r="G218" s="8"/>
    </row>
    <row r="219" ht="15.75" customHeight="1">
      <c r="A219" s="8"/>
      <c r="B219" s="8"/>
      <c r="C219" s="8"/>
      <c r="D219" s="8"/>
      <c r="E219" s="8"/>
      <c r="F219" s="8"/>
      <c r="G219" s="8"/>
    </row>
    <row r="220" ht="15.75" customHeight="1">
      <c r="A220" s="8"/>
      <c r="B220" s="8"/>
      <c r="C220" s="8"/>
      <c r="D220" s="8"/>
      <c r="E220" s="8"/>
      <c r="F220" s="8"/>
      <c r="G220" s="8"/>
    </row>
    <row r="221" ht="15.75" customHeight="1">
      <c r="A221" s="8"/>
      <c r="B221" s="8"/>
      <c r="C221" s="8"/>
      <c r="D221" s="8"/>
      <c r="E221" s="8"/>
      <c r="F221" s="8"/>
      <c r="G221" s="8"/>
    </row>
    <row r="222" ht="15.75" customHeight="1">
      <c r="A222" s="8"/>
      <c r="B222" s="8"/>
      <c r="C222" s="8"/>
      <c r="D222" s="8"/>
      <c r="E222" s="8"/>
      <c r="F222" s="8"/>
      <c r="G222" s="8"/>
    </row>
    <row r="223" ht="15.75" customHeight="1">
      <c r="A223" s="8"/>
      <c r="B223" s="8"/>
      <c r="C223" s="8"/>
      <c r="D223" s="8"/>
      <c r="E223" s="8"/>
      <c r="F223" s="8"/>
      <c r="G223" s="8"/>
    </row>
    <row r="224" ht="15.75" customHeight="1">
      <c r="A224" s="8"/>
      <c r="B224" s="8"/>
      <c r="C224" s="8"/>
      <c r="D224" s="8"/>
      <c r="E224" s="8"/>
      <c r="F224" s="8"/>
      <c r="G224" s="8"/>
    </row>
    <row r="225" ht="15.75" customHeight="1">
      <c r="A225" s="8"/>
      <c r="B225" s="8"/>
      <c r="C225" s="8"/>
      <c r="D225" s="8"/>
      <c r="E225" s="8"/>
      <c r="F225" s="8"/>
      <c r="G225" s="8"/>
    </row>
    <row r="226" ht="15.75" customHeight="1">
      <c r="A226" s="8"/>
      <c r="B226" s="8"/>
      <c r="C226" s="8"/>
      <c r="D226" s="8"/>
      <c r="E226" s="8"/>
      <c r="F226" s="8"/>
      <c r="G226" s="8"/>
    </row>
    <row r="227" ht="15.75" customHeight="1">
      <c r="A227" s="8"/>
      <c r="B227" s="8"/>
      <c r="C227" s="8"/>
      <c r="D227" s="8"/>
      <c r="E227" s="8"/>
      <c r="F227" s="8"/>
      <c r="G227" s="8"/>
    </row>
    <row r="228" ht="15.75" customHeight="1">
      <c r="A228" s="8"/>
      <c r="B228" s="8"/>
      <c r="C228" s="8"/>
      <c r="D228" s="8"/>
      <c r="E228" s="8"/>
      <c r="F228" s="8"/>
      <c r="G228" s="8"/>
    </row>
    <row r="229" ht="15.75" customHeight="1">
      <c r="A229" s="8"/>
      <c r="B229" s="8"/>
      <c r="C229" s="8"/>
      <c r="D229" s="8"/>
      <c r="E229" s="8"/>
      <c r="F229" s="8"/>
      <c r="G229" s="8"/>
    </row>
    <row r="230" ht="15.75" customHeight="1">
      <c r="A230" s="8"/>
      <c r="B230" s="8"/>
      <c r="C230" s="8"/>
      <c r="D230" s="8"/>
      <c r="E230" s="8"/>
      <c r="F230" s="8"/>
      <c r="G230" s="8"/>
    </row>
    <row r="231" ht="15.75" customHeight="1">
      <c r="A231" s="8"/>
      <c r="B231" s="8"/>
      <c r="C231" s="8"/>
      <c r="D231" s="8"/>
      <c r="E231" s="8"/>
      <c r="F231" s="8"/>
      <c r="G231" s="8"/>
    </row>
    <row r="232" ht="15.75" customHeight="1">
      <c r="A232" s="8"/>
      <c r="B232" s="8"/>
      <c r="C232" s="8"/>
      <c r="D232" s="8"/>
      <c r="E232" s="8"/>
      <c r="F232" s="8"/>
      <c r="G232" s="8"/>
    </row>
    <row r="233" ht="15.75" customHeight="1">
      <c r="A233" s="8"/>
      <c r="B233" s="8"/>
      <c r="C233" s="8"/>
      <c r="D233" s="8"/>
      <c r="E233" s="8"/>
      <c r="F233" s="8"/>
      <c r="G233" s="8"/>
    </row>
    <row r="234" ht="15.75" customHeight="1">
      <c r="A234" s="8"/>
      <c r="B234" s="8"/>
      <c r="C234" s="8"/>
      <c r="D234" s="8"/>
      <c r="E234" s="8"/>
      <c r="F234" s="8"/>
      <c r="G234" s="8"/>
    </row>
    <row r="235" ht="15.75" customHeight="1">
      <c r="A235" s="8"/>
      <c r="B235" s="8"/>
      <c r="C235" s="8"/>
      <c r="D235" s="8"/>
      <c r="E235" s="8"/>
      <c r="F235" s="8"/>
      <c r="G235" s="8"/>
    </row>
    <row r="236" ht="15.75" customHeight="1">
      <c r="A236" s="8"/>
      <c r="B236" s="8"/>
      <c r="C236" s="8"/>
      <c r="D236" s="8"/>
      <c r="E236" s="8"/>
      <c r="F236" s="8"/>
      <c r="G236" s="8"/>
    </row>
    <row r="237" ht="15.75" customHeight="1">
      <c r="A237" s="8"/>
      <c r="B237" s="8"/>
      <c r="C237" s="8"/>
      <c r="D237" s="8"/>
      <c r="E237" s="8"/>
      <c r="F237" s="8"/>
      <c r="G237" s="8"/>
    </row>
    <row r="238" ht="15.75" customHeight="1">
      <c r="A238" s="8"/>
      <c r="B238" s="8"/>
      <c r="C238" s="8"/>
      <c r="D238" s="8"/>
      <c r="E238" s="8"/>
      <c r="F238" s="8"/>
      <c r="G238" s="8"/>
    </row>
    <row r="239" ht="15.75" customHeight="1">
      <c r="A239" s="8"/>
      <c r="B239" s="8"/>
      <c r="C239" s="8"/>
      <c r="D239" s="8"/>
      <c r="E239" s="8"/>
      <c r="F239" s="8"/>
      <c r="G239" s="8"/>
    </row>
    <row r="240" ht="15.75" customHeight="1">
      <c r="A240" s="8"/>
      <c r="B240" s="8"/>
      <c r="C240" s="8"/>
      <c r="D240" s="8"/>
      <c r="E240" s="8"/>
      <c r="F240" s="8"/>
      <c r="G240" s="8"/>
    </row>
    <row r="241" ht="15.75" customHeight="1">
      <c r="A241" s="8"/>
      <c r="B241" s="8"/>
      <c r="C241" s="8"/>
      <c r="D241" s="8"/>
      <c r="E241" s="8"/>
      <c r="F241" s="8"/>
      <c r="G241" s="8"/>
    </row>
    <row r="242" ht="15.75" customHeight="1">
      <c r="A242" s="8"/>
      <c r="B242" s="8"/>
      <c r="C242" s="8"/>
      <c r="D242" s="8"/>
      <c r="E242" s="8"/>
      <c r="F242" s="8"/>
      <c r="G242" s="8"/>
    </row>
    <row r="243" ht="15.75" customHeight="1">
      <c r="A243" s="8"/>
      <c r="B243" s="8"/>
      <c r="C243" s="8"/>
      <c r="D243" s="8"/>
      <c r="E243" s="8"/>
      <c r="F243" s="8"/>
      <c r="G243" s="8"/>
    </row>
    <row r="244" ht="15.75" customHeight="1">
      <c r="A244" s="8"/>
      <c r="B244" s="8"/>
      <c r="C244" s="8"/>
      <c r="D244" s="8"/>
      <c r="E244" s="8"/>
      <c r="F244" s="8"/>
      <c r="G244" s="8"/>
    </row>
    <row r="245" ht="15.75" customHeight="1">
      <c r="A245" s="8"/>
      <c r="B245" s="8"/>
      <c r="C245" s="8"/>
      <c r="D245" s="8"/>
      <c r="E245" s="8"/>
      <c r="F245" s="8"/>
      <c r="G245" s="8"/>
    </row>
    <row r="246" ht="15.75" customHeight="1">
      <c r="A246" s="8"/>
      <c r="B246" s="8"/>
      <c r="C246" s="8"/>
      <c r="D246" s="8"/>
      <c r="E246" s="8"/>
      <c r="F246" s="8"/>
      <c r="G246" s="8"/>
    </row>
    <row r="247" ht="15.75" customHeight="1">
      <c r="A247" s="8"/>
      <c r="B247" s="8"/>
      <c r="C247" s="8"/>
      <c r="D247" s="8"/>
      <c r="E247" s="8"/>
      <c r="F247" s="8"/>
      <c r="G247" s="8"/>
    </row>
    <row r="248" ht="15.75" customHeight="1">
      <c r="A248" s="8"/>
      <c r="B248" s="8"/>
      <c r="C248" s="8"/>
      <c r="D248" s="8"/>
      <c r="E248" s="8"/>
      <c r="F248" s="8"/>
      <c r="G248" s="8"/>
    </row>
    <row r="249" ht="15.75" customHeight="1">
      <c r="A249" s="8"/>
      <c r="B249" s="8"/>
      <c r="C249" s="8"/>
      <c r="D249" s="8"/>
      <c r="E249" s="8"/>
      <c r="F249" s="8"/>
      <c r="G249" s="8"/>
    </row>
    <row r="250" ht="15.75" customHeight="1">
      <c r="A250" s="8"/>
      <c r="B250" s="8"/>
      <c r="C250" s="8"/>
      <c r="D250" s="8"/>
      <c r="E250" s="8"/>
      <c r="F250" s="8"/>
      <c r="G250" s="8"/>
    </row>
    <row r="251" ht="15.75" customHeight="1">
      <c r="A251" s="8"/>
      <c r="B251" s="8"/>
      <c r="C251" s="8"/>
      <c r="D251" s="8"/>
      <c r="E251" s="8"/>
      <c r="F251" s="8"/>
      <c r="G251" s="8"/>
    </row>
    <row r="252" ht="15.75" customHeight="1">
      <c r="A252" s="8"/>
      <c r="B252" s="8"/>
      <c r="C252" s="8"/>
      <c r="D252" s="8"/>
      <c r="E252" s="8"/>
      <c r="F252" s="8"/>
      <c r="G252" s="8"/>
    </row>
    <row r="253" ht="15.75" customHeight="1">
      <c r="A253" s="8"/>
      <c r="B253" s="8"/>
      <c r="C253" s="8"/>
      <c r="D253" s="8"/>
      <c r="E253" s="8"/>
      <c r="F253" s="8"/>
      <c r="G253" s="8"/>
    </row>
    <row r="254" ht="15.75" customHeight="1">
      <c r="A254" s="8"/>
      <c r="B254" s="8"/>
      <c r="C254" s="8"/>
      <c r="D254" s="8"/>
      <c r="E254" s="8"/>
      <c r="F254" s="8"/>
      <c r="G254" s="8"/>
    </row>
    <row r="255" ht="15.75" customHeight="1">
      <c r="A255" s="8"/>
      <c r="B255" s="8"/>
      <c r="C255" s="8"/>
      <c r="D255" s="8"/>
      <c r="E255" s="8"/>
      <c r="F255" s="8"/>
      <c r="G255" s="8"/>
    </row>
    <row r="256" ht="15.75" customHeight="1">
      <c r="A256" s="8"/>
      <c r="B256" s="8"/>
      <c r="C256" s="8"/>
      <c r="D256" s="8"/>
      <c r="E256" s="8"/>
      <c r="F256" s="8"/>
      <c r="G256" s="8"/>
    </row>
    <row r="257" ht="15.75" customHeight="1">
      <c r="A257" s="8"/>
      <c r="B257" s="8"/>
      <c r="C257" s="8"/>
      <c r="D257" s="8"/>
      <c r="E257" s="8"/>
      <c r="F257" s="8"/>
      <c r="G257" s="8"/>
    </row>
    <row r="258" ht="15.75" customHeight="1">
      <c r="A258" s="8"/>
      <c r="B258" s="8"/>
      <c r="C258" s="8"/>
      <c r="D258" s="8"/>
      <c r="E258" s="8"/>
      <c r="F258" s="8"/>
      <c r="G258" s="8"/>
    </row>
    <row r="259" ht="15.75" customHeight="1">
      <c r="A259" s="8"/>
      <c r="B259" s="8"/>
      <c r="C259" s="8"/>
      <c r="D259" s="8"/>
      <c r="E259" s="8"/>
      <c r="F259" s="8"/>
      <c r="G259" s="8"/>
    </row>
    <row r="260" ht="15.75" customHeight="1">
      <c r="A260" s="8"/>
      <c r="B260" s="8"/>
      <c r="C260" s="8"/>
      <c r="D260" s="8"/>
      <c r="E260" s="8"/>
      <c r="F260" s="8"/>
      <c r="G260" s="8"/>
    </row>
    <row r="261" ht="15.75" customHeight="1">
      <c r="A261" s="8"/>
      <c r="B261" s="8"/>
      <c r="C261" s="8"/>
      <c r="D261" s="8"/>
      <c r="E261" s="8"/>
      <c r="F261" s="8"/>
      <c r="G261" s="8"/>
    </row>
    <row r="262" ht="15.75" customHeight="1">
      <c r="A262" s="8"/>
      <c r="B262" s="8"/>
      <c r="C262" s="8"/>
      <c r="D262" s="8"/>
      <c r="E262" s="8"/>
      <c r="F262" s="8"/>
      <c r="G262" s="8"/>
    </row>
    <row r="263" ht="15.75" customHeight="1">
      <c r="A263" s="8"/>
      <c r="B263" s="8"/>
      <c r="C263" s="8"/>
      <c r="D263" s="8"/>
      <c r="E263" s="8"/>
      <c r="F263" s="8"/>
      <c r="G263" s="8"/>
    </row>
    <row r="264" ht="15.75" customHeight="1">
      <c r="A264" s="8"/>
      <c r="B264" s="8"/>
      <c r="C264" s="8"/>
      <c r="D264" s="8"/>
      <c r="E264" s="8"/>
      <c r="F264" s="8"/>
      <c r="G264" s="8"/>
    </row>
    <row r="265" ht="15.75" customHeight="1">
      <c r="A265" s="8"/>
      <c r="B265" s="8"/>
      <c r="C265" s="8"/>
      <c r="D265" s="8"/>
      <c r="E265" s="8"/>
      <c r="F265" s="8"/>
      <c r="G265" s="8"/>
    </row>
    <row r="266" ht="15.75" customHeight="1">
      <c r="A266" s="8"/>
      <c r="B266" s="8"/>
      <c r="C266" s="8"/>
      <c r="D266" s="8"/>
      <c r="E266" s="8"/>
      <c r="F266" s="8"/>
      <c r="G266" s="8"/>
    </row>
    <row r="267" ht="15.75" customHeight="1">
      <c r="A267" s="8"/>
      <c r="B267" s="8"/>
      <c r="C267" s="8"/>
      <c r="D267" s="8"/>
      <c r="E267" s="8"/>
      <c r="F267" s="8"/>
      <c r="G267" s="8"/>
    </row>
    <row r="268" ht="15.75" customHeight="1">
      <c r="A268" s="8"/>
      <c r="B268" s="8"/>
      <c r="C268" s="8"/>
      <c r="D268" s="8"/>
      <c r="E268" s="8"/>
      <c r="F268" s="8"/>
      <c r="G268" s="8"/>
    </row>
    <row r="269" ht="15.75" customHeight="1">
      <c r="A269" s="8"/>
      <c r="B269" s="8"/>
      <c r="C269" s="8"/>
      <c r="D269" s="8"/>
      <c r="E269" s="8"/>
      <c r="F269" s="8"/>
      <c r="G269" s="8"/>
    </row>
    <row r="270" ht="15.75" customHeight="1">
      <c r="A270" s="8"/>
      <c r="B270" s="8"/>
      <c r="C270" s="8"/>
      <c r="D270" s="8"/>
      <c r="E270" s="8"/>
      <c r="F270" s="8"/>
      <c r="G270" s="8"/>
    </row>
    <row r="271" ht="15.75" customHeight="1">
      <c r="A271" s="8"/>
      <c r="B271" s="8"/>
      <c r="C271" s="8"/>
      <c r="D271" s="8"/>
      <c r="E271" s="8"/>
      <c r="F271" s="8"/>
      <c r="G271" s="8"/>
    </row>
    <row r="272" ht="15.75" customHeight="1">
      <c r="A272" s="8"/>
      <c r="B272" s="8"/>
      <c r="C272" s="8"/>
      <c r="D272" s="8"/>
      <c r="E272" s="8"/>
      <c r="F272" s="8"/>
      <c r="G272" s="8"/>
    </row>
    <row r="273" ht="15.75" customHeight="1">
      <c r="A273" s="8"/>
      <c r="B273" s="8"/>
      <c r="C273" s="8"/>
      <c r="D273" s="8"/>
      <c r="E273" s="8"/>
      <c r="F273" s="8"/>
      <c r="G273" s="8"/>
    </row>
    <row r="274" ht="15.75" customHeight="1">
      <c r="A274" s="8"/>
      <c r="B274" s="8"/>
      <c r="C274" s="8"/>
      <c r="D274" s="8"/>
      <c r="E274" s="8"/>
      <c r="F274" s="8"/>
      <c r="G274" s="8"/>
    </row>
    <row r="275" ht="15.75" customHeight="1">
      <c r="A275" s="8"/>
      <c r="B275" s="8"/>
      <c r="C275" s="8"/>
      <c r="D275" s="8"/>
      <c r="E275" s="8"/>
      <c r="F275" s="8"/>
      <c r="G275" s="8"/>
    </row>
    <row r="276" ht="15.75" customHeight="1">
      <c r="A276" s="8"/>
      <c r="B276" s="8"/>
      <c r="C276" s="8"/>
      <c r="D276" s="8"/>
      <c r="E276" s="8"/>
      <c r="F276" s="8"/>
      <c r="G276" s="8"/>
    </row>
    <row r="277" ht="15.75" customHeight="1">
      <c r="A277" s="8"/>
      <c r="B277" s="8"/>
      <c r="C277" s="8"/>
      <c r="D277" s="8"/>
      <c r="E277" s="8"/>
      <c r="F277" s="8"/>
      <c r="G277" s="8"/>
    </row>
    <row r="278" ht="15.75" customHeight="1">
      <c r="A278" s="8"/>
      <c r="B278" s="8"/>
      <c r="C278" s="8"/>
      <c r="D278" s="8"/>
      <c r="E278" s="8"/>
      <c r="F278" s="8"/>
      <c r="G278" s="8"/>
    </row>
    <row r="279" ht="15.75" customHeight="1">
      <c r="A279" s="8"/>
      <c r="B279" s="8"/>
      <c r="C279" s="8"/>
      <c r="D279" s="8"/>
      <c r="E279" s="8"/>
      <c r="F279" s="8"/>
      <c r="G279" s="8"/>
    </row>
    <row r="280" ht="15.75" customHeight="1">
      <c r="A280" s="8"/>
      <c r="B280" s="8"/>
      <c r="C280" s="8"/>
      <c r="D280" s="8"/>
      <c r="E280" s="8"/>
      <c r="F280" s="8"/>
      <c r="G280" s="8"/>
    </row>
    <row r="281" ht="15.75" customHeight="1">
      <c r="A281" s="8"/>
      <c r="B281" s="8"/>
      <c r="C281" s="8"/>
      <c r="D281" s="8"/>
      <c r="E281" s="8"/>
      <c r="F281" s="8"/>
      <c r="G281" s="8"/>
    </row>
    <row r="282" ht="15.75" customHeight="1">
      <c r="A282" s="8"/>
      <c r="B282" s="8"/>
      <c r="C282" s="8"/>
      <c r="D282" s="8"/>
      <c r="E282" s="8"/>
      <c r="F282" s="8"/>
      <c r="G282" s="8"/>
    </row>
    <row r="283" ht="15.75" customHeight="1">
      <c r="A283" s="8"/>
      <c r="B283" s="8"/>
      <c r="C283" s="8"/>
      <c r="D283" s="8"/>
      <c r="E283" s="8"/>
      <c r="F283" s="8"/>
      <c r="G283" s="8"/>
    </row>
    <row r="284" ht="15.75" customHeight="1">
      <c r="A284" s="8"/>
      <c r="B284" s="8"/>
      <c r="C284" s="8"/>
      <c r="D284" s="8"/>
      <c r="E284" s="8"/>
      <c r="F284" s="8"/>
      <c r="G284" s="8"/>
    </row>
    <row r="285" ht="15.75" customHeight="1">
      <c r="A285" s="8"/>
      <c r="B285" s="8"/>
      <c r="C285" s="8"/>
      <c r="D285" s="8"/>
      <c r="E285" s="8"/>
      <c r="F285" s="8"/>
      <c r="G285" s="8"/>
    </row>
    <row r="286" ht="15.75" customHeight="1">
      <c r="A286" s="8"/>
      <c r="B286" s="8"/>
      <c r="C286" s="8"/>
      <c r="D286" s="8"/>
      <c r="E286" s="8"/>
      <c r="F286" s="8"/>
      <c r="G286" s="8"/>
    </row>
    <row r="287" ht="15.75" customHeight="1">
      <c r="A287" s="8"/>
      <c r="B287" s="8"/>
      <c r="C287" s="8"/>
      <c r="D287" s="8"/>
      <c r="E287" s="8"/>
      <c r="F287" s="8"/>
      <c r="G287" s="8"/>
    </row>
    <row r="288" ht="15.75" customHeight="1">
      <c r="A288" s="8"/>
      <c r="B288" s="8"/>
      <c r="C288" s="8"/>
      <c r="D288" s="8"/>
      <c r="E288" s="8"/>
      <c r="F288" s="8"/>
      <c r="G288" s="8"/>
    </row>
    <row r="289" ht="15.75" customHeight="1">
      <c r="A289" s="8"/>
      <c r="B289" s="8"/>
      <c r="C289" s="8"/>
      <c r="D289" s="8"/>
      <c r="E289" s="8"/>
      <c r="F289" s="8"/>
      <c r="G289" s="8"/>
    </row>
    <row r="290" ht="15.75" customHeight="1">
      <c r="A290" s="8"/>
      <c r="B290" s="8"/>
      <c r="C290" s="8"/>
      <c r="D290" s="8"/>
      <c r="E290" s="8"/>
      <c r="F290" s="8"/>
      <c r="G290" s="8"/>
    </row>
    <row r="291" ht="15.75" customHeight="1">
      <c r="A291" s="8"/>
      <c r="B291" s="8"/>
      <c r="C291" s="8"/>
      <c r="D291" s="8"/>
      <c r="E291" s="8"/>
      <c r="F291" s="8"/>
      <c r="G291" s="8"/>
    </row>
    <row r="292" ht="15.75" customHeight="1">
      <c r="A292" s="8"/>
      <c r="B292" s="8"/>
      <c r="C292" s="8"/>
      <c r="D292" s="8"/>
      <c r="E292" s="8"/>
      <c r="F292" s="8"/>
      <c r="G292" s="8"/>
    </row>
    <row r="293" ht="15.75" customHeight="1">
      <c r="A293" s="8"/>
      <c r="B293" s="8"/>
      <c r="C293" s="8"/>
      <c r="D293" s="8"/>
      <c r="E293" s="8"/>
      <c r="F293" s="8"/>
      <c r="G293" s="8"/>
    </row>
    <row r="294" ht="15.75" customHeight="1">
      <c r="A294" s="8"/>
      <c r="B294" s="8"/>
      <c r="C294" s="8"/>
      <c r="D294" s="8"/>
      <c r="E294" s="8"/>
      <c r="F294" s="8"/>
      <c r="G294" s="8"/>
    </row>
    <row r="295" ht="15.75" customHeight="1">
      <c r="A295" s="8"/>
      <c r="B295" s="8"/>
      <c r="C295" s="8"/>
      <c r="D295" s="8"/>
      <c r="E295" s="8"/>
      <c r="F295" s="8"/>
      <c r="G295" s="8"/>
    </row>
    <row r="296" ht="15.75" customHeight="1">
      <c r="A296" s="8"/>
      <c r="B296" s="8"/>
      <c r="C296" s="8"/>
      <c r="D296" s="8"/>
      <c r="E296" s="8"/>
      <c r="F296" s="8"/>
      <c r="G296" s="8"/>
    </row>
    <row r="297" ht="15.75" customHeight="1">
      <c r="A297" s="8"/>
      <c r="B297" s="8"/>
      <c r="C297" s="8"/>
      <c r="D297" s="8"/>
      <c r="E297" s="8"/>
      <c r="F297" s="8"/>
      <c r="G297" s="8"/>
    </row>
    <row r="298" ht="15.75" customHeight="1">
      <c r="A298" s="8"/>
      <c r="B298" s="8"/>
      <c r="C298" s="8"/>
      <c r="D298" s="8"/>
      <c r="E298" s="8"/>
      <c r="F298" s="8"/>
      <c r="G298" s="8"/>
    </row>
    <row r="299" ht="15.75" customHeight="1">
      <c r="A299" s="8"/>
      <c r="B299" s="8"/>
      <c r="C299" s="8"/>
      <c r="D299" s="8"/>
      <c r="E299" s="8"/>
      <c r="F299" s="8"/>
      <c r="G299" s="8"/>
    </row>
    <row r="300" ht="15.75" customHeight="1">
      <c r="A300" s="8"/>
      <c r="B300" s="8"/>
      <c r="C300" s="8"/>
      <c r="D300" s="8"/>
      <c r="E300" s="8"/>
      <c r="F300" s="8"/>
      <c r="G300" s="8"/>
    </row>
    <row r="301" ht="15.75" customHeight="1">
      <c r="A301" s="8"/>
      <c r="B301" s="8"/>
      <c r="C301" s="8"/>
      <c r="D301" s="8"/>
      <c r="E301" s="8"/>
      <c r="F301" s="8"/>
      <c r="G301" s="8"/>
    </row>
    <row r="302" ht="15.75" customHeight="1">
      <c r="A302" s="8"/>
      <c r="B302" s="8"/>
      <c r="C302" s="8"/>
      <c r="D302" s="8"/>
      <c r="E302" s="8"/>
      <c r="F302" s="8"/>
      <c r="G302" s="8"/>
    </row>
    <row r="303" ht="15.75" customHeight="1">
      <c r="A303" s="8"/>
      <c r="B303" s="8"/>
      <c r="C303" s="8"/>
      <c r="D303" s="8"/>
      <c r="E303" s="8"/>
      <c r="F303" s="8"/>
      <c r="G303" s="8"/>
    </row>
    <row r="304" ht="15.75" customHeight="1">
      <c r="A304" s="8"/>
      <c r="B304" s="8"/>
      <c r="C304" s="8"/>
      <c r="D304" s="8"/>
      <c r="E304" s="8"/>
      <c r="F304" s="8"/>
      <c r="G304" s="8"/>
    </row>
    <row r="305" ht="15.75" customHeight="1">
      <c r="A305" s="8"/>
      <c r="B305" s="8"/>
      <c r="C305" s="8"/>
      <c r="D305" s="8"/>
      <c r="E305" s="8"/>
      <c r="F305" s="8"/>
      <c r="G305" s="8"/>
    </row>
    <row r="306" ht="15.75" customHeight="1">
      <c r="A306" s="8"/>
      <c r="B306" s="8"/>
      <c r="C306" s="8"/>
      <c r="D306" s="8"/>
      <c r="E306" s="8"/>
      <c r="F306" s="8"/>
      <c r="G306" s="8"/>
    </row>
    <row r="307" ht="15.75" customHeight="1">
      <c r="A307" s="8"/>
      <c r="B307" s="8"/>
      <c r="C307" s="8"/>
      <c r="D307" s="8"/>
      <c r="E307" s="8"/>
      <c r="F307" s="8"/>
      <c r="G307" s="8"/>
    </row>
    <row r="308" ht="15.75" customHeight="1">
      <c r="A308" s="8"/>
      <c r="B308" s="8"/>
      <c r="C308" s="8"/>
      <c r="D308" s="8"/>
      <c r="E308" s="8"/>
      <c r="F308" s="8"/>
      <c r="G308" s="8"/>
    </row>
    <row r="309" ht="15.75" customHeight="1">
      <c r="A309" s="8"/>
      <c r="B309" s="8"/>
      <c r="C309" s="8"/>
      <c r="D309" s="8"/>
      <c r="E309" s="8"/>
      <c r="F309" s="8"/>
      <c r="G309" s="8"/>
    </row>
    <row r="310" ht="15.75" customHeight="1">
      <c r="A310" s="8"/>
      <c r="B310" s="8"/>
      <c r="C310" s="8"/>
      <c r="D310" s="8"/>
      <c r="E310" s="8"/>
      <c r="F310" s="8"/>
      <c r="G310" s="8"/>
    </row>
    <row r="311" ht="15.75" customHeight="1">
      <c r="A311" s="8"/>
      <c r="B311" s="8"/>
      <c r="C311" s="8"/>
      <c r="D311" s="8"/>
      <c r="E311" s="8"/>
      <c r="F311" s="8"/>
      <c r="G311" s="8"/>
    </row>
    <row r="312" ht="15.75" customHeight="1">
      <c r="A312" s="8"/>
      <c r="B312" s="8"/>
      <c r="C312" s="8"/>
      <c r="D312" s="8"/>
      <c r="E312" s="8"/>
      <c r="F312" s="8"/>
      <c r="G312" s="8"/>
    </row>
    <row r="313" ht="15.75" customHeight="1">
      <c r="A313" s="8"/>
      <c r="B313" s="8"/>
      <c r="C313" s="8"/>
      <c r="D313" s="8"/>
      <c r="E313" s="8"/>
      <c r="F313" s="8"/>
      <c r="G313" s="8"/>
    </row>
    <row r="314" ht="15.75" customHeight="1">
      <c r="A314" s="8"/>
      <c r="B314" s="8"/>
      <c r="C314" s="8"/>
      <c r="D314" s="8"/>
      <c r="E314" s="8"/>
      <c r="F314" s="8"/>
      <c r="G314" s="8"/>
    </row>
    <row r="315" ht="15.75" customHeight="1">
      <c r="A315" s="8"/>
      <c r="B315" s="8"/>
      <c r="C315" s="8"/>
      <c r="D315" s="8"/>
      <c r="E315" s="8"/>
      <c r="F315" s="8"/>
      <c r="G315" s="8"/>
    </row>
    <row r="316" ht="15.75" customHeight="1">
      <c r="A316" s="8"/>
      <c r="B316" s="8"/>
      <c r="C316" s="8"/>
      <c r="D316" s="8"/>
      <c r="E316" s="8"/>
      <c r="F316" s="8"/>
      <c r="G316" s="8"/>
    </row>
    <row r="317" ht="15.75" customHeight="1">
      <c r="A317" s="8"/>
      <c r="B317" s="8"/>
      <c r="C317" s="8"/>
      <c r="D317" s="8"/>
      <c r="E317" s="8"/>
      <c r="F317" s="8"/>
      <c r="G317" s="8"/>
    </row>
    <row r="318" ht="15.75" customHeight="1">
      <c r="A318" s="8"/>
      <c r="B318" s="8"/>
      <c r="C318" s="8"/>
      <c r="D318" s="8"/>
      <c r="E318" s="8"/>
      <c r="F318" s="8"/>
      <c r="G318" s="8"/>
    </row>
    <row r="319" ht="15.75" customHeight="1">
      <c r="A319" s="8"/>
      <c r="B319" s="8"/>
      <c r="C319" s="8"/>
      <c r="D319" s="8"/>
      <c r="E319" s="8"/>
      <c r="F319" s="8"/>
      <c r="G319" s="8"/>
    </row>
    <row r="320" ht="15.75" customHeight="1">
      <c r="A320" s="8"/>
      <c r="B320" s="8"/>
      <c r="C320" s="8"/>
      <c r="D320" s="8"/>
      <c r="E320" s="8"/>
      <c r="F320" s="8"/>
      <c r="G320" s="8"/>
    </row>
    <row r="321" ht="15.75" customHeight="1">
      <c r="A321" s="8"/>
      <c r="B321" s="8"/>
      <c r="C321" s="8"/>
      <c r="D321" s="8"/>
      <c r="E321" s="8"/>
      <c r="F321" s="8"/>
      <c r="G321" s="8"/>
    </row>
    <row r="322" ht="15.75" customHeight="1">
      <c r="A322" s="8"/>
      <c r="B322" s="8"/>
      <c r="C322" s="8"/>
      <c r="D322" s="8"/>
      <c r="E322" s="8"/>
      <c r="F322" s="8"/>
      <c r="G322" s="8"/>
    </row>
    <row r="323" ht="15.75" customHeight="1">
      <c r="A323" s="8"/>
      <c r="B323" s="8"/>
      <c r="C323" s="8"/>
      <c r="D323" s="8"/>
      <c r="E323" s="8"/>
      <c r="F323" s="8"/>
      <c r="G323" s="8"/>
    </row>
    <row r="324" ht="15.75" customHeight="1">
      <c r="A324" s="8"/>
      <c r="B324" s="8"/>
      <c r="C324" s="8"/>
      <c r="D324" s="8"/>
      <c r="E324" s="8"/>
      <c r="F324" s="8"/>
      <c r="G324" s="8"/>
    </row>
    <row r="325" ht="15.75" customHeight="1">
      <c r="A325" s="8"/>
      <c r="B325" s="8"/>
      <c r="C325" s="8"/>
      <c r="D325" s="8"/>
      <c r="E325" s="8"/>
      <c r="F325" s="8"/>
      <c r="G325" s="8"/>
    </row>
    <row r="326" ht="15.75" customHeight="1">
      <c r="A326" s="8"/>
      <c r="B326" s="8"/>
      <c r="C326" s="8"/>
      <c r="D326" s="8"/>
      <c r="E326" s="8"/>
      <c r="F326" s="8"/>
      <c r="G326" s="8"/>
    </row>
    <row r="327" ht="15.75" customHeight="1">
      <c r="A327" s="8"/>
      <c r="B327" s="8"/>
      <c r="C327" s="8"/>
      <c r="D327" s="8"/>
      <c r="E327" s="8"/>
      <c r="F327" s="8"/>
      <c r="G327" s="8"/>
    </row>
    <row r="328" ht="15.75" customHeight="1">
      <c r="A328" s="8"/>
      <c r="B328" s="8"/>
      <c r="C328" s="8"/>
      <c r="D328" s="8"/>
      <c r="E328" s="8"/>
      <c r="F328" s="8"/>
      <c r="G328" s="8"/>
    </row>
    <row r="329" ht="15.75" customHeight="1">
      <c r="A329" s="8"/>
      <c r="B329" s="8"/>
      <c r="C329" s="8"/>
      <c r="D329" s="8"/>
      <c r="E329" s="8"/>
      <c r="F329" s="8"/>
      <c r="G329" s="8"/>
    </row>
    <row r="330" ht="15.75" customHeight="1">
      <c r="A330" s="8"/>
      <c r="B330" s="8"/>
      <c r="C330" s="8"/>
      <c r="D330" s="8"/>
      <c r="E330" s="8"/>
      <c r="F330" s="8"/>
      <c r="G330" s="8"/>
    </row>
    <row r="331" ht="15.75" customHeight="1">
      <c r="A331" s="8"/>
      <c r="B331" s="8"/>
      <c r="C331" s="8"/>
      <c r="D331" s="8"/>
      <c r="E331" s="8"/>
      <c r="F331" s="8"/>
      <c r="G331" s="8"/>
    </row>
    <row r="332" ht="15.75" customHeight="1">
      <c r="A332" s="8"/>
      <c r="B332" s="8"/>
      <c r="C332" s="8"/>
      <c r="D332" s="8"/>
      <c r="E332" s="8"/>
      <c r="F332" s="8"/>
      <c r="G332" s="8"/>
    </row>
    <row r="333" ht="15.75" customHeight="1">
      <c r="A333" s="8"/>
      <c r="B333" s="8"/>
      <c r="C333" s="8"/>
      <c r="D333" s="8"/>
      <c r="E333" s="8"/>
      <c r="F333" s="8"/>
      <c r="G333" s="8"/>
    </row>
    <row r="334" ht="15.75" customHeight="1">
      <c r="A334" s="8"/>
      <c r="B334" s="8"/>
      <c r="C334" s="8"/>
      <c r="D334" s="8"/>
      <c r="E334" s="8"/>
      <c r="F334" s="8"/>
      <c r="G334" s="8"/>
    </row>
    <row r="335" ht="15.75" customHeight="1">
      <c r="A335" s="8"/>
      <c r="B335" s="8"/>
      <c r="C335" s="8"/>
      <c r="D335" s="8"/>
      <c r="E335" s="8"/>
      <c r="F335" s="8"/>
      <c r="G335" s="8"/>
    </row>
    <row r="336" ht="15.75" customHeight="1">
      <c r="A336" s="8"/>
      <c r="B336" s="8"/>
      <c r="C336" s="8"/>
      <c r="D336" s="8"/>
      <c r="E336" s="8"/>
      <c r="F336" s="8"/>
      <c r="G336" s="8"/>
    </row>
    <row r="337" ht="15.75" customHeight="1">
      <c r="A337" s="8"/>
      <c r="B337" s="8"/>
      <c r="C337" s="8"/>
      <c r="D337" s="8"/>
      <c r="E337" s="8"/>
      <c r="F337" s="8"/>
      <c r="G337" s="8"/>
    </row>
    <row r="338" ht="15.75" customHeight="1">
      <c r="A338" s="8"/>
      <c r="B338" s="8"/>
      <c r="C338" s="8"/>
      <c r="D338" s="8"/>
      <c r="E338" s="8"/>
      <c r="F338" s="8"/>
      <c r="G338" s="8"/>
    </row>
    <row r="339" ht="15.75" customHeight="1">
      <c r="A339" s="8"/>
      <c r="B339" s="8"/>
      <c r="C339" s="8"/>
      <c r="D339" s="8"/>
      <c r="E339" s="8"/>
      <c r="F339" s="8"/>
      <c r="G339" s="8"/>
    </row>
    <row r="340" ht="15.75" customHeight="1">
      <c r="A340" s="8"/>
      <c r="B340" s="8"/>
      <c r="C340" s="8"/>
      <c r="D340" s="8"/>
      <c r="E340" s="8"/>
      <c r="F340" s="8"/>
      <c r="G340" s="8"/>
    </row>
    <row r="341" ht="15.75" customHeight="1">
      <c r="A341" s="8"/>
      <c r="B341" s="8"/>
      <c r="C341" s="8"/>
      <c r="D341" s="8"/>
      <c r="E341" s="8"/>
      <c r="F341" s="8"/>
      <c r="G341" s="8"/>
    </row>
    <row r="342" ht="15.75" customHeight="1">
      <c r="A342" s="8"/>
      <c r="B342" s="8"/>
      <c r="C342" s="8"/>
      <c r="D342" s="8"/>
      <c r="E342" s="8"/>
      <c r="F342" s="8"/>
      <c r="G342" s="8"/>
    </row>
    <row r="343" ht="15.75" customHeight="1">
      <c r="A343" s="8"/>
      <c r="B343" s="8"/>
      <c r="C343" s="8"/>
      <c r="D343" s="8"/>
      <c r="E343" s="8"/>
      <c r="F343" s="8"/>
      <c r="G343" s="8"/>
    </row>
    <row r="344" ht="15.75" customHeight="1">
      <c r="A344" s="8"/>
      <c r="B344" s="8"/>
      <c r="C344" s="8"/>
      <c r="D344" s="8"/>
      <c r="E344" s="8"/>
      <c r="F344" s="8"/>
      <c r="G344" s="8"/>
    </row>
    <row r="345" ht="15.75" customHeight="1">
      <c r="A345" s="8"/>
      <c r="B345" s="8"/>
      <c r="C345" s="8"/>
      <c r="D345" s="8"/>
      <c r="E345" s="8"/>
      <c r="F345" s="8"/>
      <c r="G345" s="8"/>
    </row>
    <row r="346" ht="15.75" customHeight="1">
      <c r="A346" s="8"/>
      <c r="B346" s="8"/>
      <c r="C346" s="8"/>
      <c r="D346" s="8"/>
      <c r="E346" s="8"/>
      <c r="F346" s="8"/>
      <c r="G346" s="8"/>
    </row>
    <row r="347" ht="15.75" customHeight="1">
      <c r="A347" s="8"/>
      <c r="B347" s="8"/>
      <c r="C347" s="8"/>
      <c r="D347" s="8"/>
      <c r="E347" s="8"/>
      <c r="F347" s="8"/>
      <c r="G347" s="8"/>
    </row>
    <row r="348" ht="15.75" customHeight="1">
      <c r="A348" s="8"/>
      <c r="B348" s="8"/>
      <c r="C348" s="8"/>
      <c r="D348" s="8"/>
      <c r="E348" s="8"/>
      <c r="F348" s="8"/>
      <c r="G348" s="8"/>
    </row>
    <row r="349" ht="15.75" customHeight="1">
      <c r="A349" s="8"/>
      <c r="B349" s="8"/>
      <c r="C349" s="8"/>
      <c r="D349" s="8"/>
      <c r="E349" s="8"/>
      <c r="F349" s="8"/>
      <c r="G349" s="8"/>
    </row>
    <row r="350" ht="15.75" customHeight="1">
      <c r="A350" s="8"/>
      <c r="B350" s="8"/>
      <c r="C350" s="8"/>
      <c r="D350" s="8"/>
      <c r="E350" s="8"/>
      <c r="F350" s="8"/>
      <c r="G350" s="8"/>
    </row>
    <row r="351" ht="15.75" customHeight="1">
      <c r="A351" s="8"/>
      <c r="B351" s="8"/>
      <c r="C351" s="8"/>
      <c r="D351" s="8"/>
      <c r="E351" s="8"/>
      <c r="F351" s="8"/>
      <c r="G351" s="8"/>
    </row>
    <row r="352" ht="15.75" customHeight="1">
      <c r="A352" s="8"/>
      <c r="B352" s="8"/>
      <c r="C352" s="8"/>
      <c r="D352" s="8"/>
      <c r="E352" s="8"/>
      <c r="F352" s="8"/>
      <c r="G352" s="8"/>
    </row>
    <row r="353" ht="15.75" customHeight="1">
      <c r="A353" s="8"/>
      <c r="B353" s="8"/>
      <c r="C353" s="8"/>
      <c r="D353" s="8"/>
      <c r="E353" s="8"/>
      <c r="F353" s="8"/>
      <c r="G353" s="8"/>
    </row>
    <row r="354" ht="15.75" customHeight="1">
      <c r="A354" s="8"/>
      <c r="B354" s="8"/>
      <c r="C354" s="8"/>
      <c r="D354" s="8"/>
      <c r="E354" s="8"/>
      <c r="F354" s="8"/>
      <c r="G354" s="8"/>
    </row>
    <row r="355" ht="15.75" customHeight="1">
      <c r="A355" s="8"/>
      <c r="B355" s="8"/>
      <c r="C355" s="8"/>
      <c r="D355" s="8"/>
      <c r="E355" s="8"/>
      <c r="F355" s="8"/>
      <c r="G355" s="8"/>
    </row>
    <row r="356" ht="15.75" customHeight="1">
      <c r="A356" s="8"/>
      <c r="B356" s="8"/>
      <c r="C356" s="8"/>
      <c r="D356" s="8"/>
      <c r="E356" s="8"/>
      <c r="F356" s="8"/>
      <c r="G356" s="8"/>
    </row>
    <row r="357" ht="15.75" customHeight="1">
      <c r="A357" s="8"/>
      <c r="B357" s="8"/>
      <c r="C357" s="8"/>
      <c r="D357" s="8"/>
      <c r="E357" s="8"/>
      <c r="F357" s="8"/>
      <c r="G357" s="8"/>
    </row>
    <row r="358" ht="15.75" customHeight="1">
      <c r="A358" s="8"/>
      <c r="B358" s="8"/>
      <c r="C358" s="8"/>
      <c r="D358" s="8"/>
      <c r="E358" s="8"/>
      <c r="F358" s="8"/>
      <c r="G358" s="8"/>
    </row>
    <row r="359" ht="15.75" customHeight="1">
      <c r="A359" s="8"/>
      <c r="B359" s="8"/>
      <c r="C359" s="8"/>
      <c r="D359" s="8"/>
      <c r="E359" s="8"/>
      <c r="F359" s="8"/>
      <c r="G359" s="8"/>
    </row>
    <row r="360" ht="15.75" customHeight="1">
      <c r="A360" s="8"/>
      <c r="B360" s="8"/>
      <c r="C360" s="8"/>
      <c r="D360" s="8"/>
      <c r="E360" s="8"/>
      <c r="F360" s="8"/>
      <c r="G360" s="8"/>
    </row>
    <row r="361" ht="15.75" customHeight="1">
      <c r="A361" s="8"/>
      <c r="B361" s="8"/>
      <c r="C361" s="8"/>
      <c r="D361" s="8"/>
      <c r="E361" s="8"/>
      <c r="F361" s="8"/>
      <c r="G361" s="8"/>
    </row>
    <row r="362" ht="15.75" customHeight="1">
      <c r="A362" s="8"/>
      <c r="B362" s="8"/>
      <c r="C362" s="8"/>
      <c r="D362" s="8"/>
      <c r="E362" s="8"/>
      <c r="F362" s="8"/>
      <c r="G362" s="8"/>
    </row>
    <row r="363" ht="15.75" customHeight="1">
      <c r="A363" s="8"/>
      <c r="B363" s="8"/>
      <c r="C363" s="8"/>
      <c r="D363" s="8"/>
      <c r="E363" s="8"/>
      <c r="F363" s="8"/>
      <c r="G363" s="8"/>
    </row>
    <row r="364" ht="15.75" customHeight="1">
      <c r="A364" s="8"/>
      <c r="B364" s="8"/>
      <c r="C364" s="8"/>
      <c r="D364" s="8"/>
      <c r="E364" s="8"/>
      <c r="F364" s="8"/>
      <c r="G364" s="8"/>
    </row>
    <row r="365" ht="15.75" customHeight="1">
      <c r="A365" s="8"/>
      <c r="B365" s="8"/>
      <c r="C365" s="8"/>
      <c r="D365" s="8"/>
      <c r="E365" s="8"/>
      <c r="F365" s="8"/>
      <c r="G365" s="8"/>
    </row>
    <row r="366" ht="15.75" customHeight="1">
      <c r="A366" s="8"/>
      <c r="B366" s="8"/>
      <c r="C366" s="8"/>
      <c r="D366" s="8"/>
      <c r="E366" s="8"/>
      <c r="F366" s="8"/>
      <c r="G366" s="8"/>
    </row>
    <row r="367" ht="15.75" customHeight="1">
      <c r="A367" s="8"/>
      <c r="B367" s="8"/>
      <c r="C367" s="8"/>
      <c r="D367" s="8"/>
      <c r="E367" s="8"/>
      <c r="F367" s="8"/>
      <c r="G367" s="8"/>
    </row>
    <row r="368" ht="15.75" customHeight="1">
      <c r="A368" s="8"/>
      <c r="B368" s="8"/>
      <c r="C368" s="8"/>
      <c r="D368" s="8"/>
      <c r="E368" s="8"/>
      <c r="F368" s="8"/>
      <c r="G368" s="8"/>
    </row>
    <row r="369" ht="15.75" customHeight="1">
      <c r="A369" s="8"/>
      <c r="B369" s="8"/>
      <c r="C369" s="8"/>
      <c r="D369" s="8"/>
      <c r="E369" s="8"/>
      <c r="F369" s="8"/>
      <c r="G369" s="8"/>
    </row>
    <row r="370" ht="15.75" customHeight="1">
      <c r="A370" s="8"/>
      <c r="B370" s="8"/>
      <c r="C370" s="8"/>
      <c r="D370" s="8"/>
      <c r="E370" s="8"/>
      <c r="F370" s="8"/>
      <c r="G370" s="8"/>
    </row>
    <row r="371" ht="15.75" customHeight="1">
      <c r="A371" s="8"/>
      <c r="B371" s="8"/>
      <c r="C371" s="8"/>
      <c r="D371" s="8"/>
      <c r="E371" s="8"/>
      <c r="F371" s="8"/>
      <c r="G371" s="8"/>
    </row>
    <row r="372" ht="15.75" customHeight="1">
      <c r="A372" s="8"/>
      <c r="B372" s="8"/>
      <c r="C372" s="8"/>
      <c r="D372" s="8"/>
      <c r="E372" s="8"/>
      <c r="F372" s="8"/>
      <c r="G372" s="8"/>
    </row>
    <row r="373" ht="15.75" customHeight="1">
      <c r="A373" s="8"/>
      <c r="B373" s="8"/>
      <c r="C373" s="8"/>
      <c r="D373" s="8"/>
      <c r="E373" s="8"/>
      <c r="F373" s="8"/>
      <c r="G373" s="8"/>
    </row>
    <row r="374" ht="15.75" customHeight="1">
      <c r="A374" s="8"/>
      <c r="B374" s="8"/>
      <c r="C374" s="8"/>
      <c r="D374" s="8"/>
      <c r="E374" s="8"/>
      <c r="F374" s="8"/>
      <c r="G374" s="8"/>
    </row>
    <row r="375" ht="15.75" customHeight="1">
      <c r="A375" s="8"/>
      <c r="B375" s="8"/>
      <c r="C375" s="8"/>
      <c r="D375" s="8"/>
      <c r="E375" s="8"/>
      <c r="F375" s="8"/>
      <c r="G375" s="8"/>
    </row>
    <row r="376" ht="15.75" customHeight="1">
      <c r="A376" s="8"/>
      <c r="B376" s="8"/>
      <c r="C376" s="8"/>
      <c r="D376" s="8"/>
      <c r="E376" s="8"/>
      <c r="F376" s="8"/>
      <c r="G376" s="8"/>
    </row>
    <row r="377" ht="15.75" customHeight="1">
      <c r="A377" s="8"/>
      <c r="B377" s="8"/>
      <c r="C377" s="8"/>
      <c r="D377" s="8"/>
      <c r="E377" s="8"/>
      <c r="F377" s="8"/>
      <c r="G377" s="8"/>
    </row>
    <row r="378" ht="15.75" customHeight="1">
      <c r="A378" s="8"/>
      <c r="B378" s="8"/>
      <c r="C378" s="8"/>
      <c r="D378" s="8"/>
      <c r="E378" s="8"/>
      <c r="F378" s="8"/>
      <c r="G378" s="8"/>
    </row>
    <row r="379" ht="15.75" customHeight="1">
      <c r="A379" s="8"/>
      <c r="B379" s="8"/>
      <c r="C379" s="8"/>
      <c r="D379" s="8"/>
      <c r="E379" s="8"/>
      <c r="F379" s="8"/>
      <c r="G379" s="8"/>
    </row>
    <row r="380" ht="15.75" customHeight="1">
      <c r="A380" s="8"/>
      <c r="B380" s="8"/>
      <c r="C380" s="8"/>
      <c r="D380" s="8"/>
      <c r="E380" s="8"/>
      <c r="F380" s="8"/>
      <c r="G380" s="8"/>
    </row>
    <row r="381" ht="15.75" customHeight="1">
      <c r="A381" s="8"/>
      <c r="B381" s="8"/>
      <c r="C381" s="8"/>
      <c r="D381" s="8"/>
      <c r="E381" s="8"/>
      <c r="F381" s="8"/>
      <c r="G381" s="8"/>
    </row>
    <row r="382" ht="15.75" customHeight="1">
      <c r="A382" s="8"/>
      <c r="B382" s="8"/>
      <c r="C382" s="8"/>
      <c r="D382" s="8"/>
      <c r="E382" s="8"/>
      <c r="F382" s="8"/>
      <c r="G382" s="8"/>
    </row>
    <row r="383" ht="15.75" customHeight="1">
      <c r="A383" s="8"/>
      <c r="B383" s="8"/>
      <c r="C383" s="8"/>
      <c r="D383" s="8"/>
      <c r="E383" s="8"/>
      <c r="F383" s="8"/>
      <c r="G383" s="8"/>
    </row>
    <row r="384" ht="15.75" customHeight="1">
      <c r="A384" s="8"/>
      <c r="B384" s="8"/>
      <c r="C384" s="8"/>
      <c r="D384" s="8"/>
      <c r="E384" s="8"/>
      <c r="F384" s="8"/>
      <c r="G384" s="8"/>
    </row>
    <row r="385" ht="15.75" customHeight="1">
      <c r="A385" s="8"/>
      <c r="B385" s="8"/>
      <c r="C385" s="8"/>
      <c r="D385" s="8"/>
      <c r="E385" s="8"/>
      <c r="F385" s="8"/>
      <c r="G385" s="8"/>
    </row>
    <row r="386" ht="15.75" customHeight="1">
      <c r="A386" s="8"/>
      <c r="B386" s="8"/>
      <c r="C386" s="8"/>
      <c r="D386" s="8"/>
      <c r="E386" s="8"/>
      <c r="F386" s="8"/>
      <c r="G386" s="8"/>
    </row>
    <row r="387" ht="15.75" customHeight="1">
      <c r="A387" s="8"/>
      <c r="B387" s="8"/>
      <c r="C387" s="8"/>
      <c r="D387" s="8"/>
      <c r="E387" s="8"/>
      <c r="F387" s="8"/>
      <c r="G387" s="8"/>
    </row>
    <row r="388" ht="15.75" customHeight="1">
      <c r="A388" s="8"/>
      <c r="B388" s="8"/>
      <c r="C388" s="8"/>
      <c r="D388" s="8"/>
      <c r="E388" s="8"/>
      <c r="F388" s="8"/>
      <c r="G388" s="8"/>
    </row>
    <row r="389" ht="15.75" customHeight="1">
      <c r="A389" s="8"/>
      <c r="B389" s="8"/>
      <c r="C389" s="8"/>
      <c r="D389" s="8"/>
      <c r="E389" s="8"/>
      <c r="F389" s="8"/>
      <c r="G389" s="8"/>
    </row>
    <row r="390" ht="15.75" customHeight="1">
      <c r="A390" s="8"/>
      <c r="B390" s="8"/>
      <c r="C390" s="8"/>
      <c r="D390" s="8"/>
      <c r="E390" s="8"/>
      <c r="F390" s="8"/>
      <c r="G390" s="8"/>
    </row>
    <row r="391" ht="15.75" customHeight="1">
      <c r="A391" s="8"/>
      <c r="B391" s="8"/>
      <c r="C391" s="8"/>
      <c r="D391" s="8"/>
      <c r="E391" s="8"/>
      <c r="F391" s="8"/>
      <c r="G391" s="8"/>
    </row>
    <row r="392" ht="15.75" customHeight="1">
      <c r="A392" s="8"/>
      <c r="B392" s="8"/>
      <c r="C392" s="8"/>
      <c r="D392" s="8"/>
      <c r="E392" s="8"/>
      <c r="F392" s="8"/>
      <c r="G392" s="8"/>
    </row>
    <row r="393" ht="15.75" customHeight="1">
      <c r="A393" s="8"/>
      <c r="B393" s="8"/>
      <c r="C393" s="8"/>
      <c r="D393" s="8"/>
      <c r="E393" s="8"/>
      <c r="F393" s="8"/>
      <c r="G393" s="8"/>
    </row>
    <row r="394" ht="15.75" customHeight="1">
      <c r="A394" s="8"/>
      <c r="B394" s="8"/>
      <c r="C394" s="8"/>
      <c r="D394" s="8"/>
      <c r="E394" s="8"/>
      <c r="F394" s="8"/>
      <c r="G394" s="8"/>
    </row>
    <row r="395" ht="15.75" customHeight="1">
      <c r="A395" s="8"/>
      <c r="B395" s="8"/>
      <c r="C395" s="8"/>
      <c r="D395" s="8"/>
      <c r="E395" s="8"/>
      <c r="F395" s="8"/>
      <c r="G395" s="8"/>
    </row>
    <row r="396" ht="15.75" customHeight="1">
      <c r="A396" s="8"/>
      <c r="B396" s="8"/>
      <c r="C396" s="8"/>
      <c r="D396" s="8"/>
      <c r="E396" s="8"/>
      <c r="F396" s="8"/>
      <c r="G396" s="8"/>
    </row>
    <row r="397" ht="15.75" customHeight="1">
      <c r="A397" s="8"/>
      <c r="B397" s="8"/>
      <c r="C397" s="8"/>
      <c r="D397" s="8"/>
      <c r="E397" s="8"/>
      <c r="F397" s="8"/>
      <c r="G397" s="8"/>
    </row>
    <row r="398" ht="15.75" customHeight="1">
      <c r="A398" s="8"/>
      <c r="B398" s="8"/>
      <c r="C398" s="8"/>
      <c r="D398" s="8"/>
      <c r="E398" s="8"/>
      <c r="F398" s="8"/>
      <c r="G398" s="8"/>
    </row>
    <row r="399" ht="15.75" customHeight="1">
      <c r="A399" s="8"/>
      <c r="B399" s="8"/>
      <c r="C399" s="8"/>
      <c r="D399" s="8"/>
      <c r="E399" s="8"/>
      <c r="F399" s="8"/>
      <c r="G399" s="8"/>
    </row>
    <row r="400" ht="15.75" customHeight="1">
      <c r="A400" s="8"/>
      <c r="B400" s="8"/>
      <c r="C400" s="8"/>
      <c r="D400" s="8"/>
      <c r="E400" s="8"/>
      <c r="F400" s="8"/>
      <c r="G400" s="8"/>
    </row>
    <row r="401" ht="15.75" customHeight="1">
      <c r="A401" s="8"/>
      <c r="B401" s="8"/>
      <c r="C401" s="8"/>
      <c r="D401" s="8"/>
      <c r="E401" s="8"/>
      <c r="F401" s="8"/>
      <c r="G401" s="8"/>
    </row>
    <row r="402" ht="15.75" customHeight="1">
      <c r="A402" s="8"/>
      <c r="B402" s="8"/>
      <c r="C402" s="8"/>
      <c r="D402" s="8"/>
      <c r="E402" s="8"/>
      <c r="F402" s="8"/>
      <c r="G402" s="8"/>
    </row>
    <row r="403" ht="15.75" customHeight="1">
      <c r="A403" s="8"/>
      <c r="B403" s="8"/>
      <c r="C403" s="8"/>
      <c r="D403" s="8"/>
      <c r="E403" s="8"/>
      <c r="F403" s="8"/>
      <c r="G403" s="8"/>
    </row>
    <row r="404" ht="15.75" customHeight="1">
      <c r="A404" s="8"/>
      <c r="B404" s="8"/>
      <c r="C404" s="8"/>
      <c r="D404" s="8"/>
      <c r="E404" s="8"/>
      <c r="F404" s="8"/>
      <c r="G404" s="8"/>
    </row>
    <row r="405" ht="15.75" customHeight="1">
      <c r="A405" s="8"/>
      <c r="B405" s="8"/>
      <c r="C405" s="8"/>
      <c r="D405" s="8"/>
      <c r="E405" s="8"/>
      <c r="F405" s="8"/>
      <c r="G405" s="8"/>
    </row>
    <row r="406" ht="15.75" customHeight="1">
      <c r="A406" s="8"/>
      <c r="B406" s="8"/>
      <c r="C406" s="8"/>
      <c r="D406" s="8"/>
      <c r="E406" s="8"/>
      <c r="F406" s="8"/>
      <c r="G406" s="8"/>
    </row>
    <row r="407" ht="15.75" customHeight="1">
      <c r="A407" s="8"/>
      <c r="B407" s="8"/>
      <c r="C407" s="8"/>
      <c r="D407" s="8"/>
      <c r="E407" s="8"/>
      <c r="F407" s="8"/>
      <c r="G407" s="8"/>
    </row>
    <row r="408" ht="15.75" customHeight="1">
      <c r="A408" s="8"/>
      <c r="B408" s="8"/>
      <c r="C408" s="8"/>
      <c r="D408" s="8"/>
      <c r="E408" s="8"/>
      <c r="F408" s="8"/>
      <c r="G408" s="8"/>
    </row>
    <row r="409" ht="15.75" customHeight="1">
      <c r="A409" s="8"/>
      <c r="B409" s="8"/>
      <c r="C409" s="8"/>
      <c r="D409" s="8"/>
      <c r="E409" s="8"/>
      <c r="F409" s="8"/>
      <c r="G409" s="8"/>
    </row>
    <row r="410" ht="15.75" customHeight="1">
      <c r="A410" s="8"/>
      <c r="B410" s="8"/>
      <c r="C410" s="8"/>
      <c r="D410" s="8"/>
      <c r="E410" s="8"/>
      <c r="F410" s="8"/>
      <c r="G410" s="8"/>
    </row>
    <row r="411" ht="15.75" customHeight="1">
      <c r="A411" s="8"/>
      <c r="B411" s="8"/>
      <c r="C411" s="8"/>
      <c r="D411" s="8"/>
      <c r="E411" s="8"/>
      <c r="F411" s="8"/>
      <c r="G411" s="8"/>
    </row>
    <row r="412" ht="15.75" customHeight="1">
      <c r="A412" s="8"/>
      <c r="B412" s="8"/>
      <c r="C412" s="8"/>
      <c r="D412" s="8"/>
      <c r="E412" s="8"/>
      <c r="F412" s="8"/>
      <c r="G412" s="8"/>
    </row>
    <row r="413" ht="15.75" customHeight="1">
      <c r="A413" s="8"/>
      <c r="B413" s="8"/>
      <c r="C413" s="8"/>
      <c r="D413" s="8"/>
      <c r="E413" s="8"/>
      <c r="F413" s="8"/>
      <c r="G413" s="8"/>
    </row>
    <row r="414" ht="15.75" customHeight="1">
      <c r="A414" s="8"/>
      <c r="B414" s="8"/>
      <c r="C414" s="8"/>
      <c r="D414" s="8"/>
      <c r="E414" s="8"/>
      <c r="F414" s="8"/>
      <c r="G414" s="8"/>
    </row>
    <row r="415" ht="15.75" customHeight="1">
      <c r="A415" s="8"/>
      <c r="B415" s="8"/>
      <c r="C415" s="8"/>
      <c r="D415" s="8"/>
      <c r="E415" s="8"/>
      <c r="F415" s="8"/>
      <c r="G415" s="8"/>
    </row>
    <row r="416" ht="15.75" customHeight="1">
      <c r="A416" s="8"/>
      <c r="B416" s="8"/>
      <c r="C416" s="8"/>
      <c r="D416" s="8"/>
      <c r="E416" s="8"/>
      <c r="F416" s="8"/>
      <c r="G416" s="8"/>
    </row>
    <row r="417" ht="15.75" customHeight="1">
      <c r="A417" s="8"/>
      <c r="B417" s="8"/>
      <c r="C417" s="8"/>
      <c r="D417" s="8"/>
      <c r="E417" s="8"/>
      <c r="F417" s="8"/>
      <c r="G417" s="8"/>
    </row>
    <row r="418" ht="15.75" customHeight="1">
      <c r="A418" s="8"/>
      <c r="B418" s="8"/>
      <c r="C418" s="8"/>
      <c r="D418" s="8"/>
      <c r="E418" s="8"/>
      <c r="F418" s="8"/>
      <c r="G418" s="8"/>
    </row>
    <row r="419" ht="15.75" customHeight="1">
      <c r="A419" s="8"/>
      <c r="B419" s="8"/>
      <c r="C419" s="8"/>
      <c r="D419" s="8"/>
      <c r="E419" s="8"/>
      <c r="F419" s="8"/>
      <c r="G419" s="8"/>
    </row>
    <row r="420" ht="15.75" customHeight="1">
      <c r="A420" s="8"/>
      <c r="B420" s="8"/>
      <c r="C420" s="8"/>
      <c r="D420" s="8"/>
      <c r="E420" s="8"/>
      <c r="F420" s="8"/>
      <c r="G420" s="8"/>
    </row>
    <row r="421" ht="15.75" customHeight="1">
      <c r="A421" s="8"/>
      <c r="B421" s="8"/>
      <c r="C421" s="8"/>
      <c r="D421" s="8"/>
      <c r="E421" s="8"/>
      <c r="F421" s="8"/>
      <c r="G421" s="8"/>
    </row>
    <row r="422" ht="15.75" customHeight="1">
      <c r="A422" s="8"/>
      <c r="B422" s="8"/>
      <c r="C422" s="8"/>
      <c r="D422" s="8"/>
      <c r="E422" s="8"/>
      <c r="F422" s="8"/>
      <c r="G422" s="8"/>
    </row>
    <row r="423" ht="15.75" customHeight="1">
      <c r="A423" s="8"/>
      <c r="B423" s="8"/>
      <c r="C423" s="8"/>
      <c r="D423" s="8"/>
      <c r="E423" s="8"/>
      <c r="F423" s="8"/>
      <c r="G423" s="8"/>
    </row>
    <row r="424" ht="15.75" customHeight="1">
      <c r="A424" s="8"/>
      <c r="B424" s="8"/>
      <c r="C424" s="8"/>
      <c r="D424" s="8"/>
      <c r="E424" s="8"/>
      <c r="F424" s="8"/>
      <c r="G424" s="8"/>
    </row>
    <row r="425" ht="15.75" customHeight="1">
      <c r="A425" s="8"/>
      <c r="B425" s="8"/>
      <c r="C425" s="8"/>
      <c r="D425" s="8"/>
      <c r="E425" s="8"/>
      <c r="F425" s="8"/>
      <c r="G425" s="8"/>
    </row>
    <row r="426" ht="15.75" customHeight="1">
      <c r="A426" s="8"/>
      <c r="B426" s="8"/>
      <c r="C426" s="8"/>
      <c r="D426" s="8"/>
      <c r="E426" s="8"/>
      <c r="F426" s="8"/>
      <c r="G426" s="8"/>
    </row>
    <row r="427" ht="15.75" customHeight="1">
      <c r="A427" s="8"/>
      <c r="B427" s="8"/>
      <c r="C427" s="8"/>
      <c r="D427" s="8"/>
      <c r="E427" s="8"/>
      <c r="F427" s="8"/>
      <c r="G427" s="8"/>
    </row>
    <row r="428" ht="15.75" customHeight="1">
      <c r="A428" s="8"/>
      <c r="B428" s="8"/>
      <c r="C428" s="8"/>
      <c r="D428" s="8"/>
      <c r="E428" s="8"/>
      <c r="F428" s="8"/>
      <c r="G428" s="8"/>
    </row>
    <row r="429" ht="15.75" customHeight="1">
      <c r="A429" s="8"/>
      <c r="B429" s="8"/>
      <c r="C429" s="8"/>
      <c r="D429" s="8"/>
      <c r="E429" s="8"/>
      <c r="F429" s="8"/>
      <c r="G429" s="8"/>
    </row>
    <row r="430" ht="15.75" customHeight="1">
      <c r="A430" s="8"/>
      <c r="B430" s="8"/>
      <c r="C430" s="8"/>
      <c r="D430" s="8"/>
      <c r="E430" s="8"/>
      <c r="F430" s="8"/>
      <c r="G430" s="8"/>
    </row>
    <row r="431" ht="15.75" customHeight="1">
      <c r="A431" s="8"/>
      <c r="B431" s="8"/>
      <c r="C431" s="8"/>
      <c r="D431" s="8"/>
      <c r="E431" s="8"/>
      <c r="F431" s="8"/>
      <c r="G431" s="8"/>
    </row>
    <row r="432" ht="15.75" customHeight="1">
      <c r="A432" s="8"/>
      <c r="B432" s="8"/>
      <c r="C432" s="8"/>
      <c r="D432" s="8"/>
      <c r="E432" s="8"/>
      <c r="F432" s="8"/>
      <c r="G432" s="8"/>
    </row>
    <row r="433" ht="15.75" customHeight="1">
      <c r="A433" s="8"/>
      <c r="B433" s="8"/>
      <c r="C433" s="8"/>
      <c r="D433" s="8"/>
      <c r="E433" s="8"/>
      <c r="F433" s="8"/>
      <c r="G433" s="8"/>
    </row>
    <row r="434" ht="15.75" customHeight="1">
      <c r="A434" s="8"/>
      <c r="B434" s="8"/>
      <c r="C434" s="8"/>
      <c r="D434" s="8"/>
      <c r="E434" s="8"/>
      <c r="F434" s="8"/>
      <c r="G434" s="8"/>
    </row>
    <row r="435" ht="15.75" customHeight="1">
      <c r="A435" s="8"/>
      <c r="B435" s="8"/>
      <c r="C435" s="8"/>
      <c r="D435" s="8"/>
      <c r="E435" s="8"/>
      <c r="F435" s="8"/>
      <c r="G435" s="8"/>
    </row>
    <row r="436" ht="15.75" customHeight="1">
      <c r="A436" s="8"/>
      <c r="B436" s="8"/>
      <c r="C436" s="8"/>
      <c r="D436" s="8"/>
      <c r="E436" s="8"/>
      <c r="F436" s="8"/>
      <c r="G436" s="8"/>
    </row>
    <row r="437" ht="15.75" customHeight="1">
      <c r="A437" s="8"/>
      <c r="B437" s="8"/>
      <c r="C437" s="8"/>
      <c r="D437" s="8"/>
      <c r="E437" s="8"/>
      <c r="F437" s="8"/>
      <c r="G437" s="8"/>
    </row>
    <row r="438" ht="15.75" customHeight="1">
      <c r="A438" s="8"/>
      <c r="B438" s="8"/>
      <c r="C438" s="8"/>
      <c r="D438" s="8"/>
      <c r="E438" s="8"/>
      <c r="F438" s="8"/>
      <c r="G438" s="8"/>
    </row>
    <row r="439" ht="15.75" customHeight="1">
      <c r="A439" s="8"/>
      <c r="B439" s="8"/>
      <c r="C439" s="8"/>
      <c r="D439" s="8"/>
      <c r="E439" s="8"/>
      <c r="F439" s="8"/>
      <c r="G439" s="8"/>
    </row>
    <row r="440" ht="15.75" customHeight="1">
      <c r="A440" s="8"/>
      <c r="B440" s="8"/>
      <c r="C440" s="8"/>
      <c r="D440" s="8"/>
      <c r="E440" s="8"/>
      <c r="F440" s="8"/>
      <c r="G440" s="8"/>
    </row>
    <row r="441" ht="15.75" customHeight="1">
      <c r="A441" s="8"/>
      <c r="B441" s="8"/>
      <c r="C441" s="8"/>
      <c r="D441" s="8"/>
      <c r="E441" s="8"/>
      <c r="F441" s="8"/>
      <c r="G441" s="8"/>
    </row>
    <row r="442" ht="15.75" customHeight="1">
      <c r="A442" s="8"/>
      <c r="B442" s="8"/>
      <c r="C442" s="8"/>
      <c r="D442" s="8"/>
      <c r="E442" s="8"/>
      <c r="F442" s="8"/>
      <c r="G442" s="8"/>
    </row>
    <row r="443" ht="15.75" customHeight="1">
      <c r="A443" s="8"/>
      <c r="B443" s="8"/>
      <c r="C443" s="8"/>
      <c r="D443" s="8"/>
      <c r="E443" s="8"/>
      <c r="F443" s="8"/>
      <c r="G443" s="8"/>
    </row>
    <row r="444" ht="15.75" customHeight="1">
      <c r="A444" s="8"/>
      <c r="B444" s="8"/>
      <c r="C444" s="8"/>
      <c r="D444" s="8"/>
      <c r="E444" s="8"/>
      <c r="F444" s="8"/>
      <c r="G444" s="8"/>
    </row>
    <row r="445" ht="15.75" customHeight="1">
      <c r="A445" s="8"/>
      <c r="B445" s="8"/>
      <c r="C445" s="8"/>
      <c r="D445" s="8"/>
      <c r="E445" s="8"/>
      <c r="F445" s="8"/>
      <c r="G445" s="8"/>
    </row>
    <row r="446" ht="15.75" customHeight="1">
      <c r="A446" s="8"/>
      <c r="B446" s="8"/>
      <c r="C446" s="8"/>
      <c r="D446" s="8"/>
      <c r="E446" s="8"/>
      <c r="F446" s="8"/>
      <c r="G446" s="8"/>
    </row>
    <row r="447" ht="15.75" customHeight="1">
      <c r="A447" s="8"/>
      <c r="B447" s="8"/>
      <c r="C447" s="8"/>
      <c r="D447" s="8"/>
      <c r="E447" s="8"/>
      <c r="F447" s="8"/>
      <c r="G447" s="8"/>
    </row>
    <row r="448" ht="15.75" customHeight="1">
      <c r="A448" s="8"/>
      <c r="B448" s="8"/>
      <c r="C448" s="8"/>
      <c r="D448" s="8"/>
      <c r="E448" s="8"/>
      <c r="F448" s="8"/>
      <c r="G448" s="8"/>
    </row>
    <row r="449" ht="15.75" customHeight="1">
      <c r="A449" s="8"/>
      <c r="B449" s="8"/>
      <c r="C449" s="8"/>
      <c r="D449" s="8"/>
      <c r="E449" s="8"/>
      <c r="F449" s="8"/>
      <c r="G449" s="8"/>
    </row>
    <row r="450" ht="15.75" customHeight="1">
      <c r="A450" s="8"/>
      <c r="B450" s="8"/>
      <c r="C450" s="8"/>
      <c r="D450" s="8"/>
      <c r="E450" s="8"/>
      <c r="F450" s="8"/>
      <c r="G450" s="8"/>
    </row>
    <row r="451" ht="15.75" customHeight="1">
      <c r="A451" s="8"/>
      <c r="B451" s="8"/>
      <c r="C451" s="8"/>
      <c r="D451" s="8"/>
      <c r="E451" s="8"/>
      <c r="F451" s="8"/>
      <c r="G451" s="8"/>
    </row>
    <row r="452" ht="15.75" customHeight="1">
      <c r="A452" s="8"/>
      <c r="B452" s="8"/>
      <c r="C452" s="8"/>
      <c r="D452" s="8"/>
      <c r="E452" s="8"/>
      <c r="F452" s="8"/>
      <c r="G452" s="8"/>
    </row>
    <row r="453" ht="15.75" customHeight="1">
      <c r="A453" s="8"/>
      <c r="B453" s="8"/>
      <c r="C453" s="8"/>
      <c r="D453" s="8"/>
      <c r="E453" s="8"/>
      <c r="F453" s="8"/>
      <c r="G453" s="8"/>
    </row>
    <row r="454" ht="15.75" customHeight="1">
      <c r="A454" s="8"/>
      <c r="B454" s="8"/>
      <c r="C454" s="8"/>
      <c r="D454" s="8"/>
      <c r="E454" s="8"/>
      <c r="F454" s="8"/>
      <c r="G454" s="8"/>
    </row>
    <row r="455" ht="15.75" customHeight="1">
      <c r="A455" s="8"/>
      <c r="B455" s="8"/>
      <c r="C455" s="8"/>
      <c r="D455" s="8"/>
      <c r="E455" s="8"/>
      <c r="F455" s="8"/>
      <c r="G455" s="8"/>
    </row>
    <row r="456" ht="15.75" customHeight="1">
      <c r="A456" s="8"/>
      <c r="B456" s="8"/>
      <c r="C456" s="8"/>
      <c r="D456" s="8"/>
      <c r="E456" s="8"/>
      <c r="F456" s="8"/>
      <c r="G456" s="8"/>
    </row>
    <row r="457" ht="15.75" customHeight="1">
      <c r="A457" s="8"/>
      <c r="B457" s="8"/>
      <c r="C457" s="8"/>
      <c r="D457" s="8"/>
      <c r="E457" s="8"/>
      <c r="F457" s="8"/>
      <c r="G457" s="8"/>
    </row>
    <row r="458" ht="15.75" customHeight="1">
      <c r="A458" s="8"/>
      <c r="B458" s="8"/>
      <c r="C458" s="8"/>
      <c r="D458" s="8"/>
      <c r="E458" s="8"/>
      <c r="F458" s="8"/>
      <c r="G458" s="8"/>
    </row>
    <row r="459" ht="15.75" customHeight="1">
      <c r="A459" s="8"/>
      <c r="B459" s="8"/>
      <c r="C459" s="8"/>
      <c r="D459" s="8"/>
      <c r="E459" s="8"/>
      <c r="F459" s="8"/>
      <c r="G459" s="8"/>
    </row>
    <row r="460" ht="15.75" customHeight="1">
      <c r="A460" s="8"/>
      <c r="B460" s="8"/>
      <c r="C460" s="8"/>
      <c r="D460" s="8"/>
      <c r="E460" s="8"/>
      <c r="F460" s="8"/>
      <c r="G460" s="8"/>
    </row>
    <row r="461" ht="15.75" customHeight="1">
      <c r="A461" s="8"/>
      <c r="B461" s="8"/>
      <c r="C461" s="8"/>
      <c r="D461" s="8"/>
      <c r="E461" s="8"/>
      <c r="F461" s="8"/>
      <c r="G461" s="8"/>
    </row>
    <row r="462" ht="15.75" customHeight="1">
      <c r="A462" s="8"/>
      <c r="B462" s="8"/>
      <c r="C462" s="8"/>
      <c r="D462" s="8"/>
      <c r="E462" s="8"/>
      <c r="F462" s="8"/>
      <c r="G462" s="8"/>
    </row>
    <row r="463" ht="15.75" customHeight="1">
      <c r="A463" s="8"/>
      <c r="B463" s="8"/>
      <c r="C463" s="8"/>
      <c r="D463" s="8"/>
      <c r="E463" s="8"/>
      <c r="F463" s="8"/>
      <c r="G463" s="8"/>
    </row>
    <row r="464" ht="15.75" customHeight="1">
      <c r="A464" s="8"/>
      <c r="B464" s="8"/>
      <c r="C464" s="8"/>
      <c r="D464" s="8"/>
      <c r="E464" s="8"/>
      <c r="F464" s="8"/>
      <c r="G464" s="8"/>
    </row>
    <row r="465" ht="15.75" customHeight="1">
      <c r="A465" s="8"/>
      <c r="B465" s="8"/>
      <c r="C465" s="8"/>
      <c r="D465" s="8"/>
      <c r="E465" s="8"/>
      <c r="F465" s="8"/>
      <c r="G465" s="8"/>
    </row>
    <row r="466" ht="15.75" customHeight="1">
      <c r="A466" s="8"/>
      <c r="B466" s="8"/>
      <c r="C466" s="8"/>
      <c r="D466" s="8"/>
      <c r="E466" s="8"/>
      <c r="F466" s="8"/>
      <c r="G466" s="8"/>
    </row>
    <row r="467" ht="15.75" customHeight="1">
      <c r="A467" s="8"/>
      <c r="B467" s="8"/>
      <c r="C467" s="8"/>
      <c r="D467" s="8"/>
      <c r="E467" s="8"/>
      <c r="F467" s="8"/>
      <c r="G467" s="8"/>
    </row>
    <row r="468" ht="15.75" customHeight="1">
      <c r="A468" s="8"/>
      <c r="B468" s="8"/>
      <c r="C468" s="8"/>
      <c r="D468" s="8"/>
      <c r="E468" s="8"/>
      <c r="F468" s="8"/>
      <c r="G468" s="8"/>
    </row>
    <row r="469" ht="15.75" customHeight="1">
      <c r="A469" s="8"/>
      <c r="B469" s="8"/>
      <c r="C469" s="8"/>
      <c r="D469" s="8"/>
      <c r="E469" s="8"/>
      <c r="F469" s="8"/>
      <c r="G469" s="8"/>
    </row>
    <row r="470" ht="15.75" customHeight="1">
      <c r="A470" s="8"/>
      <c r="B470" s="8"/>
      <c r="C470" s="8"/>
      <c r="D470" s="8"/>
      <c r="E470" s="8"/>
      <c r="F470" s="8"/>
      <c r="G470" s="8"/>
    </row>
    <row r="471" ht="15.75" customHeight="1">
      <c r="A471" s="8"/>
      <c r="B471" s="8"/>
      <c r="C471" s="8"/>
      <c r="D471" s="8"/>
      <c r="E471" s="8"/>
      <c r="F471" s="8"/>
      <c r="G471" s="8"/>
    </row>
    <row r="472" ht="15.75" customHeight="1">
      <c r="A472" s="8"/>
      <c r="B472" s="8"/>
      <c r="C472" s="8"/>
      <c r="D472" s="8"/>
      <c r="E472" s="8"/>
      <c r="F472" s="8"/>
      <c r="G472" s="8"/>
    </row>
    <row r="473" ht="15.75" customHeight="1">
      <c r="A473" s="8"/>
      <c r="B473" s="8"/>
      <c r="C473" s="8"/>
      <c r="D473" s="8"/>
      <c r="E473" s="8"/>
      <c r="F473" s="8"/>
      <c r="G473" s="8"/>
    </row>
    <row r="474" ht="15.75" customHeight="1">
      <c r="A474" s="8"/>
      <c r="B474" s="8"/>
      <c r="C474" s="8"/>
      <c r="D474" s="8"/>
      <c r="E474" s="8"/>
      <c r="F474" s="8"/>
      <c r="G474" s="8"/>
    </row>
    <row r="475" ht="15.75" customHeight="1">
      <c r="A475" s="8"/>
      <c r="B475" s="8"/>
      <c r="C475" s="8"/>
      <c r="D475" s="8"/>
      <c r="E475" s="8"/>
      <c r="F475" s="8"/>
      <c r="G475" s="8"/>
    </row>
    <row r="476" ht="15.75" customHeight="1">
      <c r="A476" s="8"/>
      <c r="B476" s="8"/>
      <c r="C476" s="8"/>
      <c r="D476" s="8"/>
      <c r="E476" s="8"/>
      <c r="F476" s="8"/>
      <c r="G476" s="8"/>
    </row>
    <row r="477" ht="15.75" customHeight="1">
      <c r="A477" s="8"/>
      <c r="B477" s="8"/>
      <c r="C477" s="8"/>
      <c r="D477" s="8"/>
      <c r="E477" s="8"/>
      <c r="F477" s="8"/>
      <c r="G477" s="8"/>
    </row>
    <row r="478" ht="15.75" customHeight="1">
      <c r="A478" s="8"/>
      <c r="B478" s="8"/>
      <c r="C478" s="8"/>
      <c r="D478" s="8"/>
      <c r="E478" s="8"/>
      <c r="F478" s="8"/>
      <c r="G478" s="8"/>
    </row>
    <row r="479" ht="15.75" customHeight="1">
      <c r="A479" s="8"/>
      <c r="B479" s="8"/>
      <c r="C479" s="8"/>
      <c r="D479" s="8"/>
      <c r="E479" s="8"/>
      <c r="F479" s="8"/>
      <c r="G479" s="8"/>
    </row>
    <row r="480" ht="15.75" customHeight="1">
      <c r="A480" s="8"/>
      <c r="B480" s="8"/>
      <c r="C480" s="8"/>
      <c r="D480" s="8"/>
      <c r="E480" s="8"/>
      <c r="F480" s="8"/>
      <c r="G480" s="8"/>
    </row>
    <row r="481" ht="15.75" customHeight="1">
      <c r="A481" s="8"/>
      <c r="B481" s="8"/>
      <c r="C481" s="8"/>
      <c r="D481" s="8"/>
      <c r="E481" s="8"/>
      <c r="F481" s="8"/>
      <c r="G481" s="8"/>
    </row>
    <row r="482" ht="15.75" customHeight="1">
      <c r="A482" s="8"/>
      <c r="B482" s="8"/>
      <c r="C482" s="8"/>
      <c r="D482" s="8"/>
      <c r="E482" s="8"/>
      <c r="F482" s="8"/>
      <c r="G482" s="8"/>
    </row>
    <row r="483" ht="15.75" customHeight="1">
      <c r="A483" s="8"/>
      <c r="B483" s="8"/>
      <c r="C483" s="8"/>
      <c r="D483" s="8"/>
      <c r="E483" s="8"/>
      <c r="F483" s="8"/>
      <c r="G483" s="8"/>
    </row>
    <row r="484" ht="15.75" customHeight="1">
      <c r="A484" s="8"/>
      <c r="B484" s="8"/>
      <c r="C484" s="8"/>
      <c r="D484" s="8"/>
      <c r="E484" s="8"/>
      <c r="F484" s="8"/>
      <c r="G484" s="8"/>
    </row>
    <row r="485" ht="15.75" customHeight="1">
      <c r="A485" s="8"/>
      <c r="B485" s="8"/>
      <c r="C485" s="8"/>
      <c r="D485" s="8"/>
      <c r="E485" s="8"/>
      <c r="F485" s="8"/>
      <c r="G485" s="8"/>
    </row>
    <row r="486" ht="15.75" customHeight="1">
      <c r="A486" s="8"/>
      <c r="B486" s="8"/>
      <c r="C486" s="8"/>
      <c r="D486" s="8"/>
      <c r="E486" s="8"/>
      <c r="F486" s="8"/>
      <c r="G486" s="8"/>
    </row>
    <row r="487" ht="15.75" customHeight="1">
      <c r="A487" s="8"/>
      <c r="B487" s="8"/>
      <c r="C487" s="8"/>
      <c r="D487" s="8"/>
      <c r="E487" s="8"/>
      <c r="F487" s="8"/>
      <c r="G487" s="8"/>
    </row>
    <row r="488" ht="15.75" customHeight="1">
      <c r="A488" s="8"/>
      <c r="B488" s="8"/>
      <c r="C488" s="8"/>
      <c r="D488" s="8"/>
      <c r="E488" s="8"/>
      <c r="F488" s="8"/>
      <c r="G488" s="8"/>
    </row>
    <row r="489" ht="15.75" customHeight="1">
      <c r="A489" s="8"/>
      <c r="B489" s="8"/>
      <c r="C489" s="8"/>
      <c r="D489" s="8"/>
      <c r="E489" s="8"/>
      <c r="F489" s="8"/>
      <c r="G489" s="8"/>
    </row>
    <row r="490" ht="15.75" customHeight="1">
      <c r="A490" s="8"/>
      <c r="B490" s="8"/>
      <c r="C490" s="8"/>
      <c r="D490" s="8"/>
      <c r="E490" s="8"/>
      <c r="F490" s="8"/>
      <c r="G490" s="8"/>
    </row>
    <row r="491" ht="15.75" customHeight="1">
      <c r="A491" s="8"/>
      <c r="B491" s="8"/>
      <c r="C491" s="8"/>
      <c r="D491" s="8"/>
      <c r="E491" s="8"/>
      <c r="F491" s="8"/>
      <c r="G491" s="8"/>
    </row>
    <row r="492" ht="15.75" customHeight="1">
      <c r="A492" s="8"/>
      <c r="B492" s="8"/>
      <c r="C492" s="8"/>
      <c r="D492" s="8"/>
      <c r="E492" s="8"/>
      <c r="F492" s="8"/>
      <c r="G492" s="8"/>
    </row>
    <row r="493" ht="15.75" customHeight="1">
      <c r="A493" s="8"/>
      <c r="B493" s="8"/>
      <c r="C493" s="8"/>
      <c r="D493" s="8"/>
      <c r="E493" s="8"/>
      <c r="F493" s="8"/>
      <c r="G493" s="8"/>
    </row>
    <row r="494" ht="15.75" customHeight="1">
      <c r="A494" s="8"/>
      <c r="B494" s="8"/>
      <c r="C494" s="8"/>
      <c r="D494" s="8"/>
      <c r="E494" s="8"/>
      <c r="F494" s="8"/>
      <c r="G494" s="8"/>
    </row>
    <row r="495" ht="15.75" customHeight="1">
      <c r="A495" s="8"/>
      <c r="B495" s="8"/>
      <c r="C495" s="8"/>
      <c r="D495" s="8"/>
      <c r="E495" s="8"/>
      <c r="F495" s="8"/>
      <c r="G495" s="8"/>
    </row>
    <row r="496" ht="15.75" customHeight="1">
      <c r="A496" s="8"/>
      <c r="B496" s="8"/>
      <c r="C496" s="8"/>
      <c r="D496" s="8"/>
      <c r="E496" s="8"/>
      <c r="F496" s="8"/>
      <c r="G496" s="8"/>
    </row>
    <row r="497" ht="15.75" customHeight="1">
      <c r="A497" s="8"/>
      <c r="B497" s="8"/>
      <c r="C497" s="8"/>
      <c r="D497" s="8"/>
      <c r="E497" s="8"/>
      <c r="F497" s="8"/>
      <c r="G497" s="8"/>
    </row>
    <row r="498" ht="15.75" customHeight="1">
      <c r="A498" s="8"/>
      <c r="B498" s="8"/>
      <c r="C498" s="8"/>
      <c r="D498" s="8"/>
      <c r="E498" s="8"/>
      <c r="F498" s="8"/>
      <c r="G498" s="8"/>
    </row>
    <row r="499" ht="15.75" customHeight="1">
      <c r="A499" s="8"/>
      <c r="B499" s="8"/>
      <c r="C499" s="8"/>
      <c r="D499" s="8"/>
      <c r="E499" s="8"/>
      <c r="F499" s="8"/>
      <c r="G499" s="8"/>
    </row>
    <row r="500" ht="15.75" customHeight="1">
      <c r="A500" s="8"/>
      <c r="B500" s="8"/>
      <c r="C500" s="8"/>
      <c r="D500" s="8"/>
      <c r="E500" s="8"/>
      <c r="F500" s="8"/>
      <c r="G500" s="8"/>
    </row>
    <row r="501" ht="15.75" customHeight="1">
      <c r="A501" s="8"/>
      <c r="B501" s="8"/>
      <c r="C501" s="8"/>
      <c r="D501" s="8"/>
      <c r="E501" s="8"/>
      <c r="F501" s="8"/>
      <c r="G501" s="8"/>
    </row>
    <row r="502" ht="15.75" customHeight="1">
      <c r="A502" s="8"/>
      <c r="B502" s="8"/>
      <c r="C502" s="8"/>
      <c r="D502" s="8"/>
      <c r="E502" s="8"/>
      <c r="F502" s="8"/>
      <c r="G502" s="8"/>
    </row>
    <row r="503" ht="15.75" customHeight="1">
      <c r="A503" s="8"/>
      <c r="B503" s="8"/>
      <c r="C503" s="8"/>
      <c r="D503" s="8"/>
      <c r="E503" s="8"/>
      <c r="F503" s="8"/>
      <c r="G503" s="8"/>
    </row>
    <row r="504" ht="15.75" customHeight="1">
      <c r="A504" s="8"/>
      <c r="B504" s="8"/>
      <c r="C504" s="8"/>
      <c r="D504" s="8"/>
      <c r="E504" s="8"/>
      <c r="F504" s="8"/>
      <c r="G504" s="8"/>
    </row>
    <row r="505" ht="15.75" customHeight="1">
      <c r="A505" s="8"/>
      <c r="B505" s="8"/>
      <c r="C505" s="8"/>
      <c r="D505" s="8"/>
      <c r="E505" s="8"/>
      <c r="F505" s="8"/>
      <c r="G505" s="8"/>
    </row>
    <row r="506" ht="15.75" customHeight="1">
      <c r="A506" s="8"/>
      <c r="B506" s="8"/>
      <c r="C506" s="8"/>
      <c r="D506" s="8"/>
      <c r="E506" s="8"/>
      <c r="F506" s="8"/>
      <c r="G506" s="8"/>
    </row>
    <row r="507" ht="15.75" customHeight="1">
      <c r="A507" s="8"/>
      <c r="B507" s="8"/>
      <c r="C507" s="8"/>
      <c r="D507" s="8"/>
      <c r="E507" s="8"/>
      <c r="F507" s="8"/>
      <c r="G507" s="8"/>
    </row>
    <row r="508" ht="15.75" customHeight="1">
      <c r="A508" s="8"/>
      <c r="B508" s="8"/>
      <c r="C508" s="8"/>
      <c r="D508" s="8"/>
      <c r="E508" s="8"/>
      <c r="F508" s="8"/>
      <c r="G508" s="8"/>
    </row>
    <row r="509" ht="15.75" customHeight="1">
      <c r="A509" s="8"/>
      <c r="B509" s="8"/>
      <c r="C509" s="8"/>
      <c r="D509" s="8"/>
      <c r="E509" s="8"/>
      <c r="F509" s="8"/>
      <c r="G509" s="8"/>
    </row>
    <row r="510" ht="15.75" customHeight="1">
      <c r="A510" s="8"/>
      <c r="B510" s="8"/>
      <c r="C510" s="8"/>
      <c r="D510" s="8"/>
      <c r="E510" s="8"/>
      <c r="F510" s="8"/>
      <c r="G510" s="8"/>
    </row>
    <row r="511" ht="15.75" customHeight="1">
      <c r="A511" s="8"/>
      <c r="B511" s="8"/>
      <c r="C511" s="8"/>
      <c r="D511" s="8"/>
      <c r="E511" s="8"/>
      <c r="F511" s="8"/>
      <c r="G511" s="8"/>
    </row>
    <row r="512" ht="15.75" customHeight="1">
      <c r="A512" s="8"/>
      <c r="B512" s="8"/>
      <c r="C512" s="8"/>
      <c r="D512" s="8"/>
      <c r="E512" s="8"/>
      <c r="F512" s="8"/>
      <c r="G512" s="8"/>
    </row>
    <row r="513" ht="15.75" customHeight="1">
      <c r="A513" s="8"/>
      <c r="B513" s="8"/>
      <c r="C513" s="8"/>
      <c r="D513" s="8"/>
      <c r="E513" s="8"/>
      <c r="F513" s="8"/>
      <c r="G513" s="8"/>
    </row>
    <row r="514" ht="15.75" customHeight="1">
      <c r="A514" s="8"/>
      <c r="B514" s="8"/>
      <c r="C514" s="8"/>
      <c r="D514" s="8"/>
      <c r="E514" s="8"/>
      <c r="F514" s="8"/>
      <c r="G514" s="8"/>
    </row>
    <row r="515" ht="15.75" customHeight="1">
      <c r="A515" s="8"/>
      <c r="B515" s="8"/>
      <c r="C515" s="8"/>
      <c r="D515" s="8"/>
      <c r="E515" s="8"/>
      <c r="F515" s="8"/>
      <c r="G515" s="8"/>
    </row>
    <row r="516" ht="15.75" customHeight="1">
      <c r="A516" s="8"/>
      <c r="B516" s="8"/>
      <c r="C516" s="8"/>
      <c r="D516" s="8"/>
      <c r="E516" s="8"/>
      <c r="F516" s="8"/>
      <c r="G516" s="8"/>
    </row>
    <row r="517" ht="15.75" customHeight="1">
      <c r="A517" s="8"/>
      <c r="B517" s="8"/>
      <c r="C517" s="8"/>
      <c r="D517" s="8"/>
      <c r="E517" s="8"/>
      <c r="F517" s="8"/>
      <c r="G517" s="8"/>
    </row>
    <row r="518" ht="15.75" customHeight="1">
      <c r="A518" s="8"/>
      <c r="B518" s="8"/>
      <c r="C518" s="8"/>
      <c r="D518" s="8"/>
      <c r="E518" s="8"/>
      <c r="F518" s="8"/>
      <c r="G518" s="8"/>
    </row>
    <row r="519" ht="15.75" customHeight="1">
      <c r="A519" s="8"/>
      <c r="B519" s="8"/>
      <c r="C519" s="8"/>
      <c r="D519" s="8"/>
      <c r="E519" s="8"/>
      <c r="F519" s="8"/>
      <c r="G519" s="8"/>
    </row>
    <row r="520" ht="15.75" customHeight="1">
      <c r="A520" s="8"/>
      <c r="B520" s="8"/>
      <c r="C520" s="8"/>
      <c r="D520" s="8"/>
      <c r="E520" s="8"/>
      <c r="F520" s="8"/>
      <c r="G520" s="8"/>
    </row>
    <row r="521" ht="15.75" customHeight="1">
      <c r="A521" s="8"/>
      <c r="B521" s="8"/>
      <c r="C521" s="8"/>
      <c r="D521" s="8"/>
      <c r="E521" s="8"/>
      <c r="F521" s="8"/>
      <c r="G521" s="8"/>
    </row>
    <row r="522" ht="15.75" customHeight="1">
      <c r="A522" s="8"/>
      <c r="B522" s="8"/>
      <c r="C522" s="8"/>
      <c r="D522" s="8"/>
      <c r="E522" s="8"/>
      <c r="F522" s="8"/>
      <c r="G522" s="8"/>
    </row>
    <row r="523" ht="15.75" customHeight="1">
      <c r="A523" s="8"/>
      <c r="B523" s="8"/>
      <c r="C523" s="8"/>
      <c r="D523" s="8"/>
      <c r="E523" s="8"/>
      <c r="F523" s="8"/>
      <c r="G523" s="8"/>
    </row>
    <row r="524" ht="15.75" customHeight="1">
      <c r="A524" s="8"/>
      <c r="B524" s="8"/>
      <c r="C524" s="8"/>
      <c r="D524" s="8"/>
      <c r="E524" s="8"/>
      <c r="F524" s="8"/>
      <c r="G524" s="8"/>
    </row>
    <row r="525" ht="15.75" customHeight="1">
      <c r="A525" s="8"/>
      <c r="B525" s="8"/>
      <c r="C525" s="8"/>
      <c r="D525" s="8"/>
      <c r="E525" s="8"/>
      <c r="F525" s="8"/>
      <c r="G525" s="8"/>
    </row>
    <row r="526" ht="15.75" customHeight="1">
      <c r="A526" s="8"/>
      <c r="B526" s="8"/>
      <c r="C526" s="8"/>
      <c r="D526" s="8"/>
      <c r="E526" s="8"/>
      <c r="F526" s="8"/>
      <c r="G526" s="8"/>
    </row>
    <row r="527" ht="15.75" customHeight="1">
      <c r="A527" s="8"/>
      <c r="B527" s="8"/>
      <c r="C527" s="8"/>
      <c r="D527" s="8"/>
      <c r="E527" s="8"/>
      <c r="F527" s="8"/>
      <c r="G527" s="8"/>
    </row>
    <row r="528" ht="15.75" customHeight="1">
      <c r="A528" s="8"/>
      <c r="B528" s="8"/>
      <c r="C528" s="8"/>
      <c r="D528" s="8"/>
      <c r="E528" s="8"/>
      <c r="F528" s="8"/>
      <c r="G528" s="8"/>
    </row>
    <row r="529" ht="15.75" customHeight="1">
      <c r="A529" s="8"/>
      <c r="B529" s="8"/>
      <c r="C529" s="8"/>
      <c r="D529" s="8"/>
      <c r="E529" s="8"/>
      <c r="F529" s="8"/>
      <c r="G529" s="8"/>
    </row>
    <row r="530" ht="15.75" customHeight="1">
      <c r="A530" s="8"/>
      <c r="B530" s="8"/>
      <c r="C530" s="8"/>
      <c r="D530" s="8"/>
      <c r="E530" s="8"/>
      <c r="F530" s="8"/>
      <c r="G530" s="8"/>
    </row>
    <row r="531" ht="15.75" customHeight="1">
      <c r="A531" s="8"/>
      <c r="B531" s="8"/>
      <c r="C531" s="8"/>
      <c r="D531" s="8"/>
      <c r="E531" s="8"/>
      <c r="F531" s="8"/>
      <c r="G531" s="8"/>
    </row>
    <row r="532" ht="15.75" customHeight="1">
      <c r="A532" s="8"/>
      <c r="B532" s="8"/>
      <c r="C532" s="8"/>
      <c r="D532" s="8"/>
      <c r="E532" s="8"/>
      <c r="F532" s="8"/>
      <c r="G532" s="8"/>
    </row>
    <row r="533" ht="15.75" customHeight="1">
      <c r="A533" s="8"/>
      <c r="B533" s="8"/>
      <c r="C533" s="8"/>
      <c r="D533" s="8"/>
      <c r="E533" s="8"/>
      <c r="F533" s="8"/>
      <c r="G533" s="8"/>
    </row>
    <row r="534" ht="15.75" customHeight="1">
      <c r="A534" s="8"/>
      <c r="B534" s="8"/>
      <c r="C534" s="8"/>
      <c r="D534" s="8"/>
      <c r="E534" s="8"/>
      <c r="F534" s="8"/>
      <c r="G534" s="8"/>
    </row>
    <row r="535" ht="15.75" customHeight="1">
      <c r="A535" s="8"/>
      <c r="B535" s="8"/>
      <c r="C535" s="8"/>
      <c r="D535" s="8"/>
      <c r="E535" s="8"/>
      <c r="F535" s="8"/>
      <c r="G535" s="8"/>
    </row>
    <row r="536" ht="15.75" customHeight="1">
      <c r="A536" s="8"/>
      <c r="B536" s="8"/>
      <c r="C536" s="8"/>
      <c r="D536" s="8"/>
      <c r="E536" s="8"/>
      <c r="F536" s="8"/>
      <c r="G536" s="8"/>
    </row>
    <row r="537" ht="15.75" customHeight="1">
      <c r="A537" s="8"/>
      <c r="B537" s="8"/>
      <c r="C537" s="8"/>
      <c r="D537" s="8"/>
      <c r="E537" s="8"/>
      <c r="F537" s="8"/>
      <c r="G537" s="8"/>
    </row>
    <row r="538" ht="15.75" customHeight="1">
      <c r="A538" s="8"/>
      <c r="B538" s="8"/>
      <c r="C538" s="8"/>
      <c r="D538" s="8"/>
      <c r="E538" s="8"/>
      <c r="F538" s="8"/>
      <c r="G538" s="8"/>
    </row>
    <row r="539" ht="15.75" customHeight="1">
      <c r="A539" s="8"/>
      <c r="B539" s="8"/>
      <c r="C539" s="8"/>
      <c r="D539" s="8"/>
      <c r="E539" s="8"/>
      <c r="F539" s="8"/>
      <c r="G539" s="8"/>
    </row>
    <row r="540" ht="15.75" customHeight="1">
      <c r="A540" s="8"/>
      <c r="B540" s="8"/>
      <c r="C540" s="8"/>
      <c r="D540" s="8"/>
      <c r="E540" s="8"/>
      <c r="F540" s="8"/>
      <c r="G540" s="8"/>
    </row>
    <row r="541" ht="15.75" customHeight="1">
      <c r="A541" s="8"/>
      <c r="B541" s="8"/>
      <c r="C541" s="8"/>
      <c r="D541" s="8"/>
      <c r="E541" s="8"/>
      <c r="F541" s="8"/>
      <c r="G541" s="8"/>
    </row>
    <row r="542" ht="15.75" customHeight="1">
      <c r="A542" s="8"/>
      <c r="B542" s="8"/>
      <c r="C542" s="8"/>
      <c r="D542" s="8"/>
      <c r="E542" s="8"/>
      <c r="F542" s="8"/>
      <c r="G542" s="8"/>
    </row>
    <row r="543" ht="15.75" customHeight="1">
      <c r="A543" s="8"/>
      <c r="B543" s="8"/>
      <c r="C543" s="8"/>
      <c r="D543" s="8"/>
      <c r="E543" s="8"/>
      <c r="F543" s="8"/>
      <c r="G543" s="8"/>
    </row>
    <row r="544" ht="15.75" customHeight="1">
      <c r="A544" s="8"/>
      <c r="B544" s="8"/>
      <c r="C544" s="8"/>
      <c r="D544" s="8"/>
      <c r="E544" s="8"/>
      <c r="F544" s="8"/>
      <c r="G544" s="8"/>
    </row>
    <row r="545" ht="15.75" customHeight="1">
      <c r="A545" s="8"/>
      <c r="B545" s="8"/>
      <c r="C545" s="8"/>
      <c r="D545" s="8"/>
      <c r="E545" s="8"/>
      <c r="F545" s="8"/>
      <c r="G545" s="8"/>
    </row>
    <row r="546" ht="15.75" customHeight="1">
      <c r="A546" s="8"/>
      <c r="B546" s="8"/>
      <c r="C546" s="8"/>
      <c r="D546" s="8"/>
      <c r="E546" s="8"/>
      <c r="F546" s="8"/>
      <c r="G546" s="8"/>
    </row>
    <row r="547" ht="15.75" customHeight="1">
      <c r="A547" s="8"/>
      <c r="B547" s="8"/>
      <c r="C547" s="8"/>
      <c r="D547" s="8"/>
      <c r="E547" s="8"/>
      <c r="F547" s="8"/>
      <c r="G547" s="8"/>
    </row>
    <row r="548" ht="15.75" customHeight="1">
      <c r="A548" s="8"/>
      <c r="B548" s="8"/>
      <c r="C548" s="8"/>
      <c r="D548" s="8"/>
      <c r="E548" s="8"/>
      <c r="F548" s="8"/>
      <c r="G548" s="8"/>
    </row>
    <row r="549" ht="15.75" customHeight="1">
      <c r="A549" s="8"/>
      <c r="B549" s="8"/>
      <c r="C549" s="8"/>
      <c r="D549" s="8"/>
      <c r="E549" s="8"/>
      <c r="F549" s="8"/>
      <c r="G549" s="8"/>
    </row>
    <row r="550" ht="15.75" customHeight="1">
      <c r="A550" s="8"/>
      <c r="B550" s="8"/>
      <c r="C550" s="8"/>
      <c r="D550" s="8"/>
      <c r="E550" s="8"/>
      <c r="F550" s="8"/>
      <c r="G550" s="8"/>
    </row>
    <row r="551" ht="15.75" customHeight="1">
      <c r="A551" s="8"/>
      <c r="B551" s="8"/>
      <c r="C551" s="8"/>
      <c r="D551" s="8"/>
      <c r="E551" s="8"/>
      <c r="F551" s="8"/>
      <c r="G551" s="8"/>
    </row>
    <row r="552" ht="15.75" customHeight="1">
      <c r="A552" s="8"/>
      <c r="B552" s="8"/>
      <c r="C552" s="8"/>
      <c r="D552" s="8"/>
      <c r="E552" s="8"/>
      <c r="F552" s="8"/>
      <c r="G552" s="8"/>
    </row>
    <row r="553" ht="15.75" customHeight="1">
      <c r="A553" s="8"/>
      <c r="B553" s="8"/>
      <c r="C553" s="8"/>
      <c r="D553" s="8"/>
      <c r="E553" s="8"/>
      <c r="F553" s="8"/>
      <c r="G553" s="8"/>
    </row>
    <row r="554" ht="15.75" customHeight="1">
      <c r="A554" s="8"/>
      <c r="B554" s="8"/>
      <c r="C554" s="8"/>
      <c r="D554" s="8"/>
      <c r="E554" s="8"/>
      <c r="F554" s="8"/>
      <c r="G554" s="8"/>
    </row>
    <row r="555" ht="15.75" customHeight="1">
      <c r="A555" s="8"/>
      <c r="B555" s="8"/>
      <c r="C555" s="8"/>
      <c r="D555" s="8"/>
      <c r="E555" s="8"/>
      <c r="F555" s="8"/>
      <c r="G555" s="8"/>
    </row>
    <row r="556" ht="15.75" customHeight="1">
      <c r="A556" s="8"/>
      <c r="B556" s="8"/>
      <c r="C556" s="8"/>
      <c r="D556" s="8"/>
      <c r="E556" s="8"/>
      <c r="F556" s="8"/>
      <c r="G556" s="8"/>
    </row>
    <row r="557" ht="15.75" customHeight="1">
      <c r="A557" s="8"/>
      <c r="B557" s="8"/>
      <c r="C557" s="8"/>
      <c r="D557" s="8"/>
      <c r="E557" s="8"/>
      <c r="F557" s="8"/>
      <c r="G557" s="8"/>
    </row>
    <row r="558" ht="15.75" customHeight="1">
      <c r="A558" s="8"/>
      <c r="B558" s="8"/>
      <c r="C558" s="8"/>
      <c r="D558" s="8"/>
      <c r="E558" s="8"/>
      <c r="F558" s="8"/>
      <c r="G558" s="8"/>
    </row>
    <row r="559" ht="15.75" customHeight="1">
      <c r="A559" s="8"/>
      <c r="B559" s="8"/>
      <c r="C559" s="8"/>
      <c r="D559" s="8"/>
      <c r="E559" s="8"/>
      <c r="F559" s="8"/>
      <c r="G559" s="8"/>
    </row>
    <row r="560" ht="15.75" customHeight="1">
      <c r="A560" s="8"/>
      <c r="B560" s="8"/>
      <c r="C560" s="8"/>
      <c r="D560" s="8"/>
      <c r="E560" s="8"/>
      <c r="F560" s="8"/>
      <c r="G560" s="8"/>
    </row>
    <row r="561" ht="15.75" customHeight="1">
      <c r="A561" s="8"/>
      <c r="B561" s="8"/>
      <c r="C561" s="8"/>
      <c r="D561" s="8"/>
      <c r="E561" s="8"/>
      <c r="F561" s="8"/>
      <c r="G561" s="8"/>
    </row>
    <row r="562" ht="15.75" customHeight="1">
      <c r="A562" s="8"/>
      <c r="B562" s="8"/>
      <c r="C562" s="8"/>
      <c r="D562" s="8"/>
      <c r="E562" s="8"/>
      <c r="F562" s="8"/>
      <c r="G562" s="8"/>
    </row>
    <row r="563" ht="15.75" customHeight="1">
      <c r="A563" s="8"/>
      <c r="B563" s="8"/>
      <c r="C563" s="8"/>
      <c r="D563" s="8"/>
      <c r="E563" s="8"/>
      <c r="F563" s="8"/>
      <c r="G563" s="8"/>
    </row>
    <row r="564" ht="15.75" customHeight="1">
      <c r="A564" s="8"/>
      <c r="B564" s="8"/>
      <c r="C564" s="8"/>
      <c r="D564" s="8"/>
      <c r="E564" s="8"/>
      <c r="F564" s="8"/>
      <c r="G564" s="8"/>
    </row>
    <row r="565" ht="15.75" customHeight="1">
      <c r="A565" s="8"/>
      <c r="B565" s="8"/>
      <c r="C565" s="8"/>
      <c r="D565" s="8"/>
      <c r="E565" s="8"/>
      <c r="F565" s="8"/>
      <c r="G565" s="8"/>
    </row>
    <row r="566" ht="15.75" customHeight="1">
      <c r="A566" s="8"/>
      <c r="B566" s="8"/>
      <c r="C566" s="8"/>
      <c r="D566" s="8"/>
      <c r="E566" s="8"/>
      <c r="F566" s="8"/>
      <c r="G566" s="8"/>
    </row>
    <row r="567" ht="15.75" customHeight="1">
      <c r="A567" s="8"/>
      <c r="B567" s="8"/>
      <c r="C567" s="8"/>
      <c r="D567" s="8"/>
      <c r="E567" s="8"/>
      <c r="F567" s="8"/>
      <c r="G567" s="8"/>
    </row>
    <row r="568" ht="15.75" customHeight="1">
      <c r="A568" s="8"/>
      <c r="B568" s="8"/>
      <c r="C568" s="8"/>
      <c r="D568" s="8"/>
      <c r="E568" s="8"/>
      <c r="F568" s="8"/>
      <c r="G568" s="8"/>
    </row>
    <row r="569" ht="15.75" customHeight="1">
      <c r="A569" s="8"/>
      <c r="B569" s="8"/>
      <c r="C569" s="8"/>
      <c r="D569" s="8"/>
      <c r="E569" s="8"/>
      <c r="F569" s="8"/>
      <c r="G569" s="8"/>
    </row>
    <row r="570" ht="15.75" customHeight="1">
      <c r="A570" s="8"/>
      <c r="B570" s="8"/>
      <c r="C570" s="8"/>
      <c r="D570" s="8"/>
      <c r="E570" s="8"/>
      <c r="F570" s="8"/>
      <c r="G570" s="8"/>
    </row>
    <row r="571" ht="15.75" customHeight="1">
      <c r="A571" s="8"/>
      <c r="B571" s="8"/>
      <c r="C571" s="8"/>
      <c r="D571" s="8"/>
      <c r="E571" s="8"/>
      <c r="F571" s="8"/>
      <c r="G571" s="8"/>
    </row>
    <row r="572" ht="15.75" customHeight="1">
      <c r="A572" s="8"/>
      <c r="B572" s="8"/>
      <c r="C572" s="8"/>
      <c r="D572" s="8"/>
      <c r="E572" s="8"/>
      <c r="F572" s="8"/>
      <c r="G572" s="8"/>
    </row>
    <row r="573" ht="15.75" customHeight="1">
      <c r="A573" s="8"/>
      <c r="B573" s="8"/>
      <c r="C573" s="8"/>
      <c r="D573" s="8"/>
      <c r="E573" s="8"/>
      <c r="F573" s="8"/>
      <c r="G573" s="8"/>
    </row>
    <row r="574" ht="15.75" customHeight="1">
      <c r="A574" s="8"/>
      <c r="B574" s="8"/>
      <c r="C574" s="8"/>
      <c r="D574" s="8"/>
      <c r="E574" s="8"/>
      <c r="F574" s="8"/>
      <c r="G574" s="8"/>
    </row>
    <row r="575" ht="15.75" customHeight="1">
      <c r="A575" s="8"/>
      <c r="B575" s="8"/>
      <c r="C575" s="8"/>
      <c r="D575" s="8"/>
      <c r="E575" s="8"/>
      <c r="F575" s="8"/>
      <c r="G575" s="8"/>
    </row>
    <row r="576" ht="15.75" customHeight="1">
      <c r="A576" s="8"/>
      <c r="B576" s="8"/>
      <c r="C576" s="8"/>
      <c r="D576" s="8"/>
      <c r="E576" s="8"/>
      <c r="F576" s="8"/>
      <c r="G576" s="8"/>
    </row>
    <row r="577" ht="15.75" customHeight="1">
      <c r="A577" s="8"/>
      <c r="B577" s="8"/>
      <c r="C577" s="8"/>
      <c r="D577" s="8"/>
      <c r="E577" s="8"/>
      <c r="F577" s="8"/>
      <c r="G577" s="8"/>
    </row>
    <row r="578" ht="15.75" customHeight="1">
      <c r="A578" s="8"/>
      <c r="B578" s="8"/>
      <c r="C578" s="8"/>
      <c r="D578" s="8"/>
      <c r="E578" s="8"/>
      <c r="F578" s="8"/>
      <c r="G578" s="8"/>
    </row>
    <row r="579" ht="15.75" customHeight="1">
      <c r="A579" s="8"/>
      <c r="B579" s="8"/>
      <c r="C579" s="8"/>
      <c r="D579" s="8"/>
      <c r="E579" s="8"/>
      <c r="F579" s="8"/>
      <c r="G579" s="8"/>
    </row>
    <row r="580" ht="15.75" customHeight="1">
      <c r="A580" s="8"/>
      <c r="B580" s="8"/>
      <c r="C580" s="8"/>
      <c r="D580" s="8"/>
      <c r="E580" s="8"/>
      <c r="F580" s="8"/>
      <c r="G580" s="8"/>
    </row>
    <row r="581" ht="15.75" customHeight="1">
      <c r="A581" s="8"/>
      <c r="B581" s="8"/>
      <c r="C581" s="8"/>
      <c r="D581" s="8"/>
      <c r="E581" s="8"/>
      <c r="F581" s="8"/>
      <c r="G581" s="8"/>
    </row>
    <row r="582" ht="15.75" customHeight="1">
      <c r="A582" s="8"/>
      <c r="B582" s="8"/>
      <c r="C582" s="8"/>
      <c r="D582" s="8"/>
      <c r="E582" s="8"/>
      <c r="F582" s="8"/>
      <c r="G582" s="8"/>
    </row>
    <row r="583" ht="15.75" customHeight="1">
      <c r="A583" s="8"/>
      <c r="B583" s="8"/>
      <c r="C583" s="8"/>
      <c r="D583" s="8"/>
      <c r="E583" s="8"/>
      <c r="F583" s="8"/>
      <c r="G583" s="8"/>
    </row>
    <row r="584" ht="15.75" customHeight="1">
      <c r="A584" s="8"/>
      <c r="B584" s="8"/>
      <c r="C584" s="8"/>
      <c r="D584" s="8"/>
      <c r="E584" s="8"/>
      <c r="F584" s="8"/>
      <c r="G584" s="8"/>
    </row>
    <row r="585" ht="15.75" customHeight="1">
      <c r="A585" s="8"/>
      <c r="B585" s="8"/>
      <c r="C585" s="8"/>
      <c r="D585" s="8"/>
      <c r="E585" s="8"/>
      <c r="F585" s="8"/>
      <c r="G585" s="8"/>
    </row>
    <row r="586" ht="15.75" customHeight="1">
      <c r="A586" s="8"/>
      <c r="B586" s="8"/>
      <c r="C586" s="8"/>
      <c r="D586" s="8"/>
      <c r="E586" s="8"/>
      <c r="F586" s="8"/>
      <c r="G586" s="8"/>
    </row>
    <row r="587" ht="15.75" customHeight="1">
      <c r="A587" s="8"/>
      <c r="B587" s="8"/>
      <c r="C587" s="8"/>
      <c r="D587" s="8"/>
      <c r="E587" s="8"/>
      <c r="F587" s="8"/>
      <c r="G587" s="8"/>
    </row>
    <row r="588" ht="15.75" customHeight="1">
      <c r="A588" s="8"/>
      <c r="B588" s="8"/>
      <c r="C588" s="8"/>
      <c r="D588" s="8"/>
      <c r="E588" s="8"/>
      <c r="F588" s="8"/>
      <c r="G588" s="8"/>
    </row>
    <row r="589" ht="15.75" customHeight="1">
      <c r="A589" s="8"/>
      <c r="B589" s="8"/>
      <c r="C589" s="8"/>
      <c r="D589" s="8"/>
      <c r="E589" s="8"/>
      <c r="F589" s="8"/>
      <c r="G589" s="8"/>
    </row>
    <row r="590" ht="15.75" customHeight="1">
      <c r="A590" s="8"/>
      <c r="B590" s="8"/>
      <c r="C590" s="8"/>
      <c r="D590" s="8"/>
      <c r="E590" s="8"/>
      <c r="F590" s="8"/>
      <c r="G590" s="8"/>
    </row>
    <row r="591" ht="15.75" customHeight="1">
      <c r="A591" s="8"/>
      <c r="B591" s="8"/>
      <c r="C591" s="8"/>
      <c r="D591" s="8"/>
      <c r="E591" s="8"/>
      <c r="F591" s="8"/>
      <c r="G591" s="8"/>
    </row>
    <row r="592" ht="15.75" customHeight="1">
      <c r="A592" s="8"/>
      <c r="B592" s="8"/>
      <c r="C592" s="8"/>
      <c r="D592" s="8"/>
      <c r="E592" s="8"/>
      <c r="F592" s="8"/>
      <c r="G592" s="8"/>
    </row>
    <row r="593" ht="15.75" customHeight="1">
      <c r="A593" s="8"/>
      <c r="B593" s="8"/>
      <c r="C593" s="8"/>
      <c r="D593" s="8"/>
      <c r="E593" s="8"/>
      <c r="F593" s="8"/>
      <c r="G593" s="8"/>
    </row>
    <row r="594" ht="15.75" customHeight="1">
      <c r="A594" s="8"/>
      <c r="B594" s="8"/>
      <c r="C594" s="8"/>
      <c r="D594" s="8"/>
      <c r="E594" s="8"/>
      <c r="F594" s="8"/>
      <c r="G594" s="8"/>
    </row>
    <row r="595" ht="15.75" customHeight="1">
      <c r="A595" s="8"/>
      <c r="B595" s="8"/>
      <c r="C595" s="8"/>
      <c r="D595" s="8"/>
      <c r="E595" s="8"/>
      <c r="F595" s="8"/>
      <c r="G595" s="8"/>
    </row>
    <row r="596" ht="15.75" customHeight="1">
      <c r="A596" s="8"/>
      <c r="B596" s="8"/>
      <c r="C596" s="8"/>
      <c r="D596" s="8"/>
      <c r="E596" s="8"/>
      <c r="F596" s="8"/>
      <c r="G596" s="8"/>
    </row>
    <row r="597" ht="15.75" customHeight="1">
      <c r="A597" s="8"/>
      <c r="B597" s="8"/>
      <c r="C597" s="8"/>
      <c r="D597" s="8"/>
      <c r="E597" s="8"/>
      <c r="F597" s="8"/>
      <c r="G597" s="8"/>
    </row>
    <row r="598" ht="15.75" customHeight="1">
      <c r="A598" s="8"/>
      <c r="B598" s="8"/>
      <c r="C598" s="8"/>
      <c r="D598" s="8"/>
      <c r="E598" s="8"/>
      <c r="F598" s="8"/>
      <c r="G598" s="8"/>
    </row>
    <row r="599" ht="15.75" customHeight="1">
      <c r="A599" s="8"/>
      <c r="B599" s="8"/>
      <c r="C599" s="8"/>
      <c r="D599" s="8"/>
      <c r="E599" s="8"/>
      <c r="F599" s="8"/>
      <c r="G599" s="8"/>
    </row>
    <row r="600" ht="15.75" customHeight="1">
      <c r="A600" s="8"/>
      <c r="B600" s="8"/>
      <c r="C600" s="8"/>
      <c r="D600" s="8"/>
      <c r="E600" s="8"/>
      <c r="F600" s="8"/>
      <c r="G600" s="8"/>
    </row>
    <row r="601" ht="15.75" customHeight="1">
      <c r="A601" s="8"/>
      <c r="B601" s="8"/>
      <c r="C601" s="8"/>
      <c r="D601" s="8"/>
      <c r="E601" s="8"/>
      <c r="F601" s="8"/>
      <c r="G601" s="8"/>
    </row>
    <row r="602" ht="15.75" customHeight="1">
      <c r="A602" s="8"/>
      <c r="B602" s="8"/>
      <c r="C602" s="8"/>
      <c r="D602" s="8"/>
      <c r="E602" s="8"/>
      <c r="F602" s="8"/>
      <c r="G602" s="8"/>
    </row>
    <row r="603" ht="15.75" customHeight="1">
      <c r="A603" s="8"/>
      <c r="B603" s="8"/>
      <c r="C603" s="8"/>
      <c r="D603" s="8"/>
      <c r="E603" s="8"/>
      <c r="F603" s="8"/>
      <c r="G603" s="8"/>
    </row>
    <row r="604" ht="15.75" customHeight="1">
      <c r="A604" s="8"/>
      <c r="B604" s="8"/>
      <c r="C604" s="8"/>
      <c r="D604" s="8"/>
      <c r="E604" s="8"/>
      <c r="F604" s="8"/>
      <c r="G604" s="8"/>
    </row>
    <row r="605" ht="15.75" customHeight="1">
      <c r="A605" s="8"/>
      <c r="B605" s="8"/>
      <c r="C605" s="8"/>
      <c r="D605" s="8"/>
      <c r="E605" s="8"/>
      <c r="F605" s="8"/>
      <c r="G605" s="8"/>
    </row>
    <row r="606" ht="15.75" customHeight="1">
      <c r="A606" s="8"/>
      <c r="B606" s="8"/>
      <c r="C606" s="8"/>
      <c r="D606" s="8"/>
      <c r="E606" s="8"/>
      <c r="F606" s="8"/>
      <c r="G606" s="8"/>
    </row>
    <row r="607" ht="15.75" customHeight="1">
      <c r="A607" s="8"/>
      <c r="B607" s="8"/>
      <c r="C607" s="8"/>
      <c r="D607" s="8"/>
      <c r="E607" s="8"/>
      <c r="F607" s="8"/>
      <c r="G607" s="8"/>
    </row>
    <row r="608" ht="15.75" customHeight="1">
      <c r="A608" s="8"/>
      <c r="B608" s="8"/>
      <c r="C608" s="8"/>
      <c r="D608" s="8"/>
      <c r="E608" s="8"/>
      <c r="F608" s="8"/>
      <c r="G608" s="8"/>
    </row>
    <row r="609" ht="15.75" customHeight="1">
      <c r="A609" s="8"/>
      <c r="B609" s="8"/>
      <c r="C609" s="8"/>
      <c r="D609" s="8"/>
      <c r="E609" s="8"/>
      <c r="F609" s="8"/>
      <c r="G609" s="8"/>
    </row>
    <row r="610" ht="15.75" customHeight="1">
      <c r="A610" s="8"/>
      <c r="B610" s="8"/>
      <c r="C610" s="8"/>
      <c r="D610" s="8"/>
      <c r="E610" s="8"/>
      <c r="F610" s="8"/>
      <c r="G610" s="8"/>
    </row>
    <row r="611" ht="15.75" customHeight="1">
      <c r="A611" s="8"/>
      <c r="B611" s="8"/>
      <c r="C611" s="8"/>
      <c r="D611" s="8"/>
      <c r="E611" s="8"/>
      <c r="F611" s="8"/>
      <c r="G611" s="8"/>
    </row>
    <row r="612" ht="15.75" customHeight="1">
      <c r="A612" s="8"/>
      <c r="B612" s="8"/>
      <c r="C612" s="8"/>
      <c r="D612" s="8"/>
      <c r="E612" s="8"/>
      <c r="F612" s="8"/>
      <c r="G612" s="8"/>
    </row>
    <row r="613" ht="15.75" customHeight="1">
      <c r="A613" s="8"/>
      <c r="B613" s="8"/>
      <c r="C613" s="8"/>
      <c r="D613" s="8"/>
      <c r="E613" s="8"/>
      <c r="F613" s="8"/>
      <c r="G613" s="8"/>
    </row>
    <row r="614" ht="15.75" customHeight="1">
      <c r="A614" s="8"/>
      <c r="B614" s="8"/>
      <c r="C614" s="8"/>
      <c r="D614" s="8"/>
      <c r="E614" s="8"/>
      <c r="F614" s="8"/>
      <c r="G614" s="8"/>
    </row>
    <row r="615" ht="15.75" customHeight="1">
      <c r="A615" s="8"/>
      <c r="B615" s="8"/>
      <c r="C615" s="8"/>
      <c r="D615" s="8"/>
      <c r="E615" s="8"/>
      <c r="F615" s="8"/>
      <c r="G615" s="8"/>
    </row>
    <row r="616" ht="15.75" customHeight="1">
      <c r="A616" s="8"/>
      <c r="B616" s="8"/>
      <c r="C616" s="8"/>
      <c r="D616" s="8"/>
      <c r="E616" s="8"/>
      <c r="F616" s="8"/>
      <c r="G616" s="8"/>
    </row>
    <row r="617" ht="15.75" customHeight="1">
      <c r="A617" s="8"/>
      <c r="B617" s="8"/>
      <c r="C617" s="8"/>
      <c r="D617" s="8"/>
      <c r="E617" s="8"/>
      <c r="F617" s="8"/>
      <c r="G617" s="8"/>
    </row>
    <row r="618" ht="15.75" customHeight="1">
      <c r="A618" s="8"/>
      <c r="B618" s="8"/>
      <c r="C618" s="8"/>
      <c r="D618" s="8"/>
      <c r="E618" s="8"/>
      <c r="F618" s="8"/>
      <c r="G618" s="8"/>
    </row>
    <row r="619" ht="15.75" customHeight="1">
      <c r="A619" s="8"/>
      <c r="B619" s="8"/>
      <c r="C619" s="8"/>
      <c r="D619" s="8"/>
      <c r="E619" s="8"/>
      <c r="F619" s="8"/>
      <c r="G619" s="8"/>
    </row>
    <row r="620" ht="15.75" customHeight="1">
      <c r="A620" s="8"/>
      <c r="B620" s="8"/>
      <c r="C620" s="8"/>
      <c r="D620" s="8"/>
      <c r="E620" s="8"/>
      <c r="F620" s="8"/>
      <c r="G620" s="8"/>
    </row>
    <row r="621" ht="15.75" customHeight="1">
      <c r="A621" s="8"/>
      <c r="B621" s="8"/>
      <c r="C621" s="8"/>
      <c r="D621" s="8"/>
      <c r="E621" s="8"/>
      <c r="F621" s="8"/>
      <c r="G621" s="8"/>
    </row>
    <row r="622" ht="15.75" customHeight="1">
      <c r="A622" s="8"/>
      <c r="B622" s="8"/>
      <c r="C622" s="8"/>
      <c r="D622" s="8"/>
      <c r="E622" s="8"/>
      <c r="F622" s="8"/>
      <c r="G622" s="8"/>
    </row>
    <row r="623" ht="15.75" customHeight="1">
      <c r="A623" s="8"/>
      <c r="B623" s="8"/>
      <c r="C623" s="8"/>
      <c r="D623" s="8"/>
      <c r="E623" s="8"/>
      <c r="F623" s="8"/>
      <c r="G623" s="8"/>
    </row>
    <row r="624" ht="15.75" customHeight="1">
      <c r="A624" s="8"/>
      <c r="B624" s="8"/>
      <c r="C624" s="8"/>
      <c r="D624" s="8"/>
      <c r="E624" s="8"/>
      <c r="F624" s="8"/>
      <c r="G624" s="8"/>
    </row>
    <row r="625" ht="15.75" customHeight="1">
      <c r="A625" s="8"/>
      <c r="B625" s="8"/>
      <c r="C625" s="8"/>
      <c r="D625" s="8"/>
      <c r="E625" s="8"/>
      <c r="F625" s="8"/>
      <c r="G625" s="8"/>
    </row>
    <row r="626" ht="15.75" customHeight="1">
      <c r="A626" s="8"/>
      <c r="B626" s="8"/>
      <c r="C626" s="8"/>
      <c r="D626" s="8"/>
      <c r="E626" s="8"/>
      <c r="F626" s="8"/>
      <c r="G626" s="8"/>
    </row>
    <row r="627" ht="15.75" customHeight="1">
      <c r="A627" s="8"/>
      <c r="B627" s="8"/>
      <c r="C627" s="8"/>
      <c r="D627" s="8"/>
      <c r="E627" s="8"/>
      <c r="F627" s="8"/>
      <c r="G627" s="8"/>
    </row>
    <row r="628" ht="15.75" customHeight="1">
      <c r="A628" s="8"/>
      <c r="B628" s="8"/>
      <c r="C628" s="8"/>
      <c r="D628" s="8"/>
      <c r="E628" s="8"/>
      <c r="F628" s="8"/>
      <c r="G628" s="8"/>
    </row>
    <row r="629" ht="15.75" customHeight="1">
      <c r="A629" s="8"/>
      <c r="B629" s="8"/>
      <c r="C629" s="8"/>
      <c r="D629" s="8"/>
      <c r="E629" s="8"/>
      <c r="F629" s="8"/>
      <c r="G629" s="8"/>
    </row>
    <row r="630" ht="15.75" customHeight="1">
      <c r="A630" s="8"/>
      <c r="B630" s="8"/>
      <c r="C630" s="8"/>
      <c r="D630" s="8"/>
      <c r="E630" s="8"/>
      <c r="F630" s="8"/>
      <c r="G630" s="8"/>
    </row>
    <row r="631" ht="15.75" customHeight="1">
      <c r="A631" s="8"/>
      <c r="B631" s="8"/>
      <c r="C631" s="8"/>
      <c r="D631" s="8"/>
      <c r="E631" s="8"/>
      <c r="F631" s="8"/>
      <c r="G631" s="8"/>
    </row>
    <row r="632" ht="15.75" customHeight="1">
      <c r="A632" s="8"/>
      <c r="B632" s="8"/>
      <c r="C632" s="8"/>
      <c r="D632" s="8"/>
      <c r="E632" s="8"/>
      <c r="F632" s="8"/>
      <c r="G632" s="8"/>
    </row>
    <row r="633" ht="15.75" customHeight="1">
      <c r="A633" s="8"/>
      <c r="B633" s="8"/>
      <c r="C633" s="8"/>
      <c r="D633" s="8"/>
      <c r="E633" s="8"/>
      <c r="F633" s="8"/>
      <c r="G633" s="8"/>
    </row>
    <row r="634" ht="15.75" customHeight="1">
      <c r="A634" s="8"/>
      <c r="B634" s="8"/>
      <c r="C634" s="8"/>
      <c r="D634" s="8"/>
      <c r="E634" s="8"/>
      <c r="F634" s="8"/>
      <c r="G634" s="8"/>
    </row>
    <row r="635" ht="15.75" customHeight="1">
      <c r="A635" s="8"/>
      <c r="B635" s="8"/>
      <c r="C635" s="8"/>
      <c r="D635" s="8"/>
      <c r="E635" s="8"/>
      <c r="F635" s="8"/>
      <c r="G635" s="8"/>
    </row>
    <row r="636" ht="15.75" customHeight="1">
      <c r="A636" s="8"/>
      <c r="B636" s="8"/>
      <c r="C636" s="8"/>
      <c r="D636" s="8"/>
      <c r="E636" s="8"/>
      <c r="F636" s="8"/>
      <c r="G636" s="8"/>
    </row>
    <row r="637" ht="15.75" customHeight="1">
      <c r="A637" s="8"/>
      <c r="B637" s="8"/>
      <c r="C637" s="8"/>
      <c r="D637" s="8"/>
      <c r="E637" s="8"/>
      <c r="F637" s="8"/>
      <c r="G637" s="8"/>
    </row>
    <row r="638" ht="15.75" customHeight="1">
      <c r="A638" s="8"/>
      <c r="B638" s="8"/>
      <c r="C638" s="8"/>
      <c r="D638" s="8"/>
      <c r="E638" s="8"/>
      <c r="F638" s="8"/>
      <c r="G638" s="8"/>
    </row>
    <row r="639" ht="15.75" customHeight="1">
      <c r="A639" s="8"/>
      <c r="B639" s="8"/>
      <c r="C639" s="8"/>
      <c r="D639" s="8"/>
      <c r="E639" s="8"/>
      <c r="F639" s="8"/>
      <c r="G639" s="8"/>
    </row>
    <row r="640" ht="15.75" customHeight="1">
      <c r="A640" s="8"/>
      <c r="B640" s="8"/>
      <c r="C640" s="8"/>
      <c r="D640" s="8"/>
      <c r="E640" s="8"/>
      <c r="F640" s="8"/>
      <c r="G640" s="8"/>
    </row>
    <row r="641" ht="15.75" customHeight="1">
      <c r="A641" s="8"/>
      <c r="B641" s="8"/>
      <c r="C641" s="8"/>
      <c r="D641" s="8"/>
      <c r="E641" s="8"/>
      <c r="F641" s="8"/>
      <c r="G641" s="8"/>
    </row>
    <row r="642" ht="15.75" customHeight="1">
      <c r="A642" s="8"/>
      <c r="B642" s="8"/>
      <c r="C642" s="8"/>
      <c r="D642" s="8"/>
      <c r="E642" s="8"/>
      <c r="F642" s="8"/>
      <c r="G642" s="8"/>
    </row>
    <row r="643" ht="15.75" customHeight="1">
      <c r="A643" s="8"/>
      <c r="B643" s="8"/>
      <c r="C643" s="8"/>
      <c r="D643" s="8"/>
      <c r="E643" s="8"/>
      <c r="F643" s="8"/>
      <c r="G643" s="8"/>
    </row>
    <row r="644" ht="15.75" customHeight="1">
      <c r="A644" s="8"/>
      <c r="B644" s="8"/>
      <c r="C644" s="8"/>
      <c r="D644" s="8"/>
      <c r="E644" s="8"/>
      <c r="F644" s="8"/>
      <c r="G644" s="8"/>
    </row>
    <row r="645" ht="15.75" customHeight="1">
      <c r="A645" s="8"/>
      <c r="B645" s="8"/>
      <c r="C645" s="8"/>
      <c r="D645" s="8"/>
      <c r="E645" s="8"/>
      <c r="F645" s="8"/>
      <c r="G645" s="8"/>
    </row>
    <row r="646" ht="15.75" customHeight="1">
      <c r="A646" s="8"/>
      <c r="B646" s="8"/>
      <c r="C646" s="8"/>
      <c r="D646" s="8"/>
      <c r="E646" s="8"/>
      <c r="F646" s="8"/>
      <c r="G646" s="8"/>
    </row>
    <row r="647" ht="15.75" customHeight="1">
      <c r="A647" s="8"/>
      <c r="B647" s="8"/>
      <c r="C647" s="8"/>
      <c r="D647" s="8"/>
      <c r="E647" s="8"/>
      <c r="F647" s="8"/>
      <c r="G647" s="8"/>
    </row>
    <row r="648" ht="15.75" customHeight="1">
      <c r="A648" s="8"/>
      <c r="B648" s="8"/>
      <c r="C648" s="8"/>
      <c r="D648" s="8"/>
      <c r="E648" s="8"/>
      <c r="F648" s="8"/>
      <c r="G648" s="8"/>
    </row>
    <row r="649" ht="15.75" customHeight="1">
      <c r="A649" s="8"/>
      <c r="B649" s="8"/>
      <c r="C649" s="8"/>
      <c r="D649" s="8"/>
      <c r="E649" s="8"/>
      <c r="F649" s="8"/>
      <c r="G649" s="8"/>
    </row>
    <row r="650" ht="15.75" customHeight="1">
      <c r="A650" s="8"/>
      <c r="B650" s="8"/>
      <c r="C650" s="8"/>
      <c r="D650" s="8"/>
      <c r="E650" s="8"/>
      <c r="F650" s="8"/>
      <c r="G650" s="8"/>
    </row>
    <row r="651" ht="15.75" customHeight="1">
      <c r="A651" s="8"/>
      <c r="B651" s="8"/>
      <c r="C651" s="8"/>
      <c r="D651" s="8"/>
      <c r="E651" s="8"/>
      <c r="F651" s="8"/>
      <c r="G651" s="8"/>
    </row>
    <row r="652" ht="15.75" customHeight="1">
      <c r="A652" s="8"/>
      <c r="B652" s="8"/>
      <c r="C652" s="8"/>
      <c r="D652" s="8"/>
      <c r="E652" s="8"/>
      <c r="F652" s="8"/>
      <c r="G652" s="8"/>
    </row>
    <row r="653" ht="15.75" customHeight="1">
      <c r="A653" s="8"/>
      <c r="B653" s="8"/>
      <c r="C653" s="8"/>
      <c r="D653" s="8"/>
      <c r="E653" s="8"/>
      <c r="F653" s="8"/>
      <c r="G653" s="8"/>
    </row>
    <row r="654" ht="15.75" customHeight="1">
      <c r="A654" s="8"/>
      <c r="B654" s="8"/>
      <c r="C654" s="8"/>
      <c r="D654" s="8"/>
      <c r="E654" s="8"/>
      <c r="F654" s="8"/>
      <c r="G654" s="8"/>
    </row>
    <row r="655" ht="15.75" customHeight="1">
      <c r="A655" s="8"/>
      <c r="B655" s="8"/>
      <c r="C655" s="8"/>
      <c r="D655" s="8"/>
      <c r="E655" s="8"/>
      <c r="F655" s="8"/>
      <c r="G655" s="8"/>
    </row>
    <row r="656" ht="15.75" customHeight="1">
      <c r="A656" s="8"/>
      <c r="B656" s="8"/>
      <c r="C656" s="8"/>
      <c r="D656" s="8"/>
      <c r="E656" s="8"/>
      <c r="F656" s="8"/>
      <c r="G656" s="8"/>
    </row>
    <row r="657" ht="15.75" customHeight="1">
      <c r="A657" s="8"/>
      <c r="B657" s="8"/>
      <c r="C657" s="8"/>
      <c r="D657" s="8"/>
      <c r="E657" s="8"/>
      <c r="F657" s="8"/>
      <c r="G657" s="8"/>
    </row>
    <row r="658" ht="15.75" customHeight="1">
      <c r="A658" s="8"/>
      <c r="B658" s="8"/>
      <c r="C658" s="8"/>
      <c r="D658" s="8"/>
      <c r="E658" s="8"/>
      <c r="F658" s="8"/>
      <c r="G658" s="8"/>
    </row>
    <row r="659" ht="15.75" customHeight="1">
      <c r="A659" s="8"/>
      <c r="B659" s="8"/>
      <c r="C659" s="8"/>
      <c r="D659" s="8"/>
      <c r="E659" s="8"/>
      <c r="F659" s="8"/>
      <c r="G659" s="8"/>
    </row>
    <row r="660" ht="15.75" customHeight="1">
      <c r="A660" s="8"/>
      <c r="B660" s="8"/>
      <c r="C660" s="8"/>
      <c r="D660" s="8"/>
      <c r="E660" s="8"/>
      <c r="F660" s="8"/>
      <c r="G660" s="8"/>
    </row>
    <row r="661" ht="15.75" customHeight="1">
      <c r="A661" s="8"/>
      <c r="B661" s="8"/>
      <c r="C661" s="8"/>
      <c r="D661" s="8"/>
      <c r="E661" s="8"/>
      <c r="F661" s="8"/>
      <c r="G661" s="8"/>
    </row>
    <row r="662" ht="15.75" customHeight="1">
      <c r="A662" s="8"/>
      <c r="B662" s="8"/>
      <c r="C662" s="8"/>
      <c r="D662" s="8"/>
      <c r="E662" s="8"/>
      <c r="F662" s="8"/>
      <c r="G662" s="8"/>
    </row>
    <row r="663" ht="15.75" customHeight="1">
      <c r="A663" s="8"/>
      <c r="B663" s="8"/>
      <c r="C663" s="8"/>
      <c r="D663" s="8"/>
      <c r="E663" s="8"/>
      <c r="F663" s="8"/>
      <c r="G663" s="8"/>
    </row>
    <row r="664" ht="15.75" customHeight="1">
      <c r="A664" s="8"/>
      <c r="B664" s="8"/>
      <c r="C664" s="8"/>
      <c r="D664" s="8"/>
      <c r="E664" s="8"/>
      <c r="F664" s="8"/>
      <c r="G664" s="8"/>
    </row>
    <row r="665" ht="15.75" customHeight="1">
      <c r="A665" s="8"/>
      <c r="B665" s="8"/>
      <c r="C665" s="8"/>
      <c r="D665" s="8"/>
      <c r="E665" s="8"/>
      <c r="F665" s="8"/>
      <c r="G665" s="8"/>
    </row>
    <row r="666" ht="15.75" customHeight="1">
      <c r="A666" s="8"/>
      <c r="B666" s="8"/>
      <c r="C666" s="8"/>
      <c r="D666" s="8"/>
      <c r="E666" s="8"/>
      <c r="F666" s="8"/>
      <c r="G666" s="8"/>
    </row>
    <row r="667" ht="15.75" customHeight="1">
      <c r="A667" s="8"/>
      <c r="B667" s="8"/>
      <c r="C667" s="8"/>
      <c r="D667" s="8"/>
      <c r="E667" s="8"/>
      <c r="F667" s="8"/>
      <c r="G667" s="8"/>
    </row>
    <row r="668" ht="15.75" customHeight="1">
      <c r="A668" s="8"/>
      <c r="B668" s="8"/>
      <c r="C668" s="8"/>
      <c r="D668" s="8"/>
      <c r="E668" s="8"/>
      <c r="F668" s="8"/>
      <c r="G668" s="8"/>
    </row>
    <row r="669" ht="15.75" customHeight="1">
      <c r="A669" s="8"/>
      <c r="B669" s="8"/>
      <c r="C669" s="8"/>
      <c r="D669" s="8"/>
      <c r="E669" s="8"/>
      <c r="F669" s="8"/>
      <c r="G669" s="8"/>
    </row>
    <row r="670" ht="15.75" customHeight="1">
      <c r="A670" s="8"/>
      <c r="B670" s="8"/>
      <c r="C670" s="8"/>
      <c r="D670" s="8"/>
      <c r="E670" s="8"/>
      <c r="F670" s="8"/>
      <c r="G670" s="8"/>
    </row>
    <row r="671" ht="15.75" customHeight="1">
      <c r="A671" s="8"/>
      <c r="B671" s="8"/>
      <c r="C671" s="8"/>
      <c r="D671" s="8"/>
      <c r="E671" s="8"/>
      <c r="F671" s="8"/>
      <c r="G671" s="8"/>
    </row>
    <row r="672" ht="15.75" customHeight="1">
      <c r="A672" s="8"/>
      <c r="B672" s="8"/>
      <c r="C672" s="8"/>
      <c r="D672" s="8"/>
      <c r="E672" s="8"/>
      <c r="F672" s="8"/>
      <c r="G672" s="8"/>
    </row>
    <row r="673" ht="15.75" customHeight="1">
      <c r="A673" s="8"/>
      <c r="B673" s="8"/>
      <c r="C673" s="8"/>
      <c r="D673" s="8"/>
      <c r="E673" s="8"/>
      <c r="F673" s="8"/>
      <c r="G673" s="8"/>
    </row>
    <row r="674" ht="15.75" customHeight="1">
      <c r="A674" s="8"/>
      <c r="B674" s="8"/>
      <c r="C674" s="8"/>
      <c r="D674" s="8"/>
      <c r="E674" s="8"/>
      <c r="F674" s="8"/>
      <c r="G674" s="8"/>
    </row>
    <row r="675" ht="15.75" customHeight="1">
      <c r="A675" s="8"/>
      <c r="B675" s="8"/>
      <c r="C675" s="8"/>
      <c r="D675" s="8"/>
      <c r="E675" s="8"/>
      <c r="F675" s="8"/>
      <c r="G675" s="8"/>
    </row>
    <row r="676" ht="15.75" customHeight="1">
      <c r="A676" s="8"/>
      <c r="B676" s="8"/>
      <c r="C676" s="8"/>
      <c r="D676" s="8"/>
      <c r="E676" s="8"/>
      <c r="F676" s="8"/>
      <c r="G676" s="8"/>
    </row>
    <row r="677" ht="15.75" customHeight="1">
      <c r="A677" s="8"/>
      <c r="B677" s="8"/>
      <c r="C677" s="8"/>
      <c r="D677" s="8"/>
      <c r="E677" s="8"/>
      <c r="F677" s="8"/>
      <c r="G677" s="8"/>
    </row>
    <row r="678" ht="15.75" customHeight="1">
      <c r="A678" s="8"/>
      <c r="B678" s="8"/>
      <c r="C678" s="8"/>
      <c r="D678" s="8"/>
      <c r="E678" s="8"/>
      <c r="F678" s="8"/>
      <c r="G678" s="8"/>
    </row>
    <row r="679" ht="15.75" customHeight="1">
      <c r="A679" s="8"/>
      <c r="B679" s="8"/>
      <c r="C679" s="8"/>
      <c r="D679" s="8"/>
      <c r="E679" s="8"/>
      <c r="F679" s="8"/>
      <c r="G679" s="8"/>
    </row>
    <row r="680" ht="15.75" customHeight="1">
      <c r="A680" s="8"/>
      <c r="B680" s="8"/>
      <c r="C680" s="8"/>
      <c r="D680" s="8"/>
      <c r="E680" s="8"/>
      <c r="F680" s="8"/>
      <c r="G680" s="8"/>
    </row>
    <row r="681" ht="15.75" customHeight="1">
      <c r="A681" s="8"/>
      <c r="B681" s="8"/>
      <c r="C681" s="8"/>
      <c r="D681" s="8"/>
      <c r="E681" s="8"/>
      <c r="F681" s="8"/>
      <c r="G681" s="8"/>
    </row>
    <row r="682" ht="15.75" customHeight="1">
      <c r="A682" s="8"/>
      <c r="B682" s="8"/>
      <c r="C682" s="8"/>
      <c r="D682" s="8"/>
      <c r="E682" s="8"/>
      <c r="F682" s="8"/>
      <c r="G682" s="8"/>
    </row>
    <row r="683" ht="15.75" customHeight="1">
      <c r="A683" s="8"/>
      <c r="B683" s="8"/>
      <c r="C683" s="8"/>
      <c r="D683" s="8"/>
      <c r="E683" s="8"/>
      <c r="F683" s="8"/>
      <c r="G683" s="8"/>
    </row>
    <row r="684" ht="15.75" customHeight="1">
      <c r="A684" s="8"/>
      <c r="B684" s="8"/>
      <c r="C684" s="8"/>
      <c r="D684" s="8"/>
      <c r="E684" s="8"/>
      <c r="F684" s="8"/>
      <c r="G684" s="8"/>
    </row>
    <row r="685" ht="15.75" customHeight="1">
      <c r="A685" s="8"/>
      <c r="B685" s="8"/>
      <c r="C685" s="8"/>
      <c r="D685" s="8"/>
      <c r="E685" s="8"/>
      <c r="F685" s="8"/>
      <c r="G685" s="8"/>
    </row>
    <row r="686" ht="15.75" customHeight="1">
      <c r="A686" s="8"/>
      <c r="B686" s="8"/>
      <c r="C686" s="8"/>
      <c r="D686" s="8"/>
      <c r="E686" s="8"/>
      <c r="F686" s="8"/>
      <c r="G686" s="8"/>
    </row>
    <row r="687" ht="15.75" customHeight="1">
      <c r="A687" s="8"/>
      <c r="B687" s="8"/>
      <c r="C687" s="8"/>
      <c r="D687" s="8"/>
      <c r="E687" s="8"/>
      <c r="F687" s="8"/>
      <c r="G687" s="8"/>
    </row>
    <row r="688" ht="15.75" customHeight="1">
      <c r="A688" s="8"/>
      <c r="B688" s="8"/>
      <c r="C688" s="8"/>
      <c r="D688" s="8"/>
      <c r="E688" s="8"/>
      <c r="F688" s="8"/>
      <c r="G688" s="8"/>
    </row>
    <row r="689" ht="15.75" customHeight="1">
      <c r="A689" s="8"/>
      <c r="B689" s="8"/>
      <c r="C689" s="8"/>
      <c r="D689" s="8"/>
      <c r="E689" s="8"/>
      <c r="F689" s="8"/>
      <c r="G689" s="8"/>
    </row>
    <row r="690" ht="15.75" customHeight="1">
      <c r="A690" s="8"/>
      <c r="B690" s="8"/>
      <c r="C690" s="8"/>
      <c r="D690" s="8"/>
      <c r="E690" s="8"/>
      <c r="F690" s="8"/>
      <c r="G690" s="8"/>
    </row>
    <row r="691" ht="15.75" customHeight="1">
      <c r="A691" s="8"/>
      <c r="B691" s="8"/>
      <c r="C691" s="8"/>
      <c r="D691" s="8"/>
      <c r="E691" s="8"/>
      <c r="F691" s="8"/>
      <c r="G691" s="8"/>
    </row>
    <row r="692" ht="15.75" customHeight="1">
      <c r="A692" s="8"/>
      <c r="B692" s="8"/>
      <c r="C692" s="8"/>
      <c r="D692" s="8"/>
      <c r="E692" s="8"/>
      <c r="F692" s="8"/>
      <c r="G692" s="8"/>
    </row>
    <row r="693" ht="15.75" customHeight="1">
      <c r="A693" s="8"/>
      <c r="B693" s="8"/>
      <c r="C693" s="8"/>
      <c r="D693" s="8"/>
      <c r="E693" s="8"/>
      <c r="F693" s="8"/>
      <c r="G693" s="8"/>
    </row>
    <row r="694" ht="15.75" customHeight="1">
      <c r="A694" s="8"/>
      <c r="B694" s="8"/>
      <c r="C694" s="8"/>
      <c r="D694" s="8"/>
      <c r="E694" s="8"/>
      <c r="F694" s="8"/>
      <c r="G694" s="8"/>
    </row>
    <row r="695" ht="15.75" customHeight="1">
      <c r="A695" s="8"/>
      <c r="B695" s="8"/>
      <c r="C695" s="8"/>
      <c r="D695" s="8"/>
      <c r="E695" s="8"/>
      <c r="F695" s="8"/>
      <c r="G695" s="8"/>
    </row>
    <row r="696" ht="15.75" customHeight="1">
      <c r="A696" s="8"/>
      <c r="B696" s="8"/>
      <c r="C696" s="8"/>
      <c r="D696" s="8"/>
      <c r="E696" s="8"/>
      <c r="F696" s="8"/>
      <c r="G696" s="8"/>
    </row>
    <row r="697" ht="15.75" customHeight="1">
      <c r="A697" s="8"/>
      <c r="B697" s="8"/>
      <c r="C697" s="8"/>
      <c r="D697" s="8"/>
      <c r="E697" s="8"/>
      <c r="F697" s="8"/>
      <c r="G697" s="8"/>
    </row>
    <row r="698" ht="15.75" customHeight="1">
      <c r="A698" s="8"/>
      <c r="B698" s="8"/>
      <c r="C698" s="8"/>
      <c r="D698" s="8"/>
      <c r="E698" s="8"/>
      <c r="F698" s="8"/>
      <c r="G698" s="8"/>
    </row>
    <row r="699" ht="15.75" customHeight="1">
      <c r="A699" s="8"/>
      <c r="B699" s="8"/>
      <c r="C699" s="8"/>
      <c r="D699" s="8"/>
      <c r="E699" s="8"/>
      <c r="F699" s="8"/>
      <c r="G699" s="8"/>
    </row>
    <row r="700" ht="15.75" customHeight="1">
      <c r="A700" s="8"/>
      <c r="B700" s="8"/>
      <c r="C700" s="8"/>
      <c r="D700" s="8"/>
      <c r="E700" s="8"/>
      <c r="F700" s="8"/>
      <c r="G700" s="8"/>
    </row>
    <row r="701" ht="15.75" customHeight="1">
      <c r="A701" s="8"/>
      <c r="B701" s="8"/>
      <c r="C701" s="8"/>
      <c r="D701" s="8"/>
      <c r="E701" s="8"/>
      <c r="F701" s="8"/>
      <c r="G701" s="8"/>
    </row>
    <row r="702" ht="15.75" customHeight="1">
      <c r="A702" s="8"/>
      <c r="B702" s="8"/>
      <c r="C702" s="8"/>
      <c r="D702" s="8"/>
      <c r="E702" s="8"/>
      <c r="F702" s="8"/>
      <c r="G702" s="8"/>
    </row>
    <row r="703" ht="15.75" customHeight="1">
      <c r="A703" s="8"/>
      <c r="B703" s="8"/>
      <c r="C703" s="8"/>
      <c r="D703" s="8"/>
      <c r="E703" s="8"/>
      <c r="F703" s="8"/>
      <c r="G703" s="8"/>
    </row>
    <row r="704" ht="15.75" customHeight="1">
      <c r="A704" s="8"/>
      <c r="B704" s="8"/>
      <c r="C704" s="8"/>
      <c r="D704" s="8"/>
      <c r="E704" s="8"/>
      <c r="F704" s="8"/>
      <c r="G704" s="8"/>
    </row>
    <row r="705" ht="15.75" customHeight="1">
      <c r="A705" s="8"/>
      <c r="B705" s="8"/>
      <c r="C705" s="8"/>
      <c r="D705" s="8"/>
      <c r="E705" s="8"/>
      <c r="F705" s="8"/>
      <c r="G705" s="8"/>
    </row>
    <row r="706" ht="15.75" customHeight="1">
      <c r="A706" s="8"/>
      <c r="B706" s="8"/>
      <c r="C706" s="8"/>
      <c r="D706" s="8"/>
      <c r="E706" s="8"/>
      <c r="F706" s="8"/>
      <c r="G706" s="8"/>
    </row>
    <row r="707" ht="15.75" customHeight="1">
      <c r="A707" s="8"/>
      <c r="B707" s="8"/>
      <c r="C707" s="8"/>
      <c r="D707" s="8"/>
      <c r="E707" s="8"/>
      <c r="F707" s="8"/>
      <c r="G707" s="8"/>
    </row>
    <row r="708" ht="15.75" customHeight="1">
      <c r="A708" s="8"/>
      <c r="B708" s="8"/>
      <c r="C708" s="8"/>
      <c r="D708" s="8"/>
      <c r="E708" s="8"/>
      <c r="F708" s="8"/>
      <c r="G708" s="8"/>
    </row>
    <row r="709" ht="15.75" customHeight="1">
      <c r="A709" s="8"/>
      <c r="B709" s="8"/>
      <c r="C709" s="8"/>
      <c r="D709" s="8"/>
      <c r="E709" s="8"/>
      <c r="F709" s="8"/>
      <c r="G709" s="8"/>
    </row>
    <row r="710" ht="15.75" customHeight="1">
      <c r="A710" s="8"/>
      <c r="B710" s="8"/>
      <c r="C710" s="8"/>
      <c r="D710" s="8"/>
      <c r="E710" s="8"/>
      <c r="F710" s="8"/>
      <c r="G710" s="8"/>
    </row>
    <row r="711" ht="15.75" customHeight="1">
      <c r="A711" s="8"/>
      <c r="B711" s="8"/>
      <c r="C711" s="8"/>
      <c r="D711" s="8"/>
      <c r="E711" s="8"/>
      <c r="F711" s="8"/>
      <c r="G711" s="8"/>
    </row>
    <row r="712" ht="15.75" customHeight="1">
      <c r="A712" s="8"/>
      <c r="B712" s="8"/>
      <c r="C712" s="8"/>
      <c r="D712" s="8"/>
      <c r="E712" s="8"/>
      <c r="F712" s="8"/>
      <c r="G712" s="8"/>
    </row>
    <row r="713" ht="15.75" customHeight="1">
      <c r="A713" s="8"/>
      <c r="B713" s="8"/>
      <c r="C713" s="8"/>
      <c r="D713" s="8"/>
      <c r="E713" s="8"/>
      <c r="F713" s="8"/>
      <c r="G713" s="8"/>
    </row>
    <row r="714" ht="15.75" customHeight="1">
      <c r="A714" s="8"/>
      <c r="B714" s="8"/>
      <c r="C714" s="8"/>
      <c r="D714" s="8"/>
      <c r="E714" s="8"/>
      <c r="F714" s="8"/>
      <c r="G714" s="8"/>
    </row>
    <row r="715" ht="15.75" customHeight="1">
      <c r="A715" s="8"/>
      <c r="B715" s="8"/>
      <c r="C715" s="8"/>
      <c r="D715" s="8"/>
      <c r="E715" s="8"/>
      <c r="F715" s="8"/>
      <c r="G715" s="8"/>
    </row>
    <row r="716" ht="15.75" customHeight="1">
      <c r="A716" s="8"/>
      <c r="B716" s="8"/>
      <c r="C716" s="8"/>
      <c r="D716" s="8"/>
      <c r="E716" s="8"/>
      <c r="F716" s="8"/>
      <c r="G716" s="8"/>
    </row>
    <row r="717" ht="15.75" customHeight="1">
      <c r="A717" s="8"/>
      <c r="B717" s="8"/>
      <c r="C717" s="8"/>
      <c r="D717" s="8"/>
      <c r="E717" s="8"/>
      <c r="F717" s="8"/>
      <c r="G717" s="8"/>
    </row>
    <row r="718" ht="15.75" customHeight="1">
      <c r="A718" s="8"/>
      <c r="B718" s="8"/>
      <c r="C718" s="8"/>
      <c r="D718" s="8"/>
      <c r="E718" s="8"/>
      <c r="F718" s="8"/>
      <c r="G718" s="8"/>
    </row>
    <row r="719" ht="15.75" customHeight="1">
      <c r="A719" s="8"/>
      <c r="B719" s="8"/>
      <c r="C719" s="8"/>
      <c r="D719" s="8"/>
      <c r="E719" s="8"/>
      <c r="F719" s="8"/>
      <c r="G719" s="8"/>
    </row>
    <row r="720" ht="15.75" customHeight="1">
      <c r="A720" s="8"/>
      <c r="B720" s="8"/>
      <c r="C720" s="8"/>
      <c r="D720" s="8"/>
      <c r="E720" s="8"/>
      <c r="F720" s="8"/>
      <c r="G720" s="8"/>
    </row>
    <row r="721" ht="15.75" customHeight="1">
      <c r="A721" s="8"/>
      <c r="B721" s="8"/>
      <c r="C721" s="8"/>
      <c r="D721" s="8"/>
      <c r="E721" s="8"/>
      <c r="F721" s="8"/>
      <c r="G721" s="8"/>
    </row>
    <row r="722" ht="15.75" customHeight="1">
      <c r="A722" s="8"/>
      <c r="B722" s="8"/>
      <c r="C722" s="8"/>
      <c r="D722" s="8"/>
      <c r="E722" s="8"/>
      <c r="F722" s="8"/>
      <c r="G722" s="8"/>
    </row>
    <row r="723" ht="15.75" customHeight="1">
      <c r="A723" s="8"/>
      <c r="B723" s="8"/>
      <c r="C723" s="8"/>
      <c r="D723" s="8"/>
      <c r="E723" s="8"/>
      <c r="F723" s="8"/>
      <c r="G723" s="8"/>
    </row>
    <row r="724" ht="15.75" customHeight="1">
      <c r="A724" s="8"/>
      <c r="B724" s="8"/>
      <c r="C724" s="8"/>
      <c r="D724" s="8"/>
      <c r="E724" s="8"/>
      <c r="F724" s="8"/>
      <c r="G724" s="8"/>
    </row>
    <row r="725" ht="15.75" customHeight="1">
      <c r="A725" s="8"/>
      <c r="B725" s="8"/>
      <c r="C725" s="8"/>
      <c r="D725" s="8"/>
      <c r="E725" s="8"/>
      <c r="F725" s="8"/>
      <c r="G725" s="8"/>
    </row>
    <row r="726" ht="15.75" customHeight="1">
      <c r="A726" s="8"/>
      <c r="B726" s="8"/>
      <c r="C726" s="8"/>
      <c r="D726" s="8"/>
      <c r="E726" s="8"/>
      <c r="F726" s="8"/>
      <c r="G726" s="8"/>
    </row>
    <row r="727" ht="15.75" customHeight="1">
      <c r="A727" s="8"/>
      <c r="B727" s="8"/>
      <c r="C727" s="8"/>
      <c r="D727" s="8"/>
      <c r="E727" s="8"/>
      <c r="F727" s="8"/>
      <c r="G727" s="8"/>
    </row>
    <row r="728" ht="15.75" customHeight="1">
      <c r="A728" s="8"/>
      <c r="B728" s="8"/>
      <c r="C728" s="8"/>
      <c r="D728" s="8"/>
      <c r="E728" s="8"/>
      <c r="F728" s="8"/>
      <c r="G728" s="8"/>
    </row>
    <row r="729" ht="15.75" customHeight="1">
      <c r="A729" s="8"/>
      <c r="B729" s="8"/>
      <c r="C729" s="8"/>
      <c r="D729" s="8"/>
      <c r="E729" s="8"/>
      <c r="F729" s="8"/>
      <c r="G729" s="8"/>
    </row>
    <row r="730" ht="15.75" customHeight="1">
      <c r="A730" s="8"/>
      <c r="B730" s="8"/>
      <c r="C730" s="8"/>
      <c r="D730" s="8"/>
      <c r="E730" s="8"/>
      <c r="F730" s="8"/>
      <c r="G730" s="8"/>
    </row>
    <row r="731" ht="15.75" customHeight="1">
      <c r="A731" s="8"/>
      <c r="B731" s="8"/>
      <c r="C731" s="8"/>
      <c r="D731" s="8"/>
      <c r="E731" s="8"/>
      <c r="F731" s="8"/>
      <c r="G731" s="8"/>
    </row>
    <row r="732" ht="15.75" customHeight="1">
      <c r="A732" s="8"/>
      <c r="B732" s="8"/>
      <c r="C732" s="8"/>
      <c r="D732" s="8"/>
      <c r="E732" s="8"/>
      <c r="F732" s="8"/>
      <c r="G732" s="8"/>
    </row>
    <row r="733" ht="15.75" customHeight="1">
      <c r="A733" s="8"/>
      <c r="B733" s="8"/>
      <c r="C733" s="8"/>
      <c r="D733" s="8"/>
      <c r="E733" s="8"/>
      <c r="F733" s="8"/>
      <c r="G733" s="8"/>
    </row>
    <row r="734" ht="15.75" customHeight="1">
      <c r="A734" s="8"/>
      <c r="B734" s="8"/>
      <c r="C734" s="8"/>
      <c r="D734" s="8"/>
      <c r="E734" s="8"/>
      <c r="F734" s="8"/>
      <c r="G734" s="8"/>
    </row>
    <row r="735" ht="15.75" customHeight="1">
      <c r="A735" s="8"/>
      <c r="B735" s="8"/>
      <c r="C735" s="8"/>
      <c r="D735" s="8"/>
      <c r="E735" s="8"/>
      <c r="F735" s="8"/>
      <c r="G735" s="8"/>
    </row>
    <row r="736" ht="15.75" customHeight="1">
      <c r="A736" s="8"/>
      <c r="B736" s="8"/>
      <c r="C736" s="8"/>
      <c r="D736" s="8"/>
      <c r="E736" s="8"/>
      <c r="F736" s="8"/>
      <c r="G736" s="8"/>
    </row>
    <row r="737" ht="15.75" customHeight="1">
      <c r="A737" s="8"/>
      <c r="B737" s="8"/>
      <c r="C737" s="8"/>
      <c r="D737" s="8"/>
      <c r="E737" s="8"/>
      <c r="F737" s="8"/>
      <c r="G737" s="8"/>
    </row>
    <row r="738" ht="15.75" customHeight="1">
      <c r="A738" s="8"/>
      <c r="B738" s="8"/>
      <c r="C738" s="8"/>
      <c r="D738" s="8"/>
      <c r="E738" s="8"/>
      <c r="F738" s="8"/>
      <c r="G738" s="8"/>
    </row>
    <row r="739" ht="15.75" customHeight="1">
      <c r="A739" s="8"/>
      <c r="B739" s="8"/>
      <c r="C739" s="8"/>
      <c r="D739" s="8"/>
      <c r="E739" s="8"/>
      <c r="F739" s="8"/>
      <c r="G739" s="8"/>
    </row>
    <row r="740" ht="15.75" customHeight="1">
      <c r="A740" s="8"/>
      <c r="B740" s="8"/>
      <c r="C740" s="8"/>
      <c r="D740" s="8"/>
      <c r="E740" s="8"/>
      <c r="F740" s="8"/>
      <c r="G740" s="8"/>
    </row>
    <row r="741" ht="15.75" customHeight="1">
      <c r="A741" s="8"/>
      <c r="B741" s="8"/>
      <c r="C741" s="8"/>
      <c r="D741" s="8"/>
      <c r="E741" s="8"/>
      <c r="F741" s="8"/>
      <c r="G741" s="8"/>
    </row>
    <row r="742" ht="15.75" customHeight="1">
      <c r="A742" s="8"/>
      <c r="B742" s="8"/>
      <c r="C742" s="8"/>
      <c r="D742" s="8"/>
      <c r="E742" s="8"/>
      <c r="F742" s="8"/>
      <c r="G742" s="8"/>
    </row>
    <row r="743" ht="15.75" customHeight="1">
      <c r="A743" s="8"/>
      <c r="B743" s="8"/>
      <c r="C743" s="8"/>
      <c r="D743" s="8"/>
      <c r="E743" s="8"/>
      <c r="F743" s="8"/>
      <c r="G743" s="8"/>
    </row>
    <row r="744" ht="15.75" customHeight="1">
      <c r="A744" s="8"/>
      <c r="B744" s="8"/>
      <c r="C744" s="8"/>
      <c r="D744" s="8"/>
      <c r="E744" s="8"/>
      <c r="F744" s="8"/>
      <c r="G744" s="8"/>
    </row>
    <row r="745" ht="15.75" customHeight="1">
      <c r="A745" s="8"/>
      <c r="B745" s="8"/>
      <c r="C745" s="8"/>
      <c r="D745" s="8"/>
      <c r="E745" s="8"/>
      <c r="F745" s="8"/>
      <c r="G745" s="8"/>
    </row>
    <row r="746" ht="15.75" customHeight="1">
      <c r="A746" s="8"/>
      <c r="B746" s="8"/>
      <c r="C746" s="8"/>
      <c r="D746" s="8"/>
      <c r="E746" s="8"/>
      <c r="F746" s="8"/>
      <c r="G746" s="8"/>
    </row>
    <row r="747" ht="15.75" customHeight="1">
      <c r="A747" s="8"/>
      <c r="B747" s="8"/>
      <c r="C747" s="8"/>
      <c r="D747" s="8"/>
      <c r="E747" s="8"/>
      <c r="F747" s="8"/>
      <c r="G747" s="8"/>
    </row>
    <row r="748" ht="15.75" customHeight="1">
      <c r="A748" s="8"/>
      <c r="B748" s="8"/>
      <c r="C748" s="8"/>
      <c r="D748" s="8"/>
      <c r="E748" s="8"/>
      <c r="F748" s="8"/>
      <c r="G748" s="8"/>
    </row>
    <row r="749" ht="15.75" customHeight="1">
      <c r="A749" s="8"/>
      <c r="B749" s="8"/>
      <c r="C749" s="8"/>
      <c r="D749" s="8"/>
      <c r="E749" s="8"/>
      <c r="F749" s="8"/>
      <c r="G749" s="8"/>
    </row>
    <row r="750" ht="15.75" customHeight="1">
      <c r="A750" s="8"/>
      <c r="B750" s="8"/>
      <c r="C750" s="8"/>
      <c r="D750" s="8"/>
      <c r="E750" s="8"/>
      <c r="F750" s="8"/>
      <c r="G750" s="8"/>
    </row>
    <row r="751" ht="15.75" customHeight="1">
      <c r="A751" s="8"/>
      <c r="B751" s="8"/>
      <c r="C751" s="8"/>
      <c r="D751" s="8"/>
      <c r="E751" s="8"/>
      <c r="F751" s="8"/>
      <c r="G751" s="8"/>
    </row>
    <row r="752" ht="15.75" customHeight="1">
      <c r="A752" s="8"/>
      <c r="B752" s="8"/>
      <c r="C752" s="8"/>
      <c r="D752" s="8"/>
      <c r="E752" s="8"/>
      <c r="F752" s="8"/>
      <c r="G752" s="8"/>
    </row>
    <row r="753" ht="15.75" customHeight="1">
      <c r="A753" s="8"/>
      <c r="B753" s="8"/>
      <c r="C753" s="8"/>
      <c r="D753" s="8"/>
      <c r="E753" s="8"/>
      <c r="F753" s="8"/>
      <c r="G753" s="8"/>
    </row>
    <row r="754" ht="15.75" customHeight="1">
      <c r="A754" s="8"/>
      <c r="B754" s="8"/>
      <c r="C754" s="8"/>
      <c r="D754" s="8"/>
      <c r="E754" s="8"/>
      <c r="F754" s="8"/>
      <c r="G754" s="8"/>
    </row>
    <row r="755" ht="15.75" customHeight="1">
      <c r="A755" s="8"/>
      <c r="B755" s="8"/>
      <c r="C755" s="8"/>
      <c r="D755" s="8"/>
      <c r="E755" s="8"/>
      <c r="F755" s="8"/>
      <c r="G755" s="8"/>
    </row>
    <row r="756" ht="15.75" customHeight="1">
      <c r="A756" s="8"/>
      <c r="B756" s="8"/>
      <c r="C756" s="8"/>
      <c r="D756" s="8"/>
      <c r="E756" s="8"/>
      <c r="F756" s="8"/>
      <c r="G756" s="8"/>
    </row>
    <row r="757" ht="15.75" customHeight="1">
      <c r="A757" s="8"/>
      <c r="B757" s="8"/>
      <c r="C757" s="8"/>
      <c r="D757" s="8"/>
      <c r="E757" s="8"/>
      <c r="F757" s="8"/>
      <c r="G757" s="8"/>
    </row>
    <row r="758" ht="15.75" customHeight="1">
      <c r="A758" s="8"/>
      <c r="B758" s="8"/>
      <c r="C758" s="8"/>
      <c r="D758" s="8"/>
      <c r="E758" s="8"/>
      <c r="F758" s="8"/>
      <c r="G758" s="8"/>
    </row>
    <row r="759" ht="15.75" customHeight="1">
      <c r="A759" s="8"/>
      <c r="B759" s="8"/>
      <c r="C759" s="8"/>
      <c r="D759" s="8"/>
      <c r="E759" s="8"/>
      <c r="F759" s="8"/>
      <c r="G759" s="8"/>
    </row>
    <row r="760" ht="15.75" customHeight="1">
      <c r="A760" s="8"/>
      <c r="B760" s="8"/>
      <c r="C760" s="8"/>
      <c r="D760" s="8"/>
      <c r="E760" s="8"/>
      <c r="F760" s="8"/>
      <c r="G760" s="8"/>
    </row>
    <row r="761" ht="15.75" customHeight="1">
      <c r="A761" s="8"/>
      <c r="B761" s="8"/>
      <c r="C761" s="8"/>
      <c r="D761" s="8"/>
      <c r="E761" s="8"/>
      <c r="F761" s="8"/>
      <c r="G761" s="8"/>
    </row>
    <row r="762" ht="15.75" customHeight="1">
      <c r="A762" s="8"/>
      <c r="B762" s="8"/>
      <c r="C762" s="8"/>
      <c r="D762" s="8"/>
      <c r="E762" s="8"/>
      <c r="F762" s="8"/>
      <c r="G762" s="8"/>
    </row>
    <row r="763" ht="15.75" customHeight="1">
      <c r="A763" s="8"/>
      <c r="B763" s="8"/>
      <c r="C763" s="8"/>
      <c r="D763" s="8"/>
      <c r="E763" s="8"/>
      <c r="F763" s="8"/>
      <c r="G763" s="8"/>
    </row>
    <row r="764" ht="15.75" customHeight="1">
      <c r="A764" s="8"/>
      <c r="B764" s="8"/>
      <c r="C764" s="8"/>
      <c r="D764" s="8"/>
      <c r="E764" s="8"/>
      <c r="F764" s="8"/>
      <c r="G764" s="8"/>
    </row>
    <row r="765" ht="15.75" customHeight="1">
      <c r="A765" s="8"/>
      <c r="B765" s="8"/>
      <c r="C765" s="8"/>
      <c r="D765" s="8"/>
      <c r="E765" s="8"/>
      <c r="F765" s="8"/>
      <c r="G765" s="8"/>
    </row>
    <row r="766" ht="15.75" customHeight="1">
      <c r="A766" s="8"/>
      <c r="B766" s="8"/>
      <c r="C766" s="8"/>
      <c r="D766" s="8"/>
      <c r="E766" s="8"/>
      <c r="F766" s="8"/>
      <c r="G766" s="8"/>
    </row>
    <row r="767" ht="15.75" customHeight="1">
      <c r="A767" s="8"/>
      <c r="B767" s="8"/>
      <c r="C767" s="8"/>
      <c r="D767" s="8"/>
      <c r="E767" s="8"/>
      <c r="F767" s="8"/>
      <c r="G767" s="8"/>
    </row>
    <row r="768" ht="15.75" customHeight="1">
      <c r="A768" s="8"/>
      <c r="B768" s="8"/>
      <c r="C768" s="8"/>
      <c r="D768" s="8"/>
      <c r="E768" s="8"/>
      <c r="F768" s="8"/>
      <c r="G768" s="8"/>
    </row>
    <row r="769" ht="15.75" customHeight="1">
      <c r="A769" s="8"/>
      <c r="B769" s="8"/>
      <c r="C769" s="8"/>
      <c r="D769" s="8"/>
      <c r="E769" s="8"/>
      <c r="F769" s="8"/>
      <c r="G769" s="8"/>
    </row>
    <row r="770" ht="15.75" customHeight="1">
      <c r="A770" s="8"/>
      <c r="B770" s="8"/>
      <c r="C770" s="8"/>
      <c r="D770" s="8"/>
      <c r="E770" s="8"/>
      <c r="F770" s="8"/>
      <c r="G770" s="8"/>
    </row>
    <row r="771" ht="15.75" customHeight="1">
      <c r="A771" s="8"/>
      <c r="B771" s="8"/>
      <c r="C771" s="8"/>
      <c r="D771" s="8"/>
      <c r="E771" s="8"/>
      <c r="F771" s="8"/>
      <c r="G771" s="8"/>
    </row>
    <row r="772" ht="15.75" customHeight="1">
      <c r="A772" s="8"/>
      <c r="B772" s="8"/>
      <c r="C772" s="8"/>
      <c r="D772" s="8"/>
      <c r="E772" s="8"/>
      <c r="F772" s="8"/>
      <c r="G772" s="8"/>
    </row>
    <row r="773" ht="15.75" customHeight="1">
      <c r="A773" s="8"/>
      <c r="B773" s="8"/>
      <c r="C773" s="8"/>
      <c r="D773" s="8"/>
      <c r="E773" s="8"/>
      <c r="F773" s="8"/>
      <c r="G773" s="8"/>
    </row>
    <row r="774" ht="15.75" customHeight="1">
      <c r="A774" s="8"/>
      <c r="B774" s="8"/>
      <c r="C774" s="8"/>
      <c r="D774" s="8"/>
      <c r="E774" s="8"/>
      <c r="F774" s="8"/>
      <c r="G774" s="8"/>
    </row>
    <row r="775" ht="15.75" customHeight="1">
      <c r="A775" s="8"/>
      <c r="B775" s="8"/>
      <c r="C775" s="8"/>
      <c r="D775" s="8"/>
      <c r="E775" s="8"/>
      <c r="F775" s="8"/>
      <c r="G775" s="8"/>
    </row>
    <row r="776" ht="15.75" customHeight="1">
      <c r="A776" s="8"/>
      <c r="B776" s="8"/>
      <c r="C776" s="8"/>
      <c r="D776" s="8"/>
      <c r="E776" s="8"/>
      <c r="F776" s="8"/>
      <c r="G776" s="8"/>
    </row>
    <row r="777" ht="15.75" customHeight="1">
      <c r="A777" s="8"/>
      <c r="B777" s="8"/>
      <c r="C777" s="8"/>
      <c r="D777" s="8"/>
      <c r="E777" s="8"/>
      <c r="F777" s="8"/>
      <c r="G777" s="8"/>
    </row>
    <row r="778" ht="15.75" customHeight="1">
      <c r="A778" s="8"/>
      <c r="B778" s="8"/>
      <c r="C778" s="8"/>
      <c r="D778" s="8"/>
      <c r="E778" s="8"/>
      <c r="F778" s="8"/>
      <c r="G778" s="8"/>
    </row>
    <row r="779" ht="15.75" customHeight="1">
      <c r="A779" s="8"/>
      <c r="B779" s="8"/>
      <c r="C779" s="8"/>
      <c r="D779" s="8"/>
      <c r="E779" s="8"/>
      <c r="F779" s="8"/>
      <c r="G779" s="8"/>
    </row>
    <row r="780" ht="15.75" customHeight="1">
      <c r="A780" s="8"/>
      <c r="B780" s="8"/>
      <c r="C780" s="8"/>
      <c r="D780" s="8"/>
      <c r="E780" s="8"/>
      <c r="F780" s="8"/>
      <c r="G780" s="8"/>
    </row>
    <row r="781" ht="15.75" customHeight="1">
      <c r="A781" s="8"/>
      <c r="B781" s="8"/>
      <c r="C781" s="8"/>
      <c r="D781" s="8"/>
      <c r="E781" s="8"/>
      <c r="F781" s="8"/>
      <c r="G781" s="8"/>
    </row>
    <row r="782" ht="15.75" customHeight="1">
      <c r="A782" s="8"/>
      <c r="B782" s="8"/>
      <c r="C782" s="8"/>
      <c r="D782" s="8"/>
      <c r="E782" s="8"/>
      <c r="F782" s="8"/>
      <c r="G782" s="8"/>
    </row>
    <row r="783" ht="15.75" customHeight="1">
      <c r="A783" s="8"/>
      <c r="B783" s="8"/>
      <c r="C783" s="8"/>
      <c r="D783" s="8"/>
      <c r="E783" s="8"/>
      <c r="F783" s="8"/>
      <c r="G783" s="8"/>
    </row>
    <row r="784" ht="15.75" customHeight="1">
      <c r="A784" s="8"/>
      <c r="B784" s="8"/>
      <c r="C784" s="8"/>
      <c r="D784" s="8"/>
      <c r="E784" s="8"/>
      <c r="F784" s="8"/>
      <c r="G784" s="8"/>
    </row>
    <row r="785" ht="15.75" customHeight="1">
      <c r="A785" s="8"/>
      <c r="B785" s="8"/>
      <c r="C785" s="8"/>
      <c r="D785" s="8"/>
      <c r="E785" s="8"/>
      <c r="F785" s="8"/>
      <c r="G785" s="8"/>
    </row>
    <row r="786" ht="15.75" customHeight="1">
      <c r="A786" s="8"/>
      <c r="B786" s="8"/>
      <c r="C786" s="8"/>
      <c r="D786" s="8"/>
      <c r="E786" s="8"/>
      <c r="F786" s="8"/>
      <c r="G786" s="8"/>
    </row>
    <row r="787" ht="15.75" customHeight="1">
      <c r="A787" s="8"/>
      <c r="B787" s="8"/>
      <c r="C787" s="8"/>
      <c r="D787" s="8"/>
      <c r="E787" s="8"/>
      <c r="F787" s="8"/>
      <c r="G787" s="8"/>
    </row>
    <row r="788" ht="15.75" customHeight="1">
      <c r="A788" s="8"/>
      <c r="B788" s="8"/>
      <c r="C788" s="8"/>
      <c r="D788" s="8"/>
      <c r="E788" s="8"/>
      <c r="F788" s="8"/>
      <c r="G788" s="8"/>
    </row>
    <row r="789" ht="15.75" customHeight="1">
      <c r="A789" s="8"/>
      <c r="B789" s="8"/>
      <c r="C789" s="8"/>
      <c r="D789" s="8"/>
      <c r="E789" s="8"/>
      <c r="F789" s="8"/>
      <c r="G789" s="8"/>
    </row>
    <row r="790" ht="15.75" customHeight="1">
      <c r="A790" s="8"/>
      <c r="B790" s="8"/>
      <c r="C790" s="8"/>
      <c r="D790" s="8"/>
      <c r="E790" s="8"/>
      <c r="F790" s="8"/>
      <c r="G790" s="8"/>
    </row>
    <row r="791" ht="15.75" customHeight="1">
      <c r="A791" s="8"/>
      <c r="B791" s="8"/>
      <c r="C791" s="8"/>
      <c r="D791" s="8"/>
      <c r="E791" s="8"/>
      <c r="F791" s="8"/>
      <c r="G791" s="8"/>
    </row>
    <row r="792" ht="15.75" customHeight="1">
      <c r="A792" s="8"/>
      <c r="B792" s="8"/>
      <c r="C792" s="8"/>
      <c r="D792" s="8"/>
      <c r="E792" s="8"/>
      <c r="F792" s="8"/>
      <c r="G792" s="8"/>
    </row>
    <row r="793" ht="15.75" customHeight="1">
      <c r="A793" s="8"/>
      <c r="B793" s="8"/>
      <c r="C793" s="8"/>
      <c r="D793" s="8"/>
      <c r="E793" s="8"/>
      <c r="F793" s="8"/>
      <c r="G793" s="8"/>
    </row>
    <row r="794" ht="15.75" customHeight="1">
      <c r="A794" s="8"/>
      <c r="B794" s="8"/>
      <c r="C794" s="8"/>
      <c r="D794" s="8"/>
      <c r="E794" s="8"/>
      <c r="F794" s="8"/>
      <c r="G794" s="8"/>
    </row>
    <row r="795" ht="15.75" customHeight="1">
      <c r="A795" s="8"/>
      <c r="B795" s="8"/>
      <c r="C795" s="8"/>
      <c r="D795" s="8"/>
      <c r="E795" s="8"/>
      <c r="F795" s="8"/>
      <c r="G795" s="8"/>
    </row>
    <row r="796" ht="15.75" customHeight="1">
      <c r="A796" s="8"/>
      <c r="B796" s="8"/>
      <c r="C796" s="8"/>
      <c r="D796" s="8"/>
      <c r="E796" s="8"/>
      <c r="F796" s="8"/>
      <c r="G796" s="8"/>
    </row>
    <row r="797" ht="15.75" customHeight="1">
      <c r="A797" s="8"/>
      <c r="B797" s="8"/>
      <c r="C797" s="8"/>
      <c r="D797" s="8"/>
      <c r="E797" s="8"/>
      <c r="F797" s="8"/>
      <c r="G797" s="8"/>
    </row>
    <row r="798" ht="15.75" customHeight="1">
      <c r="A798" s="8"/>
      <c r="B798" s="8"/>
      <c r="C798" s="8"/>
      <c r="D798" s="8"/>
      <c r="E798" s="8"/>
      <c r="F798" s="8"/>
      <c r="G798" s="8"/>
    </row>
    <row r="799" ht="15.75" customHeight="1">
      <c r="A799" s="8"/>
      <c r="B799" s="8"/>
      <c r="C799" s="8"/>
      <c r="D799" s="8"/>
      <c r="E799" s="8"/>
      <c r="F799" s="8"/>
      <c r="G799" s="8"/>
    </row>
    <row r="800" ht="15.75" customHeight="1">
      <c r="A800" s="8"/>
      <c r="B800" s="8"/>
      <c r="C800" s="8"/>
      <c r="D800" s="8"/>
      <c r="E800" s="8"/>
      <c r="F800" s="8"/>
      <c r="G800" s="8"/>
    </row>
    <row r="801" ht="15.75" customHeight="1">
      <c r="A801" s="8"/>
      <c r="B801" s="8"/>
      <c r="C801" s="8"/>
      <c r="D801" s="8"/>
      <c r="E801" s="8"/>
      <c r="F801" s="8"/>
      <c r="G801" s="8"/>
    </row>
    <row r="802" ht="15.75" customHeight="1">
      <c r="A802" s="8"/>
      <c r="B802" s="8"/>
      <c r="C802" s="8"/>
      <c r="D802" s="8"/>
      <c r="E802" s="8"/>
      <c r="F802" s="8"/>
      <c r="G802" s="8"/>
    </row>
    <row r="803" ht="15.75" customHeight="1">
      <c r="A803" s="8"/>
      <c r="B803" s="8"/>
      <c r="C803" s="8"/>
      <c r="D803" s="8"/>
      <c r="E803" s="8"/>
      <c r="F803" s="8"/>
      <c r="G803" s="8"/>
    </row>
    <row r="804" ht="15.75" customHeight="1">
      <c r="A804" s="8"/>
      <c r="B804" s="8"/>
      <c r="C804" s="8"/>
      <c r="D804" s="8"/>
      <c r="E804" s="8"/>
      <c r="F804" s="8"/>
      <c r="G804" s="8"/>
    </row>
    <row r="805" ht="15.75" customHeight="1">
      <c r="A805" s="8"/>
      <c r="B805" s="8"/>
      <c r="C805" s="8"/>
      <c r="D805" s="8"/>
      <c r="E805" s="8"/>
      <c r="F805" s="8"/>
      <c r="G805" s="8"/>
    </row>
    <row r="806" ht="15.75" customHeight="1">
      <c r="A806" s="8"/>
      <c r="B806" s="8"/>
      <c r="C806" s="8"/>
      <c r="D806" s="8"/>
      <c r="E806" s="8"/>
      <c r="F806" s="8"/>
      <c r="G806" s="8"/>
    </row>
    <row r="807" ht="15.75" customHeight="1">
      <c r="A807" s="8"/>
      <c r="B807" s="8"/>
      <c r="C807" s="8"/>
      <c r="D807" s="8"/>
      <c r="E807" s="8"/>
      <c r="F807" s="8"/>
      <c r="G807" s="8"/>
    </row>
    <row r="808" ht="15.75" customHeight="1">
      <c r="A808" s="8"/>
      <c r="B808" s="8"/>
      <c r="C808" s="8"/>
      <c r="D808" s="8"/>
      <c r="E808" s="8"/>
      <c r="F808" s="8"/>
      <c r="G808" s="8"/>
    </row>
    <row r="809" ht="15.75" customHeight="1">
      <c r="A809" s="8"/>
      <c r="B809" s="8"/>
      <c r="C809" s="8"/>
      <c r="D809" s="8"/>
      <c r="E809" s="8"/>
      <c r="F809" s="8"/>
      <c r="G809" s="8"/>
    </row>
    <row r="810" ht="15.75" customHeight="1">
      <c r="A810" s="8"/>
      <c r="B810" s="8"/>
      <c r="C810" s="8"/>
      <c r="D810" s="8"/>
      <c r="E810" s="8"/>
      <c r="F810" s="8"/>
      <c r="G810" s="8"/>
    </row>
    <row r="811" ht="15.75" customHeight="1">
      <c r="A811" s="8"/>
      <c r="B811" s="8"/>
      <c r="C811" s="8"/>
      <c r="D811" s="8"/>
      <c r="E811" s="8"/>
      <c r="F811" s="8"/>
      <c r="G811" s="8"/>
    </row>
    <row r="812" ht="15.75" customHeight="1">
      <c r="A812" s="8"/>
      <c r="B812" s="8"/>
      <c r="C812" s="8"/>
      <c r="D812" s="8"/>
      <c r="E812" s="8"/>
      <c r="F812" s="8"/>
      <c r="G812" s="8"/>
    </row>
    <row r="813" ht="15.75" customHeight="1">
      <c r="A813" s="8"/>
      <c r="B813" s="8"/>
      <c r="C813" s="8"/>
      <c r="D813" s="8"/>
      <c r="E813" s="8"/>
      <c r="F813" s="8"/>
      <c r="G813" s="8"/>
    </row>
    <row r="814" ht="15.75" customHeight="1">
      <c r="A814" s="8"/>
      <c r="B814" s="8"/>
      <c r="C814" s="8"/>
      <c r="D814" s="8"/>
      <c r="E814" s="8"/>
      <c r="F814" s="8"/>
      <c r="G814" s="8"/>
    </row>
    <row r="815" ht="15.75" customHeight="1">
      <c r="A815" s="8"/>
      <c r="B815" s="8"/>
      <c r="C815" s="8"/>
      <c r="D815" s="8"/>
      <c r="E815" s="8"/>
      <c r="F815" s="8"/>
      <c r="G815" s="8"/>
    </row>
    <row r="816" ht="15.75" customHeight="1">
      <c r="A816" s="8"/>
      <c r="B816" s="8"/>
      <c r="C816" s="8"/>
      <c r="D816" s="8"/>
      <c r="E816" s="8"/>
      <c r="F816" s="8"/>
      <c r="G816" s="8"/>
    </row>
    <row r="817" ht="15.75" customHeight="1">
      <c r="A817" s="8"/>
      <c r="B817" s="8"/>
      <c r="C817" s="8"/>
      <c r="D817" s="8"/>
      <c r="E817" s="8"/>
      <c r="F817" s="8"/>
      <c r="G817" s="8"/>
    </row>
    <row r="818" ht="15.75" customHeight="1">
      <c r="A818" s="8"/>
      <c r="B818" s="8"/>
      <c r="C818" s="8"/>
      <c r="D818" s="8"/>
      <c r="E818" s="8"/>
      <c r="F818" s="8"/>
      <c r="G818" s="8"/>
    </row>
    <row r="819" ht="15.75" customHeight="1">
      <c r="A819" s="8"/>
      <c r="B819" s="8"/>
      <c r="C819" s="8"/>
      <c r="D819" s="8"/>
      <c r="E819" s="8"/>
      <c r="F819" s="8"/>
      <c r="G819" s="8"/>
    </row>
    <row r="820" ht="15.75" customHeight="1">
      <c r="A820" s="8"/>
      <c r="B820" s="8"/>
      <c r="C820" s="8"/>
      <c r="D820" s="8"/>
      <c r="E820" s="8"/>
      <c r="F820" s="8"/>
      <c r="G820" s="8"/>
    </row>
    <row r="821" ht="15.75" customHeight="1">
      <c r="A821" s="8"/>
      <c r="B821" s="8"/>
      <c r="C821" s="8"/>
      <c r="D821" s="8"/>
      <c r="E821" s="8"/>
      <c r="F821" s="8"/>
      <c r="G821" s="8"/>
    </row>
    <row r="822" ht="15.75" customHeight="1">
      <c r="A822" s="8"/>
      <c r="B822" s="8"/>
      <c r="C822" s="8"/>
      <c r="D822" s="8"/>
      <c r="E822" s="8"/>
      <c r="F822" s="8"/>
      <c r="G822" s="8"/>
    </row>
    <row r="823" ht="15.75" customHeight="1">
      <c r="A823" s="8"/>
      <c r="B823" s="8"/>
      <c r="C823" s="8"/>
      <c r="D823" s="8"/>
      <c r="E823" s="8"/>
      <c r="F823" s="8"/>
      <c r="G823" s="8"/>
    </row>
    <row r="824" ht="15.75" customHeight="1">
      <c r="A824" s="8"/>
      <c r="B824" s="8"/>
      <c r="C824" s="8"/>
      <c r="D824" s="8"/>
      <c r="E824" s="8"/>
      <c r="F824" s="8"/>
      <c r="G824" s="8"/>
    </row>
    <row r="825" ht="15.75" customHeight="1">
      <c r="A825" s="8"/>
      <c r="B825" s="8"/>
      <c r="C825" s="8"/>
      <c r="D825" s="8"/>
      <c r="E825" s="8"/>
      <c r="F825" s="8"/>
      <c r="G825" s="8"/>
    </row>
    <row r="826" ht="15.75" customHeight="1">
      <c r="A826" s="8"/>
      <c r="B826" s="8"/>
      <c r="C826" s="8"/>
      <c r="D826" s="8"/>
      <c r="E826" s="8"/>
      <c r="F826" s="8"/>
      <c r="G826" s="8"/>
    </row>
    <row r="827" ht="15.75" customHeight="1">
      <c r="A827" s="8"/>
      <c r="B827" s="8"/>
      <c r="C827" s="8"/>
      <c r="D827" s="8"/>
      <c r="E827" s="8"/>
      <c r="F827" s="8"/>
      <c r="G827" s="8"/>
    </row>
    <row r="828" ht="15.75" customHeight="1">
      <c r="A828" s="8"/>
      <c r="B828" s="8"/>
      <c r="C828" s="8"/>
      <c r="D828" s="8"/>
      <c r="E828" s="8"/>
      <c r="F828" s="8"/>
      <c r="G828" s="8"/>
    </row>
    <row r="829" ht="15.75" customHeight="1">
      <c r="A829" s="8"/>
      <c r="B829" s="8"/>
      <c r="C829" s="8"/>
      <c r="D829" s="8"/>
      <c r="E829" s="8"/>
      <c r="F829" s="8"/>
      <c r="G829" s="8"/>
    </row>
    <row r="830" ht="15.75" customHeight="1">
      <c r="A830" s="8"/>
      <c r="B830" s="8"/>
      <c r="C830" s="8"/>
      <c r="D830" s="8"/>
      <c r="E830" s="8"/>
      <c r="F830" s="8"/>
      <c r="G830" s="8"/>
    </row>
    <row r="831" ht="15.75" customHeight="1">
      <c r="A831" s="8"/>
      <c r="B831" s="8"/>
      <c r="C831" s="8"/>
      <c r="D831" s="8"/>
      <c r="E831" s="8"/>
      <c r="F831" s="8"/>
      <c r="G831" s="8"/>
    </row>
    <row r="832" ht="15.75" customHeight="1">
      <c r="A832" s="8"/>
      <c r="B832" s="8"/>
      <c r="C832" s="8"/>
      <c r="D832" s="8"/>
      <c r="E832" s="8"/>
      <c r="F832" s="8"/>
      <c r="G832" s="8"/>
    </row>
    <row r="833" ht="15.75" customHeight="1">
      <c r="A833" s="8"/>
      <c r="B833" s="8"/>
      <c r="C833" s="8"/>
      <c r="D833" s="8"/>
      <c r="E833" s="8"/>
      <c r="F833" s="8"/>
      <c r="G833" s="8"/>
    </row>
    <row r="834" ht="15.75" customHeight="1">
      <c r="A834" s="8"/>
      <c r="B834" s="8"/>
      <c r="C834" s="8"/>
      <c r="D834" s="8"/>
      <c r="E834" s="8"/>
      <c r="F834" s="8"/>
      <c r="G834" s="8"/>
    </row>
    <row r="835" ht="15.75" customHeight="1">
      <c r="A835" s="8"/>
      <c r="B835" s="8"/>
      <c r="C835" s="8"/>
      <c r="D835" s="8"/>
      <c r="E835" s="8"/>
      <c r="F835" s="8"/>
      <c r="G835" s="8"/>
    </row>
    <row r="836" ht="15.75" customHeight="1">
      <c r="A836" s="8"/>
      <c r="B836" s="8"/>
      <c r="C836" s="8"/>
      <c r="D836" s="8"/>
      <c r="E836" s="8"/>
      <c r="F836" s="8"/>
      <c r="G836" s="8"/>
    </row>
    <row r="837" ht="15.75" customHeight="1">
      <c r="A837" s="8"/>
      <c r="B837" s="8"/>
      <c r="C837" s="8"/>
      <c r="D837" s="8"/>
      <c r="E837" s="8"/>
      <c r="F837" s="8"/>
      <c r="G837" s="8"/>
    </row>
    <row r="838" ht="15.75" customHeight="1">
      <c r="A838" s="8"/>
      <c r="B838" s="8"/>
      <c r="C838" s="8"/>
      <c r="D838" s="8"/>
      <c r="E838" s="8"/>
      <c r="F838" s="8"/>
      <c r="G838" s="8"/>
    </row>
    <row r="839" ht="15.75" customHeight="1">
      <c r="A839" s="8"/>
      <c r="B839" s="8"/>
      <c r="C839" s="8"/>
      <c r="D839" s="8"/>
      <c r="E839" s="8"/>
      <c r="F839" s="8"/>
      <c r="G839" s="8"/>
    </row>
    <row r="840" ht="15.75" customHeight="1">
      <c r="A840" s="8"/>
      <c r="B840" s="8"/>
      <c r="C840" s="8"/>
      <c r="D840" s="8"/>
      <c r="E840" s="8"/>
      <c r="F840" s="8"/>
      <c r="G840" s="8"/>
    </row>
    <row r="841" ht="15.75" customHeight="1">
      <c r="A841" s="8"/>
      <c r="B841" s="8"/>
      <c r="C841" s="8"/>
      <c r="D841" s="8"/>
      <c r="E841" s="8"/>
      <c r="F841" s="8"/>
      <c r="G841" s="8"/>
    </row>
    <row r="842" ht="15.75" customHeight="1">
      <c r="A842" s="8"/>
      <c r="B842" s="8"/>
      <c r="C842" s="8"/>
      <c r="D842" s="8"/>
      <c r="E842" s="8"/>
      <c r="F842" s="8"/>
      <c r="G842" s="8"/>
    </row>
    <row r="843" ht="15.75" customHeight="1">
      <c r="A843" s="8"/>
      <c r="B843" s="8"/>
      <c r="C843" s="8"/>
      <c r="D843" s="8"/>
      <c r="E843" s="8"/>
      <c r="F843" s="8"/>
      <c r="G843" s="8"/>
    </row>
    <row r="844" ht="15.75" customHeight="1">
      <c r="A844" s="8"/>
      <c r="B844" s="8"/>
      <c r="C844" s="8"/>
      <c r="D844" s="8"/>
      <c r="E844" s="8"/>
      <c r="F844" s="8"/>
      <c r="G844" s="8"/>
    </row>
    <row r="845" ht="15.75" customHeight="1">
      <c r="A845" s="8"/>
      <c r="B845" s="8"/>
      <c r="C845" s="8"/>
      <c r="D845" s="8"/>
      <c r="E845" s="8"/>
      <c r="F845" s="8"/>
      <c r="G845" s="8"/>
    </row>
    <row r="846" ht="15.75" customHeight="1">
      <c r="A846" s="8"/>
      <c r="B846" s="8"/>
      <c r="C846" s="8"/>
      <c r="D846" s="8"/>
      <c r="E846" s="8"/>
      <c r="F846" s="8"/>
      <c r="G846" s="8"/>
    </row>
    <row r="847" ht="15.75" customHeight="1">
      <c r="A847" s="8"/>
      <c r="B847" s="8"/>
      <c r="C847" s="8"/>
      <c r="D847" s="8"/>
      <c r="E847" s="8"/>
      <c r="F847" s="8"/>
      <c r="G847" s="8"/>
    </row>
    <row r="848" ht="15.75" customHeight="1">
      <c r="A848" s="8"/>
      <c r="B848" s="8"/>
      <c r="C848" s="8"/>
      <c r="D848" s="8"/>
      <c r="E848" s="8"/>
      <c r="F848" s="8"/>
      <c r="G848" s="8"/>
    </row>
    <row r="849" ht="15.75" customHeight="1">
      <c r="A849" s="8"/>
      <c r="B849" s="8"/>
      <c r="C849" s="8"/>
      <c r="D849" s="8"/>
      <c r="E849" s="8"/>
      <c r="F849" s="8"/>
      <c r="G849" s="8"/>
    </row>
    <row r="850" ht="15.75" customHeight="1">
      <c r="A850" s="8"/>
      <c r="B850" s="8"/>
      <c r="C850" s="8"/>
      <c r="D850" s="8"/>
      <c r="E850" s="8"/>
      <c r="F850" s="8"/>
      <c r="G850" s="8"/>
    </row>
    <row r="851" ht="15.75" customHeight="1">
      <c r="A851" s="8"/>
      <c r="B851" s="8"/>
      <c r="C851" s="8"/>
      <c r="D851" s="8"/>
      <c r="E851" s="8"/>
      <c r="F851" s="8"/>
      <c r="G851" s="8"/>
    </row>
    <row r="852" ht="15.75" customHeight="1">
      <c r="A852" s="8"/>
      <c r="B852" s="8"/>
      <c r="C852" s="8"/>
      <c r="D852" s="8"/>
      <c r="E852" s="8"/>
      <c r="F852" s="8"/>
      <c r="G852" s="8"/>
    </row>
    <row r="853" ht="15.75" customHeight="1">
      <c r="A853" s="8"/>
      <c r="B853" s="8"/>
      <c r="C853" s="8"/>
      <c r="D853" s="8"/>
      <c r="E853" s="8"/>
      <c r="F853" s="8"/>
      <c r="G853" s="8"/>
    </row>
    <row r="854" ht="15.75" customHeight="1">
      <c r="A854" s="8"/>
      <c r="B854" s="8"/>
      <c r="C854" s="8"/>
      <c r="D854" s="8"/>
      <c r="E854" s="8"/>
      <c r="F854" s="8"/>
      <c r="G854" s="8"/>
    </row>
    <row r="855" ht="15.75" customHeight="1">
      <c r="A855" s="8"/>
      <c r="B855" s="8"/>
      <c r="C855" s="8"/>
      <c r="D855" s="8"/>
      <c r="E855" s="8"/>
      <c r="F855" s="8"/>
      <c r="G855" s="8"/>
    </row>
    <row r="856" ht="15.75" customHeight="1">
      <c r="A856" s="8"/>
      <c r="B856" s="8"/>
      <c r="C856" s="8"/>
      <c r="D856" s="8"/>
      <c r="E856" s="8"/>
      <c r="F856" s="8"/>
      <c r="G856" s="8"/>
    </row>
    <row r="857" ht="15.75" customHeight="1">
      <c r="A857" s="8"/>
      <c r="B857" s="8"/>
      <c r="C857" s="8"/>
      <c r="D857" s="8"/>
      <c r="E857" s="8"/>
      <c r="F857" s="8"/>
      <c r="G857" s="8"/>
    </row>
    <row r="858" ht="15.75" customHeight="1">
      <c r="A858" s="8"/>
      <c r="B858" s="8"/>
      <c r="C858" s="8"/>
      <c r="D858" s="8"/>
      <c r="E858" s="8"/>
      <c r="F858" s="8"/>
      <c r="G858" s="8"/>
    </row>
    <row r="859" ht="15.75" customHeight="1">
      <c r="A859" s="8"/>
      <c r="B859" s="8"/>
      <c r="C859" s="8"/>
      <c r="D859" s="8"/>
      <c r="E859" s="8"/>
      <c r="F859" s="8"/>
      <c r="G859" s="8"/>
    </row>
    <row r="860" ht="15.75" customHeight="1">
      <c r="A860" s="8"/>
      <c r="B860" s="8"/>
      <c r="C860" s="8"/>
      <c r="D860" s="8"/>
      <c r="E860" s="8"/>
      <c r="F860" s="8"/>
      <c r="G860" s="8"/>
    </row>
    <row r="861" ht="15.75" customHeight="1">
      <c r="A861" s="8"/>
      <c r="B861" s="8"/>
      <c r="C861" s="8"/>
      <c r="D861" s="8"/>
      <c r="E861" s="8"/>
      <c r="F861" s="8"/>
      <c r="G861" s="8"/>
    </row>
    <row r="862" ht="15.75" customHeight="1">
      <c r="A862" s="8"/>
      <c r="B862" s="8"/>
      <c r="C862" s="8"/>
      <c r="D862" s="8"/>
      <c r="E862" s="8"/>
      <c r="F862" s="8"/>
      <c r="G862" s="8"/>
    </row>
    <row r="863" ht="15.75" customHeight="1">
      <c r="A863" s="8"/>
      <c r="B863" s="8"/>
      <c r="C863" s="8"/>
      <c r="D863" s="8"/>
      <c r="E863" s="8"/>
      <c r="F863" s="8"/>
      <c r="G863" s="8"/>
    </row>
    <row r="864" ht="15.75" customHeight="1">
      <c r="A864" s="8"/>
      <c r="B864" s="8"/>
      <c r="C864" s="8"/>
      <c r="D864" s="8"/>
      <c r="E864" s="8"/>
      <c r="F864" s="8"/>
      <c r="G864" s="8"/>
    </row>
    <row r="865" ht="15.75" customHeight="1">
      <c r="A865" s="8"/>
      <c r="B865" s="8"/>
      <c r="C865" s="8"/>
      <c r="D865" s="8"/>
      <c r="E865" s="8"/>
      <c r="F865" s="8"/>
      <c r="G865" s="8"/>
    </row>
    <row r="866" ht="15.75" customHeight="1">
      <c r="A866" s="8"/>
      <c r="B866" s="8"/>
      <c r="C866" s="8"/>
      <c r="D866" s="8"/>
      <c r="E866" s="8"/>
      <c r="F866" s="8"/>
      <c r="G866" s="8"/>
    </row>
    <row r="867" ht="15.75" customHeight="1">
      <c r="A867" s="8"/>
      <c r="B867" s="8"/>
      <c r="C867" s="8"/>
      <c r="D867" s="8"/>
      <c r="E867" s="8"/>
      <c r="F867" s="8"/>
      <c r="G867" s="8"/>
    </row>
    <row r="868" ht="15.75" customHeight="1">
      <c r="A868" s="8"/>
      <c r="B868" s="8"/>
      <c r="C868" s="8"/>
      <c r="D868" s="8"/>
      <c r="E868" s="8"/>
      <c r="F868" s="8"/>
      <c r="G868" s="8"/>
    </row>
    <row r="869" ht="15.75" customHeight="1">
      <c r="A869" s="8"/>
      <c r="B869" s="8"/>
      <c r="C869" s="8"/>
      <c r="D869" s="8"/>
      <c r="E869" s="8"/>
      <c r="F869" s="8"/>
      <c r="G869" s="8"/>
    </row>
    <row r="870" ht="15.75" customHeight="1">
      <c r="A870" s="8"/>
      <c r="B870" s="8"/>
      <c r="C870" s="8"/>
      <c r="D870" s="8"/>
      <c r="E870" s="8"/>
      <c r="F870" s="8"/>
      <c r="G870" s="8"/>
    </row>
    <row r="871" ht="15.75" customHeight="1">
      <c r="A871" s="8"/>
      <c r="B871" s="8"/>
      <c r="C871" s="8"/>
      <c r="D871" s="8"/>
      <c r="E871" s="8"/>
      <c r="F871" s="8"/>
      <c r="G871" s="8"/>
    </row>
    <row r="872" ht="15.75" customHeight="1">
      <c r="A872" s="8"/>
      <c r="B872" s="8"/>
      <c r="C872" s="8"/>
      <c r="D872" s="8"/>
      <c r="E872" s="8"/>
      <c r="F872" s="8"/>
      <c r="G872" s="8"/>
    </row>
    <row r="873" ht="15.75" customHeight="1">
      <c r="A873" s="8"/>
      <c r="B873" s="8"/>
      <c r="C873" s="8"/>
      <c r="D873" s="8"/>
      <c r="E873" s="8"/>
      <c r="F873" s="8"/>
      <c r="G873" s="8"/>
    </row>
    <row r="874" ht="15.75" customHeight="1">
      <c r="A874" s="8"/>
      <c r="B874" s="8"/>
      <c r="C874" s="8"/>
      <c r="D874" s="8"/>
      <c r="E874" s="8"/>
      <c r="F874" s="8"/>
      <c r="G874" s="8"/>
    </row>
    <row r="875" ht="15.75" customHeight="1">
      <c r="A875" s="8"/>
      <c r="B875" s="8"/>
      <c r="C875" s="8"/>
      <c r="D875" s="8"/>
      <c r="E875" s="8"/>
      <c r="F875" s="8"/>
      <c r="G875" s="8"/>
    </row>
    <row r="876" ht="15.75" customHeight="1">
      <c r="A876" s="8"/>
      <c r="B876" s="8"/>
      <c r="C876" s="8"/>
      <c r="D876" s="8"/>
      <c r="E876" s="8"/>
      <c r="F876" s="8"/>
      <c r="G876" s="8"/>
    </row>
    <row r="877" ht="15.75" customHeight="1">
      <c r="A877" s="8"/>
      <c r="B877" s="8"/>
      <c r="C877" s="8"/>
      <c r="D877" s="8"/>
      <c r="E877" s="8"/>
      <c r="F877" s="8"/>
      <c r="G877" s="8"/>
    </row>
    <row r="878" ht="15.75" customHeight="1">
      <c r="A878" s="8"/>
      <c r="B878" s="8"/>
      <c r="C878" s="8"/>
      <c r="D878" s="8"/>
      <c r="E878" s="8"/>
      <c r="F878" s="8"/>
      <c r="G878" s="8"/>
    </row>
    <row r="879" ht="15.75" customHeight="1">
      <c r="A879" s="8"/>
      <c r="B879" s="8"/>
      <c r="C879" s="8"/>
      <c r="D879" s="8"/>
      <c r="E879" s="8"/>
      <c r="F879" s="8"/>
      <c r="G879" s="8"/>
    </row>
    <row r="880" ht="15.75" customHeight="1">
      <c r="A880" s="8"/>
      <c r="B880" s="8"/>
      <c r="C880" s="8"/>
      <c r="D880" s="8"/>
      <c r="E880" s="8"/>
      <c r="F880" s="8"/>
      <c r="G880" s="8"/>
    </row>
    <row r="881" ht="15.75" customHeight="1">
      <c r="A881" s="8"/>
      <c r="B881" s="8"/>
      <c r="C881" s="8"/>
      <c r="D881" s="8"/>
      <c r="E881" s="8"/>
      <c r="F881" s="8"/>
      <c r="G881" s="8"/>
    </row>
    <row r="882" ht="15.75" customHeight="1">
      <c r="A882" s="8"/>
      <c r="B882" s="8"/>
      <c r="C882" s="8"/>
      <c r="D882" s="8"/>
      <c r="E882" s="8"/>
      <c r="F882" s="8"/>
      <c r="G882" s="8"/>
    </row>
    <row r="883" ht="15.75" customHeight="1">
      <c r="A883" s="8"/>
      <c r="B883" s="8"/>
      <c r="C883" s="8"/>
      <c r="D883" s="8"/>
      <c r="E883" s="8"/>
      <c r="F883" s="8"/>
      <c r="G883" s="8"/>
    </row>
    <row r="884" ht="15.75" customHeight="1">
      <c r="A884" s="8"/>
      <c r="B884" s="8"/>
      <c r="C884" s="8"/>
      <c r="D884" s="8"/>
      <c r="E884" s="8"/>
      <c r="F884" s="8"/>
      <c r="G884" s="8"/>
    </row>
    <row r="885" ht="15.75" customHeight="1">
      <c r="A885" s="8"/>
      <c r="B885" s="8"/>
      <c r="C885" s="8"/>
      <c r="D885" s="8"/>
      <c r="E885" s="8"/>
      <c r="F885" s="8"/>
      <c r="G885" s="8"/>
    </row>
    <row r="886" ht="15.75" customHeight="1">
      <c r="A886" s="8"/>
      <c r="B886" s="8"/>
      <c r="C886" s="8"/>
      <c r="D886" s="8"/>
      <c r="E886" s="8"/>
      <c r="F886" s="8"/>
      <c r="G886" s="8"/>
    </row>
    <row r="887" ht="15.75" customHeight="1">
      <c r="A887" s="8"/>
      <c r="B887" s="8"/>
      <c r="C887" s="8"/>
      <c r="D887" s="8"/>
      <c r="E887" s="8"/>
      <c r="F887" s="8"/>
      <c r="G887" s="8"/>
    </row>
    <row r="888" ht="15.75" customHeight="1">
      <c r="A888" s="8"/>
      <c r="B888" s="8"/>
      <c r="C888" s="8"/>
      <c r="D888" s="8"/>
      <c r="E888" s="8"/>
      <c r="F888" s="8"/>
      <c r="G888" s="8"/>
    </row>
    <row r="889" ht="15.75" customHeight="1">
      <c r="A889" s="8"/>
      <c r="B889" s="8"/>
      <c r="C889" s="8"/>
      <c r="D889" s="8"/>
      <c r="E889" s="8"/>
      <c r="F889" s="8"/>
      <c r="G889" s="8"/>
    </row>
    <row r="890" ht="15.75" customHeight="1">
      <c r="A890" s="8"/>
      <c r="B890" s="8"/>
      <c r="C890" s="8"/>
      <c r="D890" s="8"/>
      <c r="E890" s="8"/>
      <c r="F890" s="8"/>
      <c r="G890" s="8"/>
    </row>
    <row r="891" ht="15.75" customHeight="1">
      <c r="A891" s="8"/>
      <c r="B891" s="8"/>
      <c r="C891" s="8"/>
      <c r="D891" s="8"/>
      <c r="E891" s="8"/>
      <c r="F891" s="8"/>
      <c r="G891" s="8"/>
    </row>
    <row r="892" ht="15.75" customHeight="1">
      <c r="A892" s="8"/>
      <c r="B892" s="8"/>
      <c r="C892" s="8"/>
      <c r="D892" s="8"/>
      <c r="E892" s="8"/>
      <c r="F892" s="8"/>
      <c r="G892" s="8"/>
    </row>
    <row r="893" ht="15.75" customHeight="1">
      <c r="A893" s="8"/>
      <c r="B893" s="8"/>
      <c r="C893" s="8"/>
      <c r="D893" s="8"/>
      <c r="E893" s="8"/>
      <c r="F893" s="8"/>
      <c r="G893" s="8"/>
    </row>
    <row r="894" ht="15.75" customHeight="1">
      <c r="A894" s="8"/>
      <c r="B894" s="8"/>
      <c r="C894" s="8"/>
      <c r="D894" s="8"/>
      <c r="E894" s="8"/>
      <c r="F894" s="8"/>
      <c r="G894" s="8"/>
    </row>
    <row r="895" ht="15.75" customHeight="1">
      <c r="A895" s="8"/>
      <c r="B895" s="8"/>
      <c r="C895" s="8"/>
      <c r="D895" s="8"/>
      <c r="E895" s="8"/>
      <c r="F895" s="8"/>
      <c r="G895" s="8"/>
    </row>
    <row r="896" ht="15.75" customHeight="1">
      <c r="A896" s="8"/>
      <c r="B896" s="8"/>
      <c r="C896" s="8"/>
      <c r="D896" s="8"/>
      <c r="E896" s="8"/>
      <c r="F896" s="8"/>
      <c r="G896" s="8"/>
    </row>
    <row r="897" ht="15.75" customHeight="1">
      <c r="A897" s="8"/>
      <c r="B897" s="8"/>
      <c r="C897" s="8"/>
      <c r="D897" s="8"/>
      <c r="E897" s="8"/>
      <c r="F897" s="8"/>
      <c r="G897" s="8"/>
    </row>
    <row r="898" ht="15.75" customHeight="1">
      <c r="A898" s="8"/>
      <c r="B898" s="8"/>
      <c r="C898" s="8"/>
      <c r="D898" s="8"/>
      <c r="E898" s="8"/>
      <c r="F898" s="8"/>
      <c r="G898" s="8"/>
    </row>
    <row r="899" ht="15.75" customHeight="1">
      <c r="A899" s="8"/>
      <c r="B899" s="8"/>
      <c r="C899" s="8"/>
      <c r="D899" s="8"/>
      <c r="E899" s="8"/>
      <c r="F899" s="8"/>
      <c r="G899" s="8"/>
    </row>
    <row r="900" ht="15.75" customHeight="1">
      <c r="A900" s="8"/>
      <c r="B900" s="8"/>
      <c r="C900" s="8"/>
      <c r="D900" s="8"/>
      <c r="E900" s="8"/>
      <c r="F900" s="8"/>
      <c r="G900" s="8"/>
    </row>
    <row r="901" ht="15.75" customHeight="1">
      <c r="A901" s="8"/>
      <c r="B901" s="8"/>
      <c r="C901" s="8"/>
      <c r="D901" s="8"/>
      <c r="E901" s="8"/>
      <c r="F901" s="8"/>
      <c r="G901" s="8"/>
    </row>
    <row r="902" ht="15.75" customHeight="1">
      <c r="A902" s="8"/>
      <c r="B902" s="8"/>
      <c r="C902" s="8"/>
      <c r="D902" s="8"/>
      <c r="E902" s="8"/>
      <c r="F902" s="8"/>
      <c r="G902" s="8"/>
    </row>
    <row r="903" ht="15.75" customHeight="1">
      <c r="A903" s="8"/>
      <c r="B903" s="8"/>
      <c r="C903" s="8"/>
      <c r="D903" s="8"/>
      <c r="E903" s="8"/>
      <c r="F903" s="8"/>
      <c r="G903" s="8"/>
    </row>
    <row r="904" ht="15.75" customHeight="1">
      <c r="A904" s="8"/>
      <c r="B904" s="8"/>
      <c r="C904" s="8"/>
      <c r="D904" s="8"/>
      <c r="E904" s="8"/>
      <c r="F904" s="8"/>
      <c r="G904" s="8"/>
    </row>
    <row r="905" ht="15.75" customHeight="1">
      <c r="A905" s="8"/>
      <c r="B905" s="8"/>
      <c r="C905" s="8"/>
      <c r="D905" s="8"/>
      <c r="E905" s="8"/>
      <c r="F905" s="8"/>
      <c r="G905" s="8"/>
    </row>
    <row r="906" ht="15.75" customHeight="1">
      <c r="A906" s="8"/>
      <c r="B906" s="8"/>
      <c r="C906" s="8"/>
      <c r="D906" s="8"/>
      <c r="E906" s="8"/>
      <c r="F906" s="8"/>
      <c r="G906" s="8"/>
    </row>
    <row r="907" ht="15.75" customHeight="1">
      <c r="A907" s="8"/>
      <c r="B907" s="8"/>
      <c r="C907" s="8"/>
      <c r="D907" s="8"/>
      <c r="E907" s="8"/>
      <c r="F907" s="8"/>
      <c r="G907" s="8"/>
    </row>
    <row r="908" ht="15.75" customHeight="1">
      <c r="A908" s="8"/>
      <c r="B908" s="8"/>
      <c r="C908" s="8"/>
      <c r="D908" s="8"/>
      <c r="E908" s="8"/>
      <c r="F908" s="8"/>
      <c r="G908" s="8"/>
    </row>
    <row r="909" ht="15.75" customHeight="1">
      <c r="A909" s="8"/>
      <c r="B909" s="8"/>
      <c r="C909" s="8"/>
      <c r="D909" s="8"/>
      <c r="E909" s="8"/>
      <c r="F909" s="8"/>
      <c r="G909" s="8"/>
    </row>
    <row r="910" ht="15.75" customHeight="1">
      <c r="A910" s="8"/>
      <c r="B910" s="8"/>
      <c r="C910" s="8"/>
      <c r="D910" s="8"/>
      <c r="E910" s="8"/>
      <c r="F910" s="8"/>
      <c r="G910" s="8"/>
    </row>
    <row r="911" ht="15.75" customHeight="1">
      <c r="A911" s="8"/>
      <c r="B911" s="8"/>
      <c r="C911" s="8"/>
      <c r="D911" s="8"/>
      <c r="E911" s="8"/>
      <c r="F911" s="8"/>
      <c r="G911" s="8"/>
    </row>
    <row r="912" ht="15.75" customHeight="1">
      <c r="A912" s="8"/>
      <c r="B912" s="8"/>
      <c r="C912" s="8"/>
      <c r="D912" s="8"/>
      <c r="E912" s="8"/>
      <c r="F912" s="8"/>
      <c r="G912" s="8"/>
    </row>
    <row r="913" ht="15.75" customHeight="1">
      <c r="A913" s="8"/>
      <c r="B913" s="8"/>
      <c r="C913" s="8"/>
      <c r="D913" s="8"/>
      <c r="E913" s="8"/>
      <c r="F913" s="8"/>
      <c r="G913" s="8"/>
    </row>
    <row r="914" ht="15.75" customHeight="1">
      <c r="A914" s="8"/>
      <c r="B914" s="8"/>
      <c r="C914" s="8"/>
      <c r="D914" s="8"/>
      <c r="E914" s="8"/>
      <c r="F914" s="8"/>
      <c r="G914" s="8"/>
    </row>
    <row r="915" ht="15.75" customHeight="1">
      <c r="A915" s="8"/>
      <c r="B915" s="8"/>
      <c r="C915" s="8"/>
      <c r="D915" s="8"/>
      <c r="E915" s="8"/>
      <c r="F915" s="8"/>
      <c r="G915" s="8"/>
    </row>
    <row r="916" ht="15.75" customHeight="1">
      <c r="A916" s="8"/>
      <c r="B916" s="8"/>
      <c r="C916" s="8"/>
      <c r="D916" s="8"/>
      <c r="E916" s="8"/>
      <c r="F916" s="8"/>
      <c r="G916" s="8"/>
    </row>
    <row r="917" ht="15.75" customHeight="1">
      <c r="A917" s="8"/>
      <c r="B917" s="8"/>
      <c r="C917" s="8"/>
      <c r="D917" s="8"/>
      <c r="E917" s="8"/>
      <c r="F917" s="8"/>
      <c r="G917" s="8"/>
    </row>
    <row r="918" ht="15.75" customHeight="1">
      <c r="A918" s="8"/>
      <c r="B918" s="8"/>
      <c r="C918" s="8"/>
      <c r="D918" s="8"/>
      <c r="E918" s="8"/>
      <c r="F918" s="8"/>
      <c r="G918" s="8"/>
    </row>
    <row r="919" ht="15.75" customHeight="1">
      <c r="A919" s="8"/>
      <c r="B919" s="8"/>
      <c r="C919" s="8"/>
      <c r="D919" s="8"/>
      <c r="E919" s="8"/>
      <c r="F919" s="8"/>
      <c r="G919" s="8"/>
    </row>
    <row r="920" ht="15.75" customHeight="1">
      <c r="A920" s="8"/>
      <c r="B920" s="8"/>
      <c r="C920" s="8"/>
      <c r="D920" s="8"/>
      <c r="E920" s="8"/>
      <c r="F920" s="8"/>
      <c r="G920" s="8"/>
    </row>
    <row r="921" ht="15.75" customHeight="1">
      <c r="A921" s="8"/>
      <c r="B921" s="8"/>
      <c r="C921" s="8"/>
      <c r="D921" s="8"/>
      <c r="E921" s="8"/>
      <c r="F921" s="8"/>
      <c r="G921" s="8"/>
    </row>
    <row r="922" ht="15.75" customHeight="1">
      <c r="A922" s="8"/>
      <c r="B922" s="8"/>
      <c r="C922" s="8"/>
      <c r="D922" s="8"/>
      <c r="E922" s="8"/>
      <c r="F922" s="8"/>
      <c r="G922" s="8"/>
    </row>
    <row r="923" ht="15.75" customHeight="1">
      <c r="A923" s="8"/>
      <c r="B923" s="8"/>
      <c r="C923" s="8"/>
      <c r="D923" s="8"/>
      <c r="E923" s="8"/>
      <c r="F923" s="8"/>
      <c r="G923" s="8"/>
    </row>
    <row r="924" ht="15.75" customHeight="1">
      <c r="A924" s="8"/>
      <c r="B924" s="8"/>
      <c r="C924" s="8"/>
      <c r="D924" s="8"/>
      <c r="E924" s="8"/>
      <c r="F924" s="8"/>
      <c r="G924" s="8"/>
    </row>
    <row r="925" ht="15.75" customHeight="1">
      <c r="A925" s="8"/>
      <c r="B925" s="8"/>
      <c r="C925" s="8"/>
      <c r="D925" s="8"/>
      <c r="E925" s="8"/>
      <c r="F925" s="8"/>
      <c r="G925" s="8"/>
    </row>
    <row r="926" ht="15.75" customHeight="1">
      <c r="A926" s="8"/>
      <c r="B926" s="8"/>
      <c r="C926" s="8"/>
      <c r="D926" s="8"/>
      <c r="E926" s="8"/>
      <c r="F926" s="8"/>
      <c r="G926" s="8"/>
    </row>
    <row r="927" ht="15.75" customHeight="1">
      <c r="A927" s="8"/>
      <c r="B927" s="8"/>
      <c r="C927" s="8"/>
      <c r="D927" s="8"/>
      <c r="E927" s="8"/>
      <c r="F927" s="8"/>
      <c r="G927" s="8"/>
    </row>
    <row r="928" ht="15.75" customHeight="1">
      <c r="A928" s="8"/>
      <c r="B928" s="8"/>
      <c r="C928" s="8"/>
      <c r="D928" s="8"/>
      <c r="E928" s="8"/>
      <c r="F928" s="8"/>
      <c r="G928" s="8"/>
    </row>
    <row r="929" ht="15.75" customHeight="1">
      <c r="A929" s="8"/>
      <c r="B929" s="8"/>
      <c r="C929" s="8"/>
      <c r="D929" s="8"/>
      <c r="E929" s="8"/>
      <c r="F929" s="8"/>
      <c r="G929" s="8"/>
    </row>
    <row r="930" ht="15.75" customHeight="1">
      <c r="A930" s="8"/>
      <c r="B930" s="8"/>
      <c r="C930" s="8"/>
      <c r="D930" s="8"/>
      <c r="E930" s="8"/>
      <c r="F930" s="8"/>
      <c r="G930" s="8"/>
    </row>
    <row r="931" ht="15.75" customHeight="1">
      <c r="A931" s="8"/>
      <c r="B931" s="8"/>
      <c r="C931" s="8"/>
      <c r="D931" s="8"/>
      <c r="E931" s="8"/>
      <c r="F931" s="8"/>
      <c r="G931" s="8"/>
    </row>
    <row r="932" ht="15.75" customHeight="1">
      <c r="A932" s="8"/>
      <c r="B932" s="8"/>
      <c r="C932" s="8"/>
      <c r="D932" s="8"/>
      <c r="E932" s="8"/>
      <c r="F932" s="8"/>
      <c r="G932" s="8"/>
    </row>
    <row r="933" ht="15.75" customHeight="1">
      <c r="A933" s="8"/>
      <c r="B933" s="8"/>
      <c r="C933" s="8"/>
      <c r="D933" s="8"/>
      <c r="E933" s="8"/>
      <c r="F933" s="8"/>
      <c r="G933" s="8"/>
    </row>
    <row r="934" ht="15.75" customHeight="1">
      <c r="A934" s="8"/>
      <c r="B934" s="8"/>
      <c r="C934" s="8"/>
      <c r="D934" s="8"/>
      <c r="E934" s="8"/>
      <c r="F934" s="8"/>
      <c r="G934" s="8"/>
    </row>
    <row r="935" ht="15.75" customHeight="1">
      <c r="A935" s="8"/>
      <c r="B935" s="8"/>
      <c r="C935" s="8"/>
      <c r="D935" s="8"/>
      <c r="E935" s="8"/>
      <c r="F935" s="8"/>
      <c r="G935" s="8"/>
    </row>
    <row r="936" ht="15.75" customHeight="1">
      <c r="A936" s="8"/>
      <c r="B936" s="8"/>
      <c r="C936" s="8"/>
      <c r="D936" s="8"/>
      <c r="E936" s="8"/>
      <c r="F936" s="8"/>
      <c r="G936" s="8"/>
    </row>
    <row r="937" ht="15.75" customHeight="1">
      <c r="A937" s="8"/>
      <c r="B937" s="8"/>
      <c r="C937" s="8"/>
      <c r="D937" s="8"/>
      <c r="E937" s="8"/>
      <c r="F937" s="8"/>
      <c r="G937" s="8"/>
    </row>
    <row r="938" ht="15.75" customHeight="1">
      <c r="A938" s="8"/>
      <c r="B938" s="8"/>
      <c r="C938" s="8"/>
      <c r="D938" s="8"/>
      <c r="E938" s="8"/>
      <c r="F938" s="8"/>
      <c r="G938" s="8"/>
    </row>
    <row r="939" ht="15.75" customHeight="1">
      <c r="A939" s="8"/>
      <c r="B939" s="8"/>
      <c r="C939" s="8"/>
      <c r="D939" s="8"/>
      <c r="E939" s="8"/>
      <c r="F939" s="8"/>
      <c r="G939" s="8"/>
    </row>
    <row r="940" ht="15.75" customHeight="1">
      <c r="A940" s="8"/>
      <c r="B940" s="8"/>
      <c r="C940" s="8"/>
      <c r="D940" s="8"/>
      <c r="E940" s="8"/>
      <c r="F940" s="8"/>
      <c r="G940" s="8"/>
    </row>
    <row r="941" ht="15.75" customHeight="1">
      <c r="A941" s="8"/>
      <c r="B941" s="8"/>
      <c r="C941" s="8"/>
      <c r="D941" s="8"/>
      <c r="E941" s="8"/>
      <c r="F941" s="8"/>
      <c r="G941" s="8"/>
    </row>
    <row r="942" ht="15.75" customHeight="1">
      <c r="A942" s="8"/>
      <c r="B942" s="8"/>
      <c r="C942" s="8"/>
      <c r="D942" s="8"/>
      <c r="E942" s="8"/>
      <c r="F942" s="8"/>
      <c r="G942" s="8"/>
    </row>
    <row r="943" ht="15.75" customHeight="1">
      <c r="A943" s="8"/>
      <c r="B943" s="8"/>
      <c r="C943" s="8"/>
      <c r="D943" s="8"/>
      <c r="E943" s="8"/>
      <c r="F943" s="8"/>
      <c r="G943" s="8"/>
    </row>
    <row r="944" ht="15.75" customHeight="1">
      <c r="A944" s="8"/>
      <c r="B944" s="8"/>
      <c r="C944" s="8"/>
      <c r="D944" s="8"/>
      <c r="E944" s="8"/>
      <c r="F944" s="8"/>
      <c r="G944" s="8"/>
    </row>
    <row r="945" ht="15.75" customHeight="1">
      <c r="A945" s="8"/>
      <c r="B945" s="8"/>
      <c r="C945" s="8"/>
      <c r="D945" s="8"/>
      <c r="E945" s="8"/>
      <c r="F945" s="8"/>
      <c r="G945" s="8"/>
    </row>
    <row r="946" ht="15.75" customHeight="1">
      <c r="A946" s="8"/>
      <c r="B946" s="8"/>
      <c r="C946" s="8"/>
      <c r="D946" s="8"/>
      <c r="E946" s="8"/>
      <c r="F946" s="8"/>
      <c r="G946" s="8"/>
    </row>
    <row r="947" ht="15.75" customHeight="1">
      <c r="A947" s="8"/>
      <c r="B947" s="8"/>
      <c r="C947" s="8"/>
      <c r="D947" s="8"/>
      <c r="E947" s="8"/>
      <c r="F947" s="8"/>
      <c r="G947" s="8"/>
    </row>
    <row r="948" ht="15.75" customHeight="1">
      <c r="A948" s="8"/>
      <c r="B948" s="8"/>
      <c r="C948" s="8"/>
      <c r="D948" s="8"/>
      <c r="E948" s="8"/>
      <c r="F948" s="8"/>
      <c r="G948" s="8"/>
    </row>
    <row r="949" ht="15.75" customHeight="1">
      <c r="A949" s="8"/>
      <c r="B949" s="8"/>
      <c r="C949" s="8"/>
      <c r="D949" s="8"/>
      <c r="E949" s="8"/>
      <c r="F949" s="8"/>
      <c r="G949" s="8"/>
    </row>
    <row r="950" ht="15.75" customHeight="1">
      <c r="A950" s="8"/>
      <c r="B950" s="8"/>
      <c r="C950" s="8"/>
      <c r="D950" s="8"/>
      <c r="E950" s="8"/>
      <c r="F950" s="8"/>
      <c r="G950" s="8"/>
    </row>
    <row r="951" ht="15.75" customHeight="1">
      <c r="A951" s="8"/>
      <c r="B951" s="8"/>
      <c r="C951" s="8"/>
      <c r="D951" s="8"/>
      <c r="E951" s="8"/>
      <c r="F951" s="8"/>
      <c r="G951" s="8"/>
    </row>
    <row r="952" ht="15.75" customHeight="1">
      <c r="A952" s="8"/>
      <c r="B952" s="8"/>
      <c r="C952" s="8"/>
      <c r="D952" s="8"/>
      <c r="E952" s="8"/>
      <c r="F952" s="8"/>
      <c r="G952" s="8"/>
    </row>
    <row r="953" ht="15.75" customHeight="1">
      <c r="A953" s="8"/>
      <c r="B953" s="8"/>
      <c r="C953" s="8"/>
      <c r="D953" s="8"/>
      <c r="E953" s="8"/>
      <c r="F953" s="8"/>
      <c r="G953" s="8"/>
    </row>
    <row r="954" ht="15.75" customHeight="1">
      <c r="A954" s="8"/>
      <c r="B954" s="8"/>
      <c r="C954" s="8"/>
      <c r="D954" s="8"/>
      <c r="E954" s="8"/>
      <c r="F954" s="8"/>
      <c r="G954" s="8"/>
    </row>
    <row r="955" ht="15.75" customHeight="1">
      <c r="A955" s="8"/>
      <c r="B955" s="8"/>
      <c r="C955" s="8"/>
      <c r="D955" s="8"/>
      <c r="E955" s="8"/>
      <c r="F955" s="8"/>
      <c r="G955" s="8"/>
    </row>
    <row r="956" ht="15.75" customHeight="1">
      <c r="A956" s="8"/>
      <c r="B956" s="8"/>
      <c r="C956" s="8"/>
      <c r="D956" s="8"/>
      <c r="E956" s="8"/>
      <c r="F956" s="8"/>
      <c r="G956" s="8"/>
    </row>
    <row r="957" ht="15.75" customHeight="1">
      <c r="A957" s="8"/>
      <c r="B957" s="8"/>
      <c r="C957" s="8"/>
      <c r="D957" s="8"/>
      <c r="E957" s="8"/>
      <c r="F957" s="8"/>
      <c r="G957" s="8"/>
    </row>
    <row r="958" ht="15.75" customHeight="1">
      <c r="A958" s="8"/>
      <c r="B958" s="8"/>
      <c r="C958" s="8"/>
      <c r="D958" s="8"/>
      <c r="E958" s="8"/>
      <c r="F958" s="8"/>
      <c r="G958" s="8"/>
    </row>
    <row r="959" ht="15.75" customHeight="1">
      <c r="A959" s="8"/>
      <c r="B959" s="8"/>
      <c r="C959" s="8"/>
      <c r="D959" s="8"/>
      <c r="E959" s="8"/>
      <c r="F959" s="8"/>
      <c r="G959" s="8"/>
    </row>
    <row r="960" ht="15.75" customHeight="1">
      <c r="A960" s="8"/>
      <c r="B960" s="8"/>
      <c r="C960" s="8"/>
      <c r="D960" s="8"/>
      <c r="E960" s="8"/>
      <c r="F960" s="8"/>
      <c r="G960" s="8"/>
    </row>
    <row r="961" ht="15.75" customHeight="1">
      <c r="A961" s="8"/>
      <c r="B961" s="8"/>
      <c r="C961" s="8"/>
      <c r="D961" s="8"/>
      <c r="E961" s="8"/>
      <c r="F961" s="8"/>
      <c r="G961" s="8"/>
    </row>
    <row r="962" ht="15.75" customHeight="1">
      <c r="A962" s="8"/>
      <c r="B962" s="8"/>
      <c r="C962" s="8"/>
      <c r="D962" s="8"/>
      <c r="E962" s="8"/>
      <c r="F962" s="8"/>
      <c r="G962" s="8"/>
    </row>
    <row r="963" ht="15.75" customHeight="1">
      <c r="A963" s="8"/>
      <c r="B963" s="8"/>
      <c r="C963" s="8"/>
      <c r="D963" s="8"/>
      <c r="E963" s="8"/>
      <c r="F963" s="8"/>
      <c r="G963" s="8"/>
    </row>
    <row r="964" ht="15.75" customHeight="1">
      <c r="A964" s="8"/>
      <c r="B964" s="8"/>
      <c r="C964" s="8"/>
      <c r="D964" s="8"/>
      <c r="E964" s="8"/>
      <c r="F964" s="8"/>
      <c r="G964" s="8"/>
    </row>
    <row r="965" ht="15.75" customHeight="1">
      <c r="A965" s="8"/>
      <c r="B965" s="8"/>
      <c r="C965" s="8"/>
      <c r="D965" s="8"/>
      <c r="E965" s="8"/>
      <c r="F965" s="8"/>
      <c r="G965" s="8"/>
    </row>
    <row r="966" ht="15.75" customHeight="1">
      <c r="A966" s="8"/>
      <c r="B966" s="8"/>
      <c r="C966" s="8"/>
      <c r="D966" s="8"/>
      <c r="E966" s="8"/>
      <c r="F966" s="8"/>
      <c r="G966" s="8"/>
    </row>
    <row r="967" ht="15.75" customHeight="1">
      <c r="A967" s="8"/>
      <c r="B967" s="8"/>
      <c r="C967" s="8"/>
      <c r="D967" s="8"/>
      <c r="E967" s="8"/>
      <c r="F967" s="8"/>
      <c r="G967" s="8"/>
    </row>
    <row r="968" ht="15.75" customHeight="1">
      <c r="A968" s="8"/>
      <c r="B968" s="8"/>
      <c r="C968" s="8"/>
      <c r="D968" s="8"/>
      <c r="E968" s="8"/>
      <c r="F968" s="8"/>
      <c r="G968" s="8"/>
    </row>
    <row r="969" ht="15.75" customHeight="1">
      <c r="A969" s="8"/>
      <c r="B969" s="8"/>
      <c r="C969" s="8"/>
      <c r="D969" s="8"/>
      <c r="E969" s="8"/>
      <c r="F969" s="8"/>
      <c r="G969" s="8"/>
    </row>
    <row r="970" ht="15.75" customHeight="1">
      <c r="A970" s="8"/>
      <c r="B970" s="8"/>
      <c r="C970" s="8"/>
      <c r="D970" s="8"/>
      <c r="E970" s="8"/>
      <c r="F970" s="8"/>
      <c r="G970" s="8"/>
    </row>
    <row r="971" ht="15.75" customHeight="1">
      <c r="A971" s="8"/>
      <c r="B971" s="8"/>
      <c r="C971" s="8"/>
      <c r="D971" s="8"/>
      <c r="E971" s="8"/>
      <c r="F971" s="8"/>
      <c r="G971" s="8"/>
    </row>
    <row r="972" ht="15.75" customHeight="1">
      <c r="A972" s="8"/>
      <c r="B972" s="8"/>
      <c r="C972" s="8"/>
      <c r="D972" s="8"/>
      <c r="E972" s="8"/>
      <c r="F972" s="8"/>
      <c r="G972" s="8"/>
    </row>
    <row r="973" ht="15.75" customHeight="1">
      <c r="A973" s="8"/>
      <c r="B973" s="8"/>
      <c r="C973" s="8"/>
      <c r="D973" s="8"/>
      <c r="E973" s="8"/>
      <c r="F973" s="8"/>
      <c r="G973" s="8"/>
    </row>
    <row r="974" ht="15.75" customHeight="1">
      <c r="A974" s="8"/>
      <c r="B974" s="8"/>
      <c r="C974" s="8"/>
      <c r="D974" s="8"/>
      <c r="E974" s="8"/>
      <c r="F974" s="8"/>
      <c r="G974" s="8"/>
    </row>
    <row r="975" ht="15.75" customHeight="1">
      <c r="A975" s="8"/>
      <c r="B975" s="8"/>
      <c r="C975" s="8"/>
      <c r="D975" s="8"/>
      <c r="E975" s="8"/>
      <c r="F975" s="8"/>
      <c r="G975" s="8"/>
    </row>
    <row r="976" ht="15.75" customHeight="1">
      <c r="A976" s="8"/>
      <c r="B976" s="8"/>
      <c r="C976" s="8"/>
      <c r="D976" s="8"/>
      <c r="E976" s="8"/>
      <c r="F976" s="8"/>
      <c r="G976" s="8"/>
    </row>
    <row r="977" ht="15.75" customHeight="1">
      <c r="A977" s="8"/>
      <c r="B977" s="8"/>
      <c r="C977" s="8"/>
      <c r="D977" s="8"/>
      <c r="E977" s="8"/>
      <c r="F977" s="8"/>
      <c r="G977" s="8"/>
    </row>
    <row r="978" ht="15.75" customHeight="1">
      <c r="A978" s="8"/>
      <c r="B978" s="8"/>
      <c r="C978" s="8"/>
      <c r="D978" s="8"/>
      <c r="E978" s="8"/>
      <c r="F978" s="8"/>
      <c r="G978" s="8"/>
    </row>
    <row r="979" ht="15.75" customHeight="1">
      <c r="A979" s="8"/>
      <c r="B979" s="8"/>
      <c r="C979" s="8"/>
      <c r="D979" s="8"/>
      <c r="E979" s="8"/>
      <c r="F979" s="8"/>
      <c r="G979" s="8"/>
    </row>
    <row r="980" ht="15.75" customHeight="1">
      <c r="A980" s="8"/>
      <c r="B980" s="8"/>
      <c r="C980" s="8"/>
      <c r="D980" s="8"/>
      <c r="E980" s="8"/>
      <c r="F980" s="8"/>
      <c r="G980" s="8"/>
    </row>
    <row r="981" ht="15.75" customHeight="1">
      <c r="A981" s="8"/>
      <c r="B981" s="8"/>
      <c r="C981" s="8"/>
      <c r="D981" s="8"/>
      <c r="E981" s="8"/>
      <c r="F981" s="8"/>
      <c r="G981" s="8"/>
    </row>
    <row r="982" ht="15.75" customHeight="1">
      <c r="A982" s="8"/>
      <c r="B982" s="8"/>
      <c r="C982" s="8"/>
      <c r="D982" s="8"/>
      <c r="E982" s="8"/>
      <c r="F982" s="8"/>
      <c r="G982" s="8"/>
    </row>
    <row r="983" ht="15.75" customHeight="1">
      <c r="A983" s="8"/>
      <c r="B983" s="8"/>
      <c r="C983" s="8"/>
      <c r="D983" s="8"/>
      <c r="E983" s="8"/>
      <c r="F983" s="8"/>
      <c r="G983" s="8"/>
    </row>
    <row r="984" ht="15.75" customHeight="1">
      <c r="A984" s="8"/>
      <c r="B984" s="8"/>
      <c r="C984" s="8"/>
      <c r="D984" s="8"/>
      <c r="E984" s="8"/>
      <c r="F984" s="8"/>
      <c r="G984" s="8"/>
    </row>
    <row r="985" ht="15.75" customHeight="1">
      <c r="A985" s="8"/>
      <c r="B985" s="8"/>
      <c r="C985" s="8"/>
      <c r="D985" s="8"/>
      <c r="E985" s="8"/>
      <c r="F985" s="8"/>
      <c r="G985" s="8"/>
    </row>
    <row r="986" ht="15.75" customHeight="1">
      <c r="A986" s="8"/>
      <c r="B986" s="8"/>
      <c r="C986" s="8"/>
      <c r="D986" s="8"/>
      <c r="E986" s="8"/>
      <c r="F986" s="8"/>
      <c r="G986" s="8"/>
    </row>
    <row r="987" ht="15.75" customHeight="1">
      <c r="A987" s="8"/>
      <c r="B987" s="8"/>
      <c r="C987" s="8"/>
      <c r="D987" s="8"/>
      <c r="E987" s="8"/>
      <c r="F987" s="8"/>
      <c r="G987" s="8"/>
    </row>
    <row r="988" ht="15.75" customHeight="1">
      <c r="A988" s="8"/>
      <c r="B988" s="8"/>
      <c r="C988" s="8"/>
      <c r="D988" s="8"/>
      <c r="E988" s="8"/>
      <c r="F988" s="8"/>
      <c r="G988" s="8"/>
    </row>
    <row r="989" ht="15.75" customHeight="1">
      <c r="A989" s="8"/>
      <c r="B989" s="8"/>
      <c r="C989" s="8"/>
      <c r="D989" s="8"/>
      <c r="E989" s="8"/>
      <c r="F989" s="8"/>
      <c r="G989" s="8"/>
    </row>
    <row r="990" ht="15.75" customHeight="1">
      <c r="A990" s="8"/>
      <c r="B990" s="8"/>
      <c r="C990" s="8"/>
      <c r="D990" s="8"/>
      <c r="E990" s="8"/>
      <c r="F990" s="8"/>
      <c r="G990" s="8"/>
    </row>
    <row r="991" ht="15.75" customHeight="1">
      <c r="A991" s="8"/>
      <c r="B991" s="8"/>
      <c r="C991" s="8"/>
      <c r="D991" s="8"/>
      <c r="E991" s="8"/>
      <c r="F991" s="8"/>
      <c r="G991" s="8"/>
    </row>
    <row r="992" ht="15.75" customHeight="1">
      <c r="A992" s="8"/>
      <c r="B992" s="8"/>
      <c r="C992" s="8"/>
      <c r="D992" s="8"/>
      <c r="E992" s="8"/>
      <c r="F992" s="8"/>
      <c r="G992" s="8"/>
    </row>
    <row r="993" ht="15.75" customHeight="1">
      <c r="A993" s="8"/>
      <c r="B993" s="8"/>
      <c r="C993" s="8"/>
      <c r="D993" s="8"/>
      <c r="E993" s="8"/>
      <c r="F993" s="8"/>
      <c r="G993" s="8"/>
    </row>
    <row r="994" ht="15.75" customHeight="1">
      <c r="A994" s="8"/>
      <c r="B994" s="8"/>
      <c r="C994" s="8"/>
      <c r="D994" s="8"/>
      <c r="E994" s="8"/>
      <c r="F994" s="8"/>
      <c r="G994" s="8"/>
    </row>
    <row r="995" ht="15.75" customHeight="1">
      <c r="A995" s="8"/>
      <c r="B995" s="8"/>
      <c r="C995" s="8"/>
      <c r="D995" s="8"/>
      <c r="E995" s="8"/>
      <c r="F995" s="8"/>
      <c r="G995" s="8"/>
    </row>
    <row r="996" ht="15.75" customHeight="1">
      <c r="A996" s="8"/>
      <c r="B996" s="8"/>
      <c r="C996" s="8"/>
      <c r="D996" s="8"/>
      <c r="E996" s="8"/>
      <c r="F996" s="8"/>
      <c r="G996" s="8"/>
    </row>
    <row r="997" ht="15.75" customHeight="1">
      <c r="A997" s="8"/>
      <c r="B997" s="8"/>
      <c r="C997" s="8"/>
      <c r="D997" s="8"/>
      <c r="E997" s="8"/>
      <c r="F997" s="8"/>
      <c r="G997" s="8"/>
    </row>
    <row r="998" ht="15.75" customHeight="1">
      <c r="A998" s="8"/>
      <c r="B998" s="8"/>
      <c r="C998" s="8"/>
      <c r="D998" s="8"/>
      <c r="E998" s="8"/>
      <c r="F998" s="8"/>
      <c r="G998" s="8"/>
    </row>
    <row r="999" ht="15.75" customHeight="1">
      <c r="A999" s="8"/>
      <c r="B999" s="8"/>
      <c r="C999" s="8"/>
      <c r="D999" s="8"/>
      <c r="E999" s="8"/>
      <c r="F999" s="8"/>
      <c r="G999" s="8"/>
    </row>
    <row r="1000" ht="15.75" customHeight="1">
      <c r="A1000" s="8"/>
      <c r="B1000" s="8"/>
      <c r="C1000" s="8"/>
      <c r="D1000" s="8"/>
      <c r="E1000" s="8"/>
      <c r="F1000" s="8"/>
      <c r="G1000" s="8"/>
    </row>
  </sheetData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6.71"/>
    <col customWidth="1" min="2" max="2" width="31.57"/>
    <col customWidth="1" min="3" max="3" width="28.71"/>
    <col customWidth="1" min="4" max="4" width="58.71"/>
    <col customWidth="1" min="5" max="5" width="13.0"/>
    <col customWidth="1" min="6" max="6" width="7.29"/>
    <col customWidth="1" min="7" max="7" width="12.71"/>
    <col customWidth="1" min="8" max="8" width="9.14"/>
    <col customWidth="1" min="9" max="9" width="57.57"/>
    <col customWidth="1" min="10" max="26" width="8.71"/>
  </cols>
  <sheetData>
    <row r="1">
      <c r="A1" s="17" t="s">
        <v>631</v>
      </c>
      <c r="B1" s="17" t="s">
        <v>672</v>
      </c>
      <c r="C1" s="17" t="s">
        <v>523</v>
      </c>
      <c r="D1" s="17" t="s">
        <v>524</v>
      </c>
      <c r="E1" s="17" t="s">
        <v>527</v>
      </c>
      <c r="F1" s="17" t="s">
        <v>146</v>
      </c>
      <c r="G1" s="17" t="s">
        <v>673</v>
      </c>
      <c r="H1" s="17" t="s">
        <v>674</v>
      </c>
      <c r="I1" s="17" t="s">
        <v>675</v>
      </c>
    </row>
    <row r="2">
      <c r="A2" s="18" t="s">
        <v>164</v>
      </c>
      <c r="B2" s="18" t="s">
        <v>533</v>
      </c>
      <c r="C2" s="18" t="s">
        <v>138</v>
      </c>
      <c r="D2" s="18" t="s">
        <v>676</v>
      </c>
      <c r="E2" s="19" t="s">
        <v>118</v>
      </c>
      <c r="F2" s="19" t="s">
        <v>110</v>
      </c>
      <c r="G2" s="19" t="s">
        <v>677</v>
      </c>
      <c r="H2" s="19" t="s">
        <v>165</v>
      </c>
      <c r="I2" s="18" t="s">
        <v>678</v>
      </c>
    </row>
    <row r="3">
      <c r="A3" s="20" t="s">
        <v>197</v>
      </c>
      <c r="B3" s="20" t="s">
        <v>679</v>
      </c>
      <c r="C3" s="20" t="s">
        <v>136</v>
      </c>
      <c r="D3" s="20" t="s">
        <v>537</v>
      </c>
      <c r="E3" s="21" t="s">
        <v>118</v>
      </c>
      <c r="F3" s="21" t="s">
        <v>110</v>
      </c>
      <c r="G3" s="21" t="s">
        <v>680</v>
      </c>
      <c r="H3" s="21" t="s">
        <v>198</v>
      </c>
      <c r="I3" s="20" t="s">
        <v>681</v>
      </c>
    </row>
    <row r="4">
      <c r="A4" s="18" t="s">
        <v>209</v>
      </c>
      <c r="B4" s="18" t="s">
        <v>207</v>
      </c>
      <c r="C4" s="18" t="s">
        <v>205</v>
      </c>
      <c r="D4" s="18" t="s">
        <v>540</v>
      </c>
      <c r="E4" s="19" t="s">
        <v>118</v>
      </c>
      <c r="F4" s="19" t="s">
        <v>110</v>
      </c>
      <c r="G4" s="19" t="s">
        <v>680</v>
      </c>
      <c r="H4" s="19" t="s">
        <v>198</v>
      </c>
      <c r="I4" s="18" t="s">
        <v>682</v>
      </c>
    </row>
    <row r="5">
      <c r="A5" s="20" t="s">
        <v>217</v>
      </c>
      <c r="B5" s="20" t="s">
        <v>215</v>
      </c>
      <c r="C5" s="20" t="s">
        <v>213</v>
      </c>
      <c r="D5" s="20" t="s">
        <v>542</v>
      </c>
      <c r="E5" s="21" t="s">
        <v>118</v>
      </c>
      <c r="F5" s="21" t="s">
        <v>110</v>
      </c>
      <c r="G5" s="21" t="s">
        <v>680</v>
      </c>
      <c r="H5" s="21" t="s">
        <v>198</v>
      </c>
      <c r="I5" s="20" t="s">
        <v>683</v>
      </c>
    </row>
    <row r="6">
      <c r="A6" s="18" t="s">
        <v>224</v>
      </c>
      <c r="B6" s="18" t="s">
        <v>222</v>
      </c>
      <c r="C6" s="18" t="s">
        <v>220</v>
      </c>
      <c r="D6" s="18" t="s">
        <v>544</v>
      </c>
      <c r="E6" s="19" t="s">
        <v>118</v>
      </c>
      <c r="F6" s="19" t="s">
        <v>110</v>
      </c>
      <c r="G6" s="19" t="s">
        <v>680</v>
      </c>
      <c r="H6" s="19" t="s">
        <v>198</v>
      </c>
      <c r="I6" s="18" t="s">
        <v>683</v>
      </c>
    </row>
    <row r="7">
      <c r="A7" s="20" t="s">
        <v>231</v>
      </c>
      <c r="B7" s="20" t="s">
        <v>230</v>
      </c>
      <c r="C7" s="20" t="s">
        <v>228</v>
      </c>
      <c r="D7" s="20" t="s">
        <v>546</v>
      </c>
      <c r="E7" s="21" t="s">
        <v>118</v>
      </c>
      <c r="F7" s="21" t="s">
        <v>110</v>
      </c>
      <c r="G7" s="21" t="s">
        <v>680</v>
      </c>
      <c r="H7" s="21" t="s">
        <v>198</v>
      </c>
      <c r="I7" s="20" t="s">
        <v>683</v>
      </c>
    </row>
    <row r="8">
      <c r="A8" s="18" t="s">
        <v>237</v>
      </c>
      <c r="B8" s="18" t="s">
        <v>684</v>
      </c>
      <c r="C8" s="18" t="s">
        <v>240</v>
      </c>
      <c r="D8" s="18" t="s">
        <v>548</v>
      </c>
      <c r="E8" s="19" t="s">
        <v>118</v>
      </c>
      <c r="F8" s="19" t="s">
        <v>110</v>
      </c>
      <c r="G8" s="19" t="s">
        <v>680</v>
      </c>
      <c r="H8" s="19" t="s">
        <v>198</v>
      </c>
      <c r="I8" s="18" t="s">
        <v>685</v>
      </c>
    </row>
    <row r="9">
      <c r="A9" s="20" t="s">
        <v>245</v>
      </c>
      <c r="B9" s="20" t="s">
        <v>686</v>
      </c>
      <c r="C9" s="20" t="s">
        <v>242</v>
      </c>
      <c r="D9" s="20" t="s">
        <v>687</v>
      </c>
      <c r="E9" s="21" t="s">
        <v>112</v>
      </c>
      <c r="F9" s="21" t="s">
        <v>106</v>
      </c>
      <c r="G9" s="21" t="s">
        <v>677</v>
      </c>
      <c r="H9" s="21" t="s">
        <v>165</v>
      </c>
      <c r="I9" s="20" t="s">
        <v>688</v>
      </c>
    </row>
    <row r="10">
      <c r="A10" s="18" t="s">
        <v>255</v>
      </c>
      <c r="B10" s="18" t="s">
        <v>689</v>
      </c>
      <c r="C10" s="18" t="s">
        <v>251</v>
      </c>
      <c r="D10" s="18" t="s">
        <v>690</v>
      </c>
      <c r="E10" s="19" t="s">
        <v>118</v>
      </c>
      <c r="F10" s="19" t="s">
        <v>110</v>
      </c>
      <c r="G10" s="19" t="s">
        <v>677</v>
      </c>
      <c r="H10" s="19" t="s">
        <v>165</v>
      </c>
      <c r="I10" s="18" t="s">
        <v>691</v>
      </c>
    </row>
    <row r="11">
      <c r="A11" s="20" t="s">
        <v>271</v>
      </c>
      <c r="B11" s="20" t="s">
        <v>692</v>
      </c>
      <c r="C11" s="20" t="s">
        <v>267</v>
      </c>
      <c r="D11" s="20" t="s">
        <v>693</v>
      </c>
      <c r="E11" s="21" t="s">
        <v>118</v>
      </c>
      <c r="F11" s="21" t="s">
        <v>110</v>
      </c>
      <c r="G11" s="21" t="s">
        <v>680</v>
      </c>
      <c r="H11" s="21" t="s">
        <v>198</v>
      </c>
      <c r="I11" s="20" t="s">
        <v>694</v>
      </c>
    </row>
    <row r="12">
      <c r="A12" s="18" t="s">
        <v>286</v>
      </c>
      <c r="B12" s="18" t="s">
        <v>695</v>
      </c>
      <c r="C12" s="18" t="s">
        <v>282</v>
      </c>
      <c r="D12" s="18" t="s">
        <v>696</v>
      </c>
      <c r="E12" s="19" t="s">
        <v>118</v>
      </c>
      <c r="F12" s="19" t="s">
        <v>110</v>
      </c>
      <c r="G12" s="19" t="s">
        <v>680</v>
      </c>
      <c r="H12" s="19" t="s">
        <v>198</v>
      </c>
      <c r="I12" s="18" t="s">
        <v>697</v>
      </c>
    </row>
    <row r="13">
      <c r="A13" s="20" t="s">
        <v>298</v>
      </c>
      <c r="B13" s="20" t="s">
        <v>295</v>
      </c>
      <c r="C13" s="20" t="s">
        <v>299</v>
      </c>
      <c r="D13" s="20" t="s">
        <v>698</v>
      </c>
      <c r="E13" s="21" t="s">
        <v>118</v>
      </c>
      <c r="F13" s="21" t="s">
        <v>110</v>
      </c>
      <c r="G13" s="21" t="s">
        <v>677</v>
      </c>
      <c r="H13" s="21" t="s">
        <v>165</v>
      </c>
      <c r="I13" s="20" t="s">
        <v>699</v>
      </c>
    </row>
    <row r="14">
      <c r="A14" s="18" t="s">
        <v>311</v>
      </c>
      <c r="B14" s="18" t="s">
        <v>700</v>
      </c>
      <c r="C14" s="18" t="s">
        <v>308</v>
      </c>
      <c r="D14" s="18" t="s">
        <v>701</v>
      </c>
      <c r="E14" s="19" t="s">
        <v>112</v>
      </c>
      <c r="F14" s="19" t="s">
        <v>106</v>
      </c>
      <c r="G14" s="19" t="s">
        <v>680</v>
      </c>
      <c r="H14" s="19" t="s">
        <v>198</v>
      </c>
      <c r="I14" s="18" t="s">
        <v>702</v>
      </c>
    </row>
    <row r="15">
      <c r="A15" s="20" t="s">
        <v>323</v>
      </c>
      <c r="B15" s="20" t="s">
        <v>703</v>
      </c>
      <c r="C15" s="20" t="s">
        <v>319</v>
      </c>
      <c r="D15" s="20" t="s">
        <v>704</v>
      </c>
      <c r="E15" s="21" t="s">
        <v>118</v>
      </c>
      <c r="F15" s="21" t="s">
        <v>110</v>
      </c>
      <c r="G15" s="21" t="s">
        <v>677</v>
      </c>
      <c r="H15" s="21" t="s">
        <v>165</v>
      </c>
      <c r="I15" s="20" t="s">
        <v>705</v>
      </c>
    </row>
    <row r="16">
      <c r="A16" s="18" t="s">
        <v>340</v>
      </c>
      <c r="B16" s="18" t="s">
        <v>706</v>
      </c>
      <c r="C16" s="18" t="s">
        <v>337</v>
      </c>
      <c r="D16" s="18" t="s">
        <v>707</v>
      </c>
      <c r="E16" s="19" t="s">
        <v>116</v>
      </c>
      <c r="F16" s="19" t="s">
        <v>108</v>
      </c>
      <c r="G16" s="19" t="s">
        <v>680</v>
      </c>
      <c r="H16" s="19" t="s">
        <v>198</v>
      </c>
      <c r="I16" s="18" t="s">
        <v>708</v>
      </c>
    </row>
    <row r="17">
      <c r="A17" s="20" t="s">
        <v>351</v>
      </c>
      <c r="B17" s="20" t="s">
        <v>709</v>
      </c>
      <c r="C17" s="20" t="s">
        <v>348</v>
      </c>
      <c r="D17" s="20" t="s">
        <v>710</v>
      </c>
      <c r="E17" s="21" t="s">
        <v>116</v>
      </c>
      <c r="F17" s="21" t="s">
        <v>108</v>
      </c>
      <c r="G17" s="21" t="s">
        <v>680</v>
      </c>
      <c r="H17" s="21" t="s">
        <v>198</v>
      </c>
      <c r="I17" s="20" t="s">
        <v>711</v>
      </c>
    </row>
    <row r="18">
      <c r="A18" s="18" t="s">
        <v>362</v>
      </c>
      <c r="B18" s="18" t="s">
        <v>712</v>
      </c>
      <c r="C18" s="18" t="s">
        <v>359</v>
      </c>
      <c r="D18" s="18" t="s">
        <v>713</v>
      </c>
      <c r="E18" s="19" t="s">
        <v>112</v>
      </c>
      <c r="F18" s="19" t="s">
        <v>106</v>
      </c>
      <c r="G18" s="19" t="s">
        <v>680</v>
      </c>
      <c r="H18" s="19" t="s">
        <v>198</v>
      </c>
      <c r="I18" s="18" t="s">
        <v>714</v>
      </c>
    </row>
    <row r="19">
      <c r="A19" s="20" t="s">
        <v>373</v>
      </c>
      <c r="B19" s="20" t="s">
        <v>371</v>
      </c>
      <c r="C19" s="20" t="s">
        <v>370</v>
      </c>
      <c r="D19" s="20" t="s">
        <v>715</v>
      </c>
      <c r="E19" s="21" t="s">
        <v>118</v>
      </c>
      <c r="F19" s="21" t="s">
        <v>110</v>
      </c>
      <c r="G19" s="21" t="s">
        <v>677</v>
      </c>
      <c r="H19" s="21" t="s">
        <v>165</v>
      </c>
      <c r="I19" s="20" t="s">
        <v>716</v>
      </c>
    </row>
    <row r="20">
      <c r="A20" s="18" t="s">
        <v>385</v>
      </c>
      <c r="B20" s="18" t="s">
        <v>717</v>
      </c>
      <c r="C20" s="18" t="s">
        <v>383</v>
      </c>
      <c r="D20" s="18" t="s">
        <v>718</v>
      </c>
      <c r="E20" s="19" t="s">
        <v>112</v>
      </c>
      <c r="F20" s="19" t="s">
        <v>106</v>
      </c>
      <c r="G20" s="19" t="s">
        <v>680</v>
      </c>
      <c r="H20" s="19" t="s">
        <v>198</v>
      </c>
      <c r="I20" s="18" t="s">
        <v>98</v>
      </c>
    </row>
    <row r="21" ht="15.75" customHeight="1">
      <c r="A21" s="20" t="s">
        <v>395</v>
      </c>
      <c r="B21" s="20" t="s">
        <v>392</v>
      </c>
      <c r="C21" s="20" t="s">
        <v>127</v>
      </c>
      <c r="D21" s="20" t="s">
        <v>719</v>
      </c>
      <c r="E21" s="21" t="s">
        <v>118</v>
      </c>
      <c r="F21" s="21" t="s">
        <v>110</v>
      </c>
      <c r="G21" s="21" t="s">
        <v>677</v>
      </c>
      <c r="H21" s="21" t="s">
        <v>165</v>
      </c>
      <c r="I21" s="20" t="s">
        <v>720</v>
      </c>
    </row>
    <row r="22" ht="15.75" customHeight="1">
      <c r="A22" s="18" t="s">
        <v>408</v>
      </c>
      <c r="B22" s="18" t="s">
        <v>721</v>
      </c>
      <c r="C22" s="18" t="s">
        <v>405</v>
      </c>
      <c r="D22" s="18" t="s">
        <v>722</v>
      </c>
      <c r="E22" s="19" t="s">
        <v>116</v>
      </c>
      <c r="F22" s="19" t="s">
        <v>108</v>
      </c>
      <c r="G22" s="19" t="s">
        <v>680</v>
      </c>
      <c r="H22" s="19" t="s">
        <v>198</v>
      </c>
      <c r="I22" s="18" t="s">
        <v>98</v>
      </c>
    </row>
    <row r="23" ht="15.75" customHeight="1">
      <c r="A23" s="20" t="s">
        <v>416</v>
      </c>
      <c r="B23" s="20" t="s">
        <v>723</v>
      </c>
      <c r="C23" s="20" t="s">
        <v>414</v>
      </c>
      <c r="D23" s="20" t="s">
        <v>724</v>
      </c>
      <c r="E23" s="21" t="s">
        <v>112</v>
      </c>
      <c r="F23" s="21" t="s">
        <v>106</v>
      </c>
      <c r="G23" s="21" t="s">
        <v>680</v>
      </c>
      <c r="H23" s="21" t="s">
        <v>198</v>
      </c>
      <c r="I23" s="20" t="s">
        <v>98</v>
      </c>
    </row>
    <row r="24" ht="15.75" customHeight="1">
      <c r="A24" s="18" t="s">
        <v>423</v>
      </c>
      <c r="B24" s="18" t="s">
        <v>421</v>
      </c>
      <c r="C24" s="18" t="s">
        <v>420</v>
      </c>
      <c r="D24" s="18" t="s">
        <v>600</v>
      </c>
      <c r="E24" s="19" t="s">
        <v>118</v>
      </c>
      <c r="F24" s="19" t="s">
        <v>110</v>
      </c>
      <c r="G24" s="19" t="s">
        <v>677</v>
      </c>
      <c r="H24" s="19" t="s">
        <v>165</v>
      </c>
      <c r="I24" s="18" t="s">
        <v>725</v>
      </c>
    </row>
    <row r="25" ht="15.75" customHeight="1">
      <c r="A25" s="20" t="s">
        <v>431</v>
      </c>
      <c r="B25" s="20" t="s">
        <v>726</v>
      </c>
      <c r="C25" s="20" t="s">
        <v>429</v>
      </c>
      <c r="D25" s="20" t="s">
        <v>727</v>
      </c>
      <c r="E25" s="21" t="s">
        <v>112</v>
      </c>
      <c r="F25" s="21" t="s">
        <v>106</v>
      </c>
      <c r="G25" s="21" t="s">
        <v>680</v>
      </c>
      <c r="H25" s="21" t="s">
        <v>198</v>
      </c>
      <c r="I25" s="20" t="s">
        <v>98</v>
      </c>
    </row>
    <row r="26" ht="15.75" customHeight="1">
      <c r="A26" s="18" t="s">
        <v>441</v>
      </c>
      <c r="B26" s="18" t="s">
        <v>438</v>
      </c>
      <c r="C26" s="18" t="s">
        <v>437</v>
      </c>
      <c r="D26" s="18" t="s">
        <v>728</v>
      </c>
      <c r="E26" s="19" t="s">
        <v>118</v>
      </c>
      <c r="F26" s="19" t="s">
        <v>110</v>
      </c>
      <c r="G26" s="19" t="s">
        <v>677</v>
      </c>
      <c r="H26" s="19" t="s">
        <v>165</v>
      </c>
      <c r="I26" s="18" t="s">
        <v>729</v>
      </c>
    </row>
    <row r="27" ht="15.75" customHeight="1">
      <c r="A27" s="20" t="s">
        <v>451</v>
      </c>
      <c r="B27" s="20" t="s">
        <v>730</v>
      </c>
      <c r="C27" s="20" t="s">
        <v>449</v>
      </c>
      <c r="D27" s="20" t="s">
        <v>731</v>
      </c>
      <c r="E27" s="21" t="s">
        <v>112</v>
      </c>
      <c r="F27" s="21" t="s">
        <v>106</v>
      </c>
      <c r="G27" s="21" t="s">
        <v>680</v>
      </c>
      <c r="H27" s="21" t="s">
        <v>198</v>
      </c>
      <c r="I27" s="20" t="s">
        <v>98</v>
      </c>
    </row>
    <row r="28" ht="15.75" customHeight="1">
      <c r="A28" s="18" t="s">
        <v>463</v>
      </c>
      <c r="B28" s="18" t="s">
        <v>460</v>
      </c>
      <c r="C28" s="18" t="s">
        <v>459</v>
      </c>
      <c r="D28" s="18" t="s">
        <v>612</v>
      </c>
      <c r="E28" s="19" t="s">
        <v>118</v>
      </c>
      <c r="F28" s="19" t="s">
        <v>110</v>
      </c>
      <c r="G28" s="19" t="s">
        <v>677</v>
      </c>
      <c r="H28" s="19" t="s">
        <v>165</v>
      </c>
      <c r="I28" s="18" t="s">
        <v>732</v>
      </c>
    </row>
    <row r="29" ht="15.75" customHeight="1">
      <c r="A29" s="20" t="s">
        <v>474</v>
      </c>
      <c r="B29" s="20" t="s">
        <v>733</v>
      </c>
      <c r="C29" s="20" t="s">
        <v>470</v>
      </c>
      <c r="D29" s="20" t="s">
        <v>614</v>
      </c>
      <c r="E29" s="21" t="s">
        <v>118</v>
      </c>
      <c r="F29" s="21" t="s">
        <v>110</v>
      </c>
      <c r="G29" s="21" t="s">
        <v>680</v>
      </c>
      <c r="H29" s="21" t="s">
        <v>198</v>
      </c>
      <c r="I29" s="20" t="s">
        <v>98</v>
      </c>
    </row>
    <row r="30" ht="15.75" customHeight="1">
      <c r="A30" s="18" t="s">
        <v>481</v>
      </c>
      <c r="B30" s="18" t="s">
        <v>734</v>
      </c>
      <c r="C30" s="18" t="s">
        <v>477</v>
      </c>
      <c r="D30" s="18" t="s">
        <v>616</v>
      </c>
      <c r="E30" s="19" t="s">
        <v>118</v>
      </c>
      <c r="F30" s="19" t="s">
        <v>110</v>
      </c>
      <c r="G30" s="19" t="s">
        <v>680</v>
      </c>
      <c r="H30" s="19" t="s">
        <v>198</v>
      </c>
      <c r="I30" s="18" t="s">
        <v>98</v>
      </c>
    </row>
    <row r="31" ht="15.75" customHeight="1">
      <c r="A31" s="20" t="s">
        <v>488</v>
      </c>
      <c r="B31" s="20" t="s">
        <v>735</v>
      </c>
      <c r="C31" s="20" t="s">
        <v>489</v>
      </c>
      <c r="D31" s="20" t="s">
        <v>736</v>
      </c>
      <c r="E31" s="21" t="s">
        <v>116</v>
      </c>
      <c r="F31" s="21" t="s">
        <v>108</v>
      </c>
      <c r="G31" s="21" t="s">
        <v>680</v>
      </c>
      <c r="H31" s="21" t="s">
        <v>198</v>
      </c>
      <c r="I31" s="20" t="s">
        <v>737</v>
      </c>
    </row>
    <row r="32" ht="15.75" customHeight="1">
      <c r="A32" s="18" t="s">
        <v>498</v>
      </c>
      <c r="B32" s="18" t="s">
        <v>738</v>
      </c>
      <c r="C32" s="18" t="s">
        <v>494</v>
      </c>
      <c r="D32" s="18" t="s">
        <v>621</v>
      </c>
      <c r="E32" s="19" t="s">
        <v>116</v>
      </c>
      <c r="F32" s="19" t="s">
        <v>108</v>
      </c>
      <c r="G32" s="19" t="s">
        <v>680</v>
      </c>
      <c r="H32" s="19" t="s">
        <v>198</v>
      </c>
      <c r="I32" s="18" t="s">
        <v>98</v>
      </c>
    </row>
    <row r="33" ht="15.75" customHeight="1">
      <c r="A33" s="20" t="s">
        <v>506</v>
      </c>
      <c r="B33" s="20" t="s">
        <v>739</v>
      </c>
      <c r="C33" s="20" t="s">
        <v>504</v>
      </c>
      <c r="D33" s="20" t="s">
        <v>740</v>
      </c>
      <c r="E33" s="21" t="s">
        <v>112</v>
      </c>
      <c r="F33" s="21" t="s">
        <v>106</v>
      </c>
      <c r="G33" s="21" t="s">
        <v>680</v>
      </c>
      <c r="H33" s="21" t="s">
        <v>198</v>
      </c>
      <c r="I33" s="20" t="s">
        <v>98</v>
      </c>
    </row>
    <row r="34" ht="15.75" customHeight="1">
      <c r="A34" s="18" t="s">
        <v>513</v>
      </c>
      <c r="B34" s="18" t="s">
        <v>511</v>
      </c>
      <c r="C34" s="18" t="s">
        <v>509</v>
      </c>
      <c r="D34" s="18" t="s">
        <v>625</v>
      </c>
      <c r="E34" s="19" t="s">
        <v>118</v>
      </c>
      <c r="F34" s="19" t="s">
        <v>110</v>
      </c>
      <c r="G34" s="19" t="s">
        <v>680</v>
      </c>
      <c r="H34" s="19" t="s">
        <v>198</v>
      </c>
      <c r="I34" s="18" t="s">
        <v>741</v>
      </c>
    </row>
    <row r="35" ht="15.75" customHeight="1">
      <c r="A35" s="20" t="s">
        <v>519</v>
      </c>
      <c r="B35" s="20" t="s">
        <v>517</v>
      </c>
      <c r="C35" s="20" t="s">
        <v>516</v>
      </c>
      <c r="D35" s="20" t="s">
        <v>628</v>
      </c>
      <c r="E35" s="21" t="s">
        <v>118</v>
      </c>
      <c r="F35" s="21" t="s">
        <v>110</v>
      </c>
      <c r="G35" s="21" t="s">
        <v>680</v>
      </c>
      <c r="H35" s="21" t="s">
        <v>198</v>
      </c>
      <c r="I35" s="20" t="s">
        <v>98</v>
      </c>
    </row>
    <row r="36" ht="15.75" customHeight="1">
      <c r="A36" s="18" t="s">
        <v>742</v>
      </c>
      <c r="B36" s="18" t="s">
        <v>743</v>
      </c>
      <c r="C36" s="18" t="s">
        <v>744</v>
      </c>
      <c r="D36" s="18" t="s">
        <v>745</v>
      </c>
      <c r="E36" s="19" t="s">
        <v>744</v>
      </c>
      <c r="F36" s="19" t="s">
        <v>744</v>
      </c>
      <c r="G36" s="19" t="s">
        <v>677</v>
      </c>
      <c r="H36" s="19" t="s">
        <v>746</v>
      </c>
      <c r="I36" s="18" t="s">
        <v>747</v>
      </c>
    </row>
    <row r="37" ht="15.75" customHeight="1">
      <c r="A37" s="20" t="s">
        <v>748</v>
      </c>
      <c r="B37" s="20" t="s">
        <v>749</v>
      </c>
      <c r="C37" s="20" t="s">
        <v>744</v>
      </c>
      <c r="D37" s="20" t="s">
        <v>750</v>
      </c>
      <c r="E37" s="21" t="s">
        <v>744</v>
      </c>
      <c r="F37" s="21" t="s">
        <v>744</v>
      </c>
      <c r="G37" s="21" t="s">
        <v>677</v>
      </c>
      <c r="H37" s="21" t="s">
        <v>746</v>
      </c>
      <c r="I37" s="20" t="s">
        <v>747</v>
      </c>
    </row>
    <row r="38" ht="15.75" customHeight="1">
      <c r="A38" s="18" t="s">
        <v>751</v>
      </c>
      <c r="B38" s="18" t="s">
        <v>752</v>
      </c>
      <c r="C38" s="18" t="s">
        <v>744</v>
      </c>
      <c r="D38" s="18" t="s">
        <v>753</v>
      </c>
      <c r="E38" s="19" t="s">
        <v>744</v>
      </c>
      <c r="F38" s="19" t="s">
        <v>744</v>
      </c>
      <c r="G38" s="19" t="s">
        <v>677</v>
      </c>
      <c r="H38" s="19" t="s">
        <v>754</v>
      </c>
      <c r="I38" s="18" t="s">
        <v>755</v>
      </c>
    </row>
    <row r="39" ht="15.75" customHeight="1">
      <c r="A39" s="20" t="s">
        <v>756</v>
      </c>
      <c r="B39" s="20" t="s">
        <v>757</v>
      </c>
      <c r="C39" s="20" t="s">
        <v>744</v>
      </c>
      <c r="D39" s="20" t="s">
        <v>758</v>
      </c>
      <c r="E39" s="21" t="s">
        <v>744</v>
      </c>
      <c r="F39" s="21" t="s">
        <v>744</v>
      </c>
      <c r="G39" s="21" t="s">
        <v>677</v>
      </c>
      <c r="H39" s="21" t="s">
        <v>746</v>
      </c>
      <c r="I39" s="20" t="s">
        <v>98</v>
      </c>
    </row>
    <row r="40" ht="15.75" customHeight="1">
      <c r="A40" s="18" t="s">
        <v>759</v>
      </c>
      <c r="B40" s="18" t="s">
        <v>760</v>
      </c>
      <c r="C40" s="18" t="s">
        <v>761</v>
      </c>
      <c r="D40" s="18" t="s">
        <v>762</v>
      </c>
      <c r="E40" s="19" t="s">
        <v>112</v>
      </c>
      <c r="F40" s="19" t="s">
        <v>106</v>
      </c>
      <c r="G40" s="19" t="s">
        <v>680</v>
      </c>
      <c r="H40" s="19" t="s">
        <v>198</v>
      </c>
      <c r="I40" s="18" t="s">
        <v>98</v>
      </c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</row>
  </sheetData>
  <conditionalFormatting sqref="F2:F40">
    <cfRule type="cellIs" dxfId="0" priority="1" operator="equal">
      <formula>"TOFU"</formula>
    </cfRule>
  </conditionalFormatting>
  <conditionalFormatting sqref="F2:F40">
    <cfRule type="cellIs" dxfId="1" priority="2" operator="equal">
      <formula>"MOFU"</formula>
    </cfRule>
  </conditionalFormatting>
  <conditionalFormatting sqref="F2:F40">
    <cfRule type="cellIs" dxfId="2" priority="3" operator="equal">
      <formula>"BOFU"</formula>
    </cfRule>
  </conditionalFormatting>
  <conditionalFormatting sqref="E2:E40">
    <cfRule type="cellIs" dxfId="8" priority="4" operator="equal">
      <formula>"Informational"</formula>
    </cfRule>
  </conditionalFormatting>
  <conditionalFormatting sqref="E2:E40">
    <cfRule type="cellIs" dxfId="9" priority="5" operator="equal">
      <formula>"Navigational"</formula>
    </cfRule>
  </conditionalFormatting>
  <conditionalFormatting sqref="E2:E40">
    <cfRule type="cellIs" dxfId="10" priority="6" operator="equal">
      <formula>"Commercial"</formula>
    </cfRule>
  </conditionalFormatting>
  <conditionalFormatting sqref="E2:E40">
    <cfRule type="cellIs" dxfId="11" priority="7" operator="equal">
      <formula>"Transactional"</formula>
    </cfRule>
  </conditionalFormatting>
  <conditionalFormatting sqref="H2:H40">
    <cfRule type="cellIs" dxfId="1" priority="8" operator="equal">
      <formula>"Optimize"</formula>
    </cfRule>
  </conditionalFormatting>
  <conditionalFormatting sqref="H2:H40">
    <cfRule type="cellIs" dxfId="2" priority="9" operator="equal">
      <formula>"Create"</formula>
    </cfRule>
  </conditionalFormatting>
  <conditionalFormatting sqref="H2:H40">
    <cfRule type="cellIs" dxfId="0" priority="10" operator="equal">
      <formula>"Keep"</formula>
    </cfRule>
  </conditionalFormatting>
  <conditionalFormatting sqref="H2:H40">
    <cfRule type="cellIs" dxfId="14" priority="11" operator="equal">
      <formula>"Merge"</formula>
    </cfRule>
  </conditionalFormatting>
  <conditionalFormatting sqref="H2:H40">
    <cfRule type="cellIs" dxfId="14" priority="12" operator="equal">
      <formula>"Redirect"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9.86"/>
    <col customWidth="1" min="2" max="2" width="49.86"/>
    <col customWidth="1" min="3" max="3" width="55.86"/>
    <col customWidth="1" min="4" max="4" width="43.43"/>
    <col customWidth="1" min="5" max="5" width="43.86"/>
    <col customWidth="1" min="6" max="26" width="8.71"/>
  </cols>
  <sheetData>
    <row r="1">
      <c r="A1" s="17" t="s">
        <v>763</v>
      </c>
      <c r="B1" s="17" t="s">
        <v>764</v>
      </c>
      <c r="C1" s="17" t="s">
        <v>765</v>
      </c>
      <c r="D1" s="17" t="s">
        <v>526</v>
      </c>
      <c r="E1" s="17" t="s">
        <v>766</v>
      </c>
    </row>
    <row r="2">
      <c r="A2" s="18" t="s">
        <v>767</v>
      </c>
      <c r="B2" s="18" t="s">
        <v>768</v>
      </c>
      <c r="C2" s="18" t="s">
        <v>769</v>
      </c>
      <c r="D2" s="18" t="s">
        <v>770</v>
      </c>
      <c r="E2" s="18" t="s">
        <v>771</v>
      </c>
    </row>
    <row r="3">
      <c r="A3" s="20" t="s">
        <v>772</v>
      </c>
      <c r="B3" s="20" t="s">
        <v>773</v>
      </c>
      <c r="C3" s="20" t="s">
        <v>774</v>
      </c>
      <c r="D3" s="20" t="s">
        <v>775</v>
      </c>
      <c r="E3" s="20" t="s">
        <v>776</v>
      </c>
    </row>
    <row r="4">
      <c r="A4" s="18" t="s">
        <v>777</v>
      </c>
      <c r="B4" s="18" t="s">
        <v>778</v>
      </c>
      <c r="C4" s="18" t="s">
        <v>779</v>
      </c>
      <c r="D4" s="18" t="s">
        <v>780</v>
      </c>
      <c r="E4" s="18" t="s">
        <v>781</v>
      </c>
    </row>
    <row r="5">
      <c r="A5" s="20" t="s">
        <v>782</v>
      </c>
      <c r="B5" s="20" t="s">
        <v>783</v>
      </c>
      <c r="C5" s="20" t="s">
        <v>784</v>
      </c>
      <c r="D5" s="20" t="s">
        <v>785</v>
      </c>
      <c r="E5" s="20" t="s">
        <v>786</v>
      </c>
    </row>
    <row r="6">
      <c r="A6" s="18" t="s">
        <v>787</v>
      </c>
      <c r="B6" s="18" t="s">
        <v>788</v>
      </c>
      <c r="C6" s="18" t="s">
        <v>789</v>
      </c>
      <c r="D6" s="18" t="s">
        <v>790</v>
      </c>
      <c r="E6" s="18" t="s">
        <v>791</v>
      </c>
    </row>
    <row r="7">
      <c r="A7" s="20" t="s">
        <v>792</v>
      </c>
      <c r="B7" s="20" t="s">
        <v>793</v>
      </c>
      <c r="C7" s="20" t="s">
        <v>794</v>
      </c>
      <c r="D7" s="20" t="s">
        <v>795</v>
      </c>
      <c r="E7" s="20" t="s">
        <v>796</v>
      </c>
    </row>
    <row r="8">
      <c r="A8" s="18" t="s">
        <v>797</v>
      </c>
      <c r="B8" s="18" t="s">
        <v>798</v>
      </c>
      <c r="C8" s="18" t="s">
        <v>799</v>
      </c>
      <c r="D8" s="18" t="s">
        <v>800</v>
      </c>
      <c r="E8" s="18" t="s">
        <v>801</v>
      </c>
    </row>
    <row r="9">
      <c r="A9" s="20" t="s">
        <v>802</v>
      </c>
      <c r="B9" s="20" t="s">
        <v>803</v>
      </c>
      <c r="C9" s="20" t="s">
        <v>804</v>
      </c>
      <c r="D9" s="20" t="s">
        <v>805</v>
      </c>
      <c r="E9" s="20" t="s">
        <v>806</v>
      </c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5.29"/>
    <col customWidth="1" min="2" max="2" width="35.57"/>
    <col customWidth="1" min="3" max="3" width="68.86"/>
    <col customWidth="1" min="4" max="4" width="45.86"/>
    <col customWidth="1" min="5" max="5" width="55.43"/>
    <col customWidth="1" min="6" max="26" width="8.71"/>
  </cols>
  <sheetData>
    <row r="1">
      <c r="A1" s="17" t="s">
        <v>807</v>
      </c>
      <c r="B1" s="17" t="s">
        <v>808</v>
      </c>
      <c r="C1" s="17" t="s">
        <v>809</v>
      </c>
      <c r="D1" s="17" t="s">
        <v>810</v>
      </c>
      <c r="E1" s="17" t="s">
        <v>811</v>
      </c>
    </row>
    <row r="2">
      <c r="A2" s="18" t="s">
        <v>812</v>
      </c>
      <c r="B2" s="18" t="s">
        <v>813</v>
      </c>
      <c r="C2" s="18" t="s">
        <v>814</v>
      </c>
      <c r="D2" s="18" t="s">
        <v>815</v>
      </c>
      <c r="E2" s="18" t="s">
        <v>816</v>
      </c>
    </row>
    <row r="3">
      <c r="A3" s="20" t="s">
        <v>817</v>
      </c>
      <c r="B3" s="20" t="s">
        <v>818</v>
      </c>
      <c r="C3" s="20" t="s">
        <v>819</v>
      </c>
      <c r="D3" s="20" t="s">
        <v>820</v>
      </c>
      <c r="E3" s="20" t="s">
        <v>821</v>
      </c>
    </row>
    <row r="4">
      <c r="A4" s="18" t="s">
        <v>822</v>
      </c>
      <c r="B4" s="18" t="s">
        <v>323</v>
      </c>
      <c r="C4" s="18" t="s">
        <v>823</v>
      </c>
      <c r="D4" s="18" t="s">
        <v>824</v>
      </c>
      <c r="E4" s="18" t="s">
        <v>825</v>
      </c>
    </row>
    <row r="5">
      <c r="A5" s="20" t="s">
        <v>826</v>
      </c>
      <c r="B5" s="20" t="s">
        <v>827</v>
      </c>
      <c r="C5" s="20" t="s">
        <v>828</v>
      </c>
      <c r="D5" s="20" t="s">
        <v>829</v>
      </c>
      <c r="E5" s="20" t="s">
        <v>830</v>
      </c>
    </row>
    <row r="6">
      <c r="A6" s="18" t="s">
        <v>831</v>
      </c>
      <c r="B6" s="18" t="s">
        <v>832</v>
      </c>
      <c r="C6" s="18" t="s">
        <v>833</v>
      </c>
      <c r="D6" s="18" t="s">
        <v>834</v>
      </c>
      <c r="E6" s="18" t="s">
        <v>835</v>
      </c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9.71"/>
    <col customWidth="1" min="3" max="3" width="39.0"/>
    <col customWidth="1" min="4" max="4" width="37.71"/>
    <col customWidth="1" min="5" max="26" width="8.71"/>
  </cols>
  <sheetData>
    <row r="1">
      <c r="A1" s="17" t="s">
        <v>836</v>
      </c>
      <c r="B1" s="17" t="s">
        <v>837</v>
      </c>
      <c r="C1" s="17" t="s">
        <v>838</v>
      </c>
      <c r="D1" s="17" t="s">
        <v>810</v>
      </c>
    </row>
    <row r="2">
      <c r="A2" s="18" t="s">
        <v>164</v>
      </c>
      <c r="B2" s="18" t="s">
        <v>298</v>
      </c>
      <c r="C2" s="18" t="s">
        <v>839</v>
      </c>
      <c r="D2" s="18" t="s">
        <v>840</v>
      </c>
    </row>
    <row r="3">
      <c r="A3" s="20" t="s">
        <v>164</v>
      </c>
      <c r="B3" s="20" t="s">
        <v>323</v>
      </c>
      <c r="C3" s="20" t="s">
        <v>841</v>
      </c>
      <c r="D3" s="20" t="s">
        <v>840</v>
      </c>
    </row>
    <row r="4">
      <c r="A4" s="18" t="s">
        <v>164</v>
      </c>
      <c r="B4" s="18" t="s">
        <v>373</v>
      </c>
      <c r="C4" s="18" t="s">
        <v>842</v>
      </c>
      <c r="D4" s="18" t="s">
        <v>840</v>
      </c>
    </row>
    <row r="5">
      <c r="A5" s="20" t="s">
        <v>164</v>
      </c>
      <c r="B5" s="20" t="s">
        <v>395</v>
      </c>
      <c r="C5" s="20" t="s">
        <v>843</v>
      </c>
      <c r="D5" s="20" t="s">
        <v>840</v>
      </c>
    </row>
    <row r="6">
      <c r="A6" s="18" t="s">
        <v>164</v>
      </c>
      <c r="B6" s="18" t="s">
        <v>423</v>
      </c>
      <c r="C6" s="18" t="s">
        <v>844</v>
      </c>
      <c r="D6" s="18" t="s">
        <v>840</v>
      </c>
    </row>
    <row r="7">
      <c r="A7" s="20" t="s">
        <v>164</v>
      </c>
      <c r="B7" s="20" t="s">
        <v>441</v>
      </c>
      <c r="C7" s="20" t="s">
        <v>845</v>
      </c>
      <c r="D7" s="20" t="s">
        <v>840</v>
      </c>
    </row>
    <row r="8">
      <c r="A8" s="18" t="s">
        <v>164</v>
      </c>
      <c r="B8" s="18" t="s">
        <v>271</v>
      </c>
      <c r="C8" s="18" t="s">
        <v>846</v>
      </c>
      <c r="D8" s="18" t="s">
        <v>847</v>
      </c>
    </row>
    <row r="9">
      <c r="A9" s="20" t="s">
        <v>164</v>
      </c>
      <c r="B9" s="20" t="s">
        <v>237</v>
      </c>
      <c r="C9" s="20" t="s">
        <v>848</v>
      </c>
      <c r="D9" s="20" t="s">
        <v>849</v>
      </c>
    </row>
    <row r="10">
      <c r="A10" s="18" t="s">
        <v>164</v>
      </c>
      <c r="B10" s="18" t="s">
        <v>255</v>
      </c>
      <c r="C10" s="18" t="s">
        <v>850</v>
      </c>
      <c r="D10" s="18" t="s">
        <v>851</v>
      </c>
    </row>
    <row r="11">
      <c r="A11" s="20" t="s">
        <v>164</v>
      </c>
      <c r="B11" s="20" t="s">
        <v>197</v>
      </c>
      <c r="C11" s="20" t="s">
        <v>852</v>
      </c>
      <c r="D11" s="20" t="s">
        <v>853</v>
      </c>
    </row>
    <row r="12">
      <c r="A12" s="18" t="s">
        <v>298</v>
      </c>
      <c r="B12" s="18" t="s">
        <v>854</v>
      </c>
      <c r="C12" s="18" t="s">
        <v>855</v>
      </c>
      <c r="D12" s="18" t="s">
        <v>856</v>
      </c>
    </row>
    <row r="13">
      <c r="A13" s="20" t="s">
        <v>323</v>
      </c>
      <c r="B13" s="20" t="s">
        <v>854</v>
      </c>
      <c r="C13" s="20" t="s">
        <v>855</v>
      </c>
      <c r="D13" s="20" t="s">
        <v>856</v>
      </c>
    </row>
    <row r="14">
      <c r="A14" s="18" t="s">
        <v>373</v>
      </c>
      <c r="B14" s="18" t="s">
        <v>854</v>
      </c>
      <c r="C14" s="18" t="s">
        <v>855</v>
      </c>
      <c r="D14" s="18" t="s">
        <v>856</v>
      </c>
    </row>
    <row r="15">
      <c r="A15" s="20" t="s">
        <v>395</v>
      </c>
      <c r="B15" s="20" t="s">
        <v>854</v>
      </c>
      <c r="C15" s="20" t="s">
        <v>855</v>
      </c>
      <c r="D15" s="20" t="s">
        <v>856</v>
      </c>
    </row>
    <row r="16">
      <c r="A16" s="18" t="s">
        <v>423</v>
      </c>
      <c r="B16" s="18" t="s">
        <v>854</v>
      </c>
      <c r="C16" s="18" t="s">
        <v>855</v>
      </c>
      <c r="D16" s="18" t="s">
        <v>856</v>
      </c>
    </row>
    <row r="17">
      <c r="A17" s="20" t="s">
        <v>441</v>
      </c>
      <c r="B17" s="20" t="s">
        <v>854</v>
      </c>
      <c r="C17" s="20" t="s">
        <v>855</v>
      </c>
      <c r="D17" s="20" t="s">
        <v>856</v>
      </c>
    </row>
    <row r="18">
      <c r="A18" s="18" t="s">
        <v>513</v>
      </c>
      <c r="B18" s="18" t="s">
        <v>373</v>
      </c>
      <c r="C18" s="18" t="s">
        <v>857</v>
      </c>
      <c r="D18" s="18" t="s">
        <v>858</v>
      </c>
    </row>
    <row r="19">
      <c r="A19" s="20" t="s">
        <v>513</v>
      </c>
      <c r="B19" s="20" t="s">
        <v>441</v>
      </c>
      <c r="C19" s="20" t="s">
        <v>859</v>
      </c>
      <c r="D19" s="20" t="s">
        <v>858</v>
      </c>
    </row>
    <row r="20">
      <c r="A20" s="18" t="s">
        <v>513</v>
      </c>
      <c r="B20" s="18" t="s">
        <v>423</v>
      </c>
      <c r="C20" s="18" t="s">
        <v>860</v>
      </c>
      <c r="D20" s="18" t="s">
        <v>858</v>
      </c>
    </row>
    <row r="21" ht="15.75" customHeight="1">
      <c r="A21" s="20" t="s">
        <v>513</v>
      </c>
      <c r="B21" s="20" t="s">
        <v>395</v>
      </c>
      <c r="C21" s="20" t="s">
        <v>861</v>
      </c>
      <c r="D21" s="20" t="s">
        <v>858</v>
      </c>
    </row>
    <row r="22" ht="15.75" customHeight="1">
      <c r="A22" s="18" t="s">
        <v>513</v>
      </c>
      <c r="B22" s="18" t="s">
        <v>463</v>
      </c>
      <c r="C22" s="18" t="s">
        <v>862</v>
      </c>
      <c r="D22" s="18" t="s">
        <v>858</v>
      </c>
    </row>
    <row r="23" ht="15.75" customHeight="1">
      <c r="A23" s="20" t="s">
        <v>373</v>
      </c>
      <c r="B23" s="20" t="s">
        <v>441</v>
      </c>
      <c r="C23" s="20" t="s">
        <v>863</v>
      </c>
      <c r="D23" s="20" t="s">
        <v>864</v>
      </c>
    </row>
    <row r="24" ht="15.75" customHeight="1">
      <c r="A24" s="18" t="s">
        <v>441</v>
      </c>
      <c r="B24" s="18" t="s">
        <v>423</v>
      </c>
      <c r="C24" s="18" t="s">
        <v>865</v>
      </c>
      <c r="D24" s="18" t="s">
        <v>866</v>
      </c>
    </row>
    <row r="25" ht="15.75" customHeight="1">
      <c r="A25" s="20" t="s">
        <v>423</v>
      </c>
      <c r="B25" s="20" t="s">
        <v>395</v>
      </c>
      <c r="C25" s="20" t="s">
        <v>867</v>
      </c>
      <c r="D25" s="20" t="s">
        <v>866</v>
      </c>
    </row>
    <row r="26" ht="15.75" customHeight="1">
      <c r="A26" s="18" t="s">
        <v>423</v>
      </c>
      <c r="B26" s="18" t="s">
        <v>463</v>
      </c>
      <c r="C26" s="18" t="s">
        <v>868</v>
      </c>
      <c r="D26" s="18" t="s">
        <v>866</v>
      </c>
    </row>
    <row r="27" ht="15.75" customHeight="1">
      <c r="A27" s="20" t="s">
        <v>395</v>
      </c>
      <c r="B27" s="20" t="s">
        <v>463</v>
      </c>
      <c r="C27" s="20" t="s">
        <v>869</v>
      </c>
      <c r="D27" s="20" t="s">
        <v>870</v>
      </c>
    </row>
    <row r="28" ht="15.75" customHeight="1">
      <c r="A28" s="18" t="s">
        <v>298</v>
      </c>
      <c r="B28" s="18" t="s">
        <v>286</v>
      </c>
      <c r="C28" s="18" t="s">
        <v>871</v>
      </c>
      <c r="D28" s="18" t="s">
        <v>872</v>
      </c>
    </row>
    <row r="29" ht="15.75" customHeight="1">
      <c r="A29" s="20" t="s">
        <v>286</v>
      </c>
      <c r="B29" s="20" t="s">
        <v>237</v>
      </c>
      <c r="C29" s="20" t="s">
        <v>873</v>
      </c>
      <c r="D29" s="20" t="s">
        <v>874</v>
      </c>
    </row>
    <row r="30" ht="15.75" customHeight="1">
      <c r="A30" s="18" t="s">
        <v>237</v>
      </c>
      <c r="B30" s="18" t="s">
        <v>245</v>
      </c>
      <c r="C30" s="18" t="s">
        <v>875</v>
      </c>
      <c r="D30" s="18" t="s">
        <v>876</v>
      </c>
    </row>
    <row r="31" ht="15.75" customHeight="1">
      <c r="A31" s="20" t="s">
        <v>245</v>
      </c>
      <c r="B31" s="20" t="s">
        <v>255</v>
      </c>
      <c r="C31" s="20" t="s">
        <v>877</v>
      </c>
      <c r="D31" s="20" t="s">
        <v>878</v>
      </c>
    </row>
    <row r="32" ht="15.75" customHeight="1">
      <c r="A32" s="18" t="s">
        <v>323</v>
      </c>
      <c r="B32" s="18" t="s">
        <v>340</v>
      </c>
      <c r="C32" s="18" t="s">
        <v>879</v>
      </c>
      <c r="D32" s="18" t="s">
        <v>880</v>
      </c>
    </row>
    <row r="33" ht="15.75" customHeight="1">
      <c r="A33" s="20" t="s">
        <v>340</v>
      </c>
      <c r="B33" s="20" t="s">
        <v>323</v>
      </c>
      <c r="C33" s="20" t="s">
        <v>881</v>
      </c>
      <c r="D33" s="20" t="s">
        <v>882</v>
      </c>
    </row>
    <row r="34" ht="15.75" customHeight="1">
      <c r="A34" s="18" t="s">
        <v>323</v>
      </c>
      <c r="B34" s="18" t="s">
        <v>351</v>
      </c>
      <c r="C34" s="18" t="s">
        <v>883</v>
      </c>
      <c r="D34" s="18" t="s">
        <v>884</v>
      </c>
    </row>
    <row r="35" ht="15.75" customHeight="1">
      <c r="A35" s="20" t="s">
        <v>323</v>
      </c>
      <c r="B35" s="20" t="s">
        <v>362</v>
      </c>
      <c r="C35" s="20" t="s">
        <v>885</v>
      </c>
      <c r="D35" s="20" t="s">
        <v>886</v>
      </c>
    </row>
    <row r="36" ht="15.75" customHeight="1">
      <c r="A36" s="18" t="s">
        <v>351</v>
      </c>
      <c r="B36" s="18" t="s">
        <v>323</v>
      </c>
      <c r="C36" s="18" t="s">
        <v>887</v>
      </c>
      <c r="D36" s="18" t="s">
        <v>888</v>
      </c>
    </row>
    <row r="37" ht="15.75" customHeight="1">
      <c r="A37" s="20" t="s">
        <v>362</v>
      </c>
      <c r="B37" s="20" t="s">
        <v>340</v>
      </c>
      <c r="C37" s="20" t="s">
        <v>889</v>
      </c>
      <c r="D37" s="20" t="s">
        <v>890</v>
      </c>
    </row>
    <row r="38" ht="15.75" customHeight="1">
      <c r="A38" s="18" t="s">
        <v>311</v>
      </c>
      <c r="B38" s="18" t="s">
        <v>298</v>
      </c>
      <c r="C38" s="18" t="s">
        <v>839</v>
      </c>
      <c r="D38" s="18" t="s">
        <v>888</v>
      </c>
    </row>
    <row r="39" ht="15.75" customHeight="1">
      <c r="A39" s="20" t="s">
        <v>385</v>
      </c>
      <c r="B39" s="20" t="s">
        <v>373</v>
      </c>
      <c r="C39" s="20" t="s">
        <v>891</v>
      </c>
      <c r="D39" s="20" t="s">
        <v>888</v>
      </c>
    </row>
    <row r="40" ht="15.75" customHeight="1">
      <c r="A40" s="18" t="s">
        <v>451</v>
      </c>
      <c r="B40" s="18" t="s">
        <v>441</v>
      </c>
      <c r="C40" s="18" t="s">
        <v>845</v>
      </c>
      <c r="D40" s="18" t="s">
        <v>888</v>
      </c>
    </row>
    <row r="41" ht="15.75" customHeight="1">
      <c r="A41" s="20" t="s">
        <v>431</v>
      </c>
      <c r="B41" s="20" t="s">
        <v>423</v>
      </c>
      <c r="C41" s="20" t="s">
        <v>844</v>
      </c>
      <c r="D41" s="20" t="s">
        <v>888</v>
      </c>
    </row>
    <row r="42" ht="15.75" customHeight="1">
      <c r="A42" s="18" t="s">
        <v>408</v>
      </c>
      <c r="B42" s="18" t="s">
        <v>395</v>
      </c>
      <c r="C42" s="18" t="s">
        <v>843</v>
      </c>
      <c r="D42" s="18" t="s">
        <v>888</v>
      </c>
    </row>
    <row r="43" ht="15.75" customHeight="1">
      <c r="A43" s="20" t="s">
        <v>416</v>
      </c>
      <c r="B43" s="20" t="s">
        <v>395</v>
      </c>
      <c r="C43" s="20" t="s">
        <v>892</v>
      </c>
      <c r="D43" s="20" t="s">
        <v>888</v>
      </c>
    </row>
    <row r="44" ht="15.75" customHeight="1">
      <c r="A44" s="18" t="s">
        <v>506</v>
      </c>
      <c r="B44" s="18" t="s">
        <v>498</v>
      </c>
      <c r="C44" s="18" t="s">
        <v>893</v>
      </c>
      <c r="D44" s="18" t="s">
        <v>894</v>
      </c>
    </row>
    <row r="45" ht="15.75" customHeight="1">
      <c r="A45" s="20" t="s">
        <v>498</v>
      </c>
      <c r="B45" s="20" t="s">
        <v>245</v>
      </c>
      <c r="C45" s="20" t="s">
        <v>895</v>
      </c>
      <c r="D45" s="20" t="s">
        <v>896</v>
      </c>
    </row>
    <row r="46" ht="15.75" customHeight="1">
      <c r="A46" s="18" t="s">
        <v>271</v>
      </c>
      <c r="B46" s="18" t="s">
        <v>854</v>
      </c>
      <c r="C46" s="18" t="s">
        <v>897</v>
      </c>
      <c r="D46" s="18" t="s">
        <v>898</v>
      </c>
    </row>
    <row r="47" ht="15.75" customHeight="1">
      <c r="A47" s="20" t="s">
        <v>271</v>
      </c>
      <c r="B47" s="20" t="s">
        <v>441</v>
      </c>
      <c r="C47" s="20" t="s">
        <v>899</v>
      </c>
      <c r="D47" s="20" t="s">
        <v>900</v>
      </c>
    </row>
    <row r="48" ht="15.75" customHeight="1">
      <c r="A48" s="18" t="s">
        <v>271</v>
      </c>
      <c r="B48" s="18" t="s">
        <v>373</v>
      </c>
      <c r="C48" s="18" t="s">
        <v>901</v>
      </c>
      <c r="D48" s="18" t="s">
        <v>900</v>
      </c>
    </row>
    <row r="49" ht="15.75" customHeight="1">
      <c r="A49" s="20" t="s">
        <v>197</v>
      </c>
      <c r="B49" s="20" t="s">
        <v>164</v>
      </c>
      <c r="C49" s="20" t="s">
        <v>6</v>
      </c>
      <c r="D49" s="20" t="s">
        <v>902</v>
      </c>
    </row>
    <row r="50" ht="15.75" customHeight="1">
      <c r="A50" s="18" t="s">
        <v>197</v>
      </c>
      <c r="B50" s="18" t="s">
        <v>209</v>
      </c>
      <c r="C50" s="18" t="s">
        <v>903</v>
      </c>
      <c r="D50" s="18" t="s">
        <v>904</v>
      </c>
    </row>
    <row r="51" ht="15.75" customHeight="1">
      <c r="A51" s="20" t="s">
        <v>209</v>
      </c>
      <c r="B51" s="20" t="s">
        <v>323</v>
      </c>
      <c r="C51" s="20" t="s">
        <v>905</v>
      </c>
      <c r="D51" s="20" t="s">
        <v>906</v>
      </c>
    </row>
    <row r="52" ht="15.75" customHeight="1">
      <c r="A52" s="18" t="s">
        <v>217</v>
      </c>
      <c r="B52" s="18" t="s">
        <v>441</v>
      </c>
      <c r="C52" s="18" t="s">
        <v>907</v>
      </c>
      <c r="D52" s="18" t="s">
        <v>906</v>
      </c>
    </row>
    <row r="53" ht="15.75" customHeight="1">
      <c r="A53" s="20" t="s">
        <v>224</v>
      </c>
      <c r="B53" s="20" t="s">
        <v>395</v>
      </c>
      <c r="C53" s="20" t="s">
        <v>908</v>
      </c>
      <c r="D53" s="20" t="s">
        <v>906</v>
      </c>
    </row>
    <row r="54" ht="15.75" customHeight="1">
      <c r="A54" s="18" t="s">
        <v>231</v>
      </c>
      <c r="B54" s="18" t="s">
        <v>286</v>
      </c>
      <c r="C54" s="18" t="s">
        <v>909</v>
      </c>
      <c r="D54" s="18" t="s">
        <v>906</v>
      </c>
    </row>
    <row r="55" ht="15.75" customHeight="1">
      <c r="A55" s="20" t="s">
        <v>488</v>
      </c>
      <c r="B55" s="20" t="s">
        <v>255</v>
      </c>
      <c r="C55" s="20" t="s">
        <v>910</v>
      </c>
      <c r="D55" s="20" t="s">
        <v>911</v>
      </c>
    </row>
    <row r="56" ht="15.75" customHeight="1">
      <c r="A56" s="18" t="s">
        <v>488</v>
      </c>
      <c r="B56" s="18" t="s">
        <v>237</v>
      </c>
      <c r="C56" s="18" t="s">
        <v>873</v>
      </c>
      <c r="D56" s="18" t="s">
        <v>912</v>
      </c>
    </row>
    <row r="57" ht="15.75" customHeight="1">
      <c r="A57" s="20" t="s">
        <v>255</v>
      </c>
      <c r="B57" s="20" t="s">
        <v>488</v>
      </c>
      <c r="C57" s="20" t="s">
        <v>913</v>
      </c>
      <c r="D57" s="20" t="s">
        <v>914</v>
      </c>
    </row>
    <row r="58" ht="15.75" customHeight="1">
      <c r="A58" s="18" t="s">
        <v>759</v>
      </c>
      <c r="B58" s="18" t="s">
        <v>513</v>
      </c>
      <c r="C58" s="18" t="s">
        <v>915</v>
      </c>
      <c r="D58" s="18" t="s">
        <v>916</v>
      </c>
    </row>
    <row r="59" ht="15.75" customHeight="1">
      <c r="A59" s="20" t="s">
        <v>759</v>
      </c>
      <c r="B59" s="20" t="s">
        <v>323</v>
      </c>
      <c r="C59" s="20" t="s">
        <v>917</v>
      </c>
      <c r="D59" s="20" t="s">
        <v>916</v>
      </c>
    </row>
    <row r="60" ht="15.75" customHeight="1">
      <c r="A60" s="8"/>
      <c r="B60" s="8"/>
      <c r="C60" s="8"/>
      <c r="D60" s="8"/>
    </row>
    <row r="61" ht="15.75" customHeight="1">
      <c r="A61" s="8"/>
      <c r="B61" s="8"/>
      <c r="C61" s="8"/>
      <c r="D61" s="8"/>
    </row>
    <row r="62" ht="15.75" customHeight="1">
      <c r="A62" s="8"/>
      <c r="B62" s="8"/>
      <c r="C62" s="8"/>
      <c r="D62" s="8"/>
    </row>
    <row r="63" ht="15.75" customHeight="1">
      <c r="A63" s="8"/>
      <c r="B63" s="8"/>
      <c r="C63" s="8"/>
      <c r="D63" s="8"/>
    </row>
    <row r="64" ht="15.75" customHeight="1">
      <c r="A64" s="8"/>
      <c r="B64" s="8"/>
      <c r="C64" s="8"/>
      <c r="D64" s="8"/>
    </row>
    <row r="65" ht="15.75" customHeight="1">
      <c r="A65" s="8"/>
      <c r="B65" s="8"/>
      <c r="C65" s="8"/>
      <c r="D65" s="8"/>
    </row>
    <row r="66" ht="15.75" customHeight="1">
      <c r="A66" s="8"/>
      <c r="B66" s="8"/>
      <c r="C66" s="8"/>
      <c r="D66" s="8"/>
    </row>
    <row r="67" ht="15.75" customHeight="1">
      <c r="A67" s="8"/>
      <c r="B67" s="8"/>
      <c r="C67" s="8"/>
      <c r="D67" s="8"/>
    </row>
    <row r="68" ht="15.75" customHeight="1">
      <c r="A68" s="8"/>
      <c r="B68" s="8"/>
      <c r="C68" s="8"/>
      <c r="D68" s="8"/>
    </row>
    <row r="69" ht="15.75" customHeight="1">
      <c r="A69" s="8"/>
      <c r="B69" s="8"/>
      <c r="C69" s="8"/>
      <c r="D69" s="8"/>
    </row>
    <row r="70" ht="15.75" customHeight="1">
      <c r="A70" s="8"/>
      <c r="B70" s="8"/>
      <c r="C70" s="8"/>
      <c r="D70" s="8"/>
    </row>
    <row r="71" ht="15.75" customHeight="1">
      <c r="A71" s="8"/>
      <c r="B71" s="8"/>
      <c r="C71" s="8"/>
      <c r="D71" s="8"/>
    </row>
    <row r="72" ht="15.75" customHeight="1">
      <c r="A72" s="8"/>
      <c r="B72" s="8"/>
      <c r="C72" s="8"/>
      <c r="D72" s="8"/>
    </row>
    <row r="73" ht="15.75" customHeight="1">
      <c r="A73" s="8"/>
      <c r="B73" s="8"/>
      <c r="C73" s="8"/>
      <c r="D73" s="8"/>
    </row>
    <row r="74" ht="15.75" customHeight="1">
      <c r="A74" s="8"/>
      <c r="B74" s="8"/>
      <c r="C74" s="8"/>
      <c r="D74" s="8"/>
    </row>
    <row r="75" ht="15.75" customHeight="1">
      <c r="A75" s="8"/>
      <c r="B75" s="8"/>
      <c r="C75" s="8"/>
      <c r="D75" s="8"/>
    </row>
    <row r="76" ht="15.75" customHeight="1">
      <c r="A76" s="8"/>
      <c r="B76" s="8"/>
      <c r="C76" s="8"/>
      <c r="D76" s="8"/>
    </row>
    <row r="77" ht="15.75" customHeight="1">
      <c r="A77" s="8"/>
      <c r="B77" s="8"/>
      <c r="C77" s="8"/>
      <c r="D77" s="8"/>
    </row>
    <row r="78" ht="15.75" customHeight="1">
      <c r="A78" s="8"/>
      <c r="B78" s="8"/>
      <c r="C78" s="8"/>
      <c r="D78" s="8"/>
    </row>
    <row r="79" ht="15.75" customHeight="1">
      <c r="A79" s="8"/>
      <c r="B79" s="8"/>
      <c r="C79" s="8"/>
      <c r="D79" s="8"/>
    </row>
    <row r="80" ht="15.75" customHeight="1">
      <c r="A80" s="8"/>
      <c r="B80" s="8"/>
      <c r="C80" s="8"/>
      <c r="D80" s="8"/>
    </row>
    <row r="81" ht="15.75" customHeight="1">
      <c r="A81" s="8"/>
      <c r="B81" s="8"/>
      <c r="C81" s="8"/>
      <c r="D81" s="8"/>
    </row>
    <row r="82" ht="15.75" customHeight="1">
      <c r="A82" s="8"/>
      <c r="B82" s="8"/>
      <c r="C82" s="8"/>
      <c r="D82" s="8"/>
    </row>
    <row r="83" ht="15.75" customHeight="1">
      <c r="A83" s="8"/>
      <c r="B83" s="8"/>
      <c r="C83" s="8"/>
      <c r="D83" s="8"/>
    </row>
    <row r="84" ht="15.75" customHeight="1">
      <c r="A84" s="8"/>
      <c r="B84" s="8"/>
      <c r="C84" s="8"/>
      <c r="D84" s="8"/>
    </row>
    <row r="85" ht="15.75" customHeight="1">
      <c r="A85" s="8"/>
      <c r="B85" s="8"/>
      <c r="C85" s="8"/>
      <c r="D85" s="8"/>
    </row>
    <row r="86" ht="15.75" customHeight="1">
      <c r="A86" s="8"/>
      <c r="B86" s="8"/>
      <c r="C86" s="8"/>
      <c r="D86" s="8"/>
    </row>
    <row r="87" ht="15.75" customHeight="1">
      <c r="A87" s="8"/>
      <c r="B87" s="8"/>
      <c r="C87" s="8"/>
      <c r="D87" s="8"/>
    </row>
    <row r="88" ht="15.75" customHeight="1">
      <c r="A88" s="8"/>
      <c r="B88" s="8"/>
      <c r="C88" s="8"/>
      <c r="D88" s="8"/>
    </row>
    <row r="89" ht="15.75" customHeight="1">
      <c r="A89" s="8"/>
      <c r="B89" s="8"/>
      <c r="C89" s="8"/>
      <c r="D89" s="8"/>
    </row>
    <row r="90" ht="15.75" customHeight="1">
      <c r="A90" s="8"/>
      <c r="B90" s="8"/>
      <c r="C90" s="8"/>
      <c r="D90" s="8"/>
    </row>
    <row r="91" ht="15.75" customHeight="1">
      <c r="A91" s="8"/>
      <c r="B91" s="8"/>
      <c r="C91" s="8"/>
      <c r="D91" s="8"/>
    </row>
    <row r="92" ht="15.75" customHeight="1">
      <c r="A92" s="8"/>
      <c r="B92" s="8"/>
      <c r="C92" s="8"/>
      <c r="D92" s="8"/>
    </row>
    <row r="93" ht="15.75" customHeight="1">
      <c r="A93" s="8"/>
      <c r="B93" s="8"/>
      <c r="C93" s="8"/>
      <c r="D93" s="8"/>
    </row>
    <row r="94" ht="15.75" customHeight="1">
      <c r="A94" s="8"/>
      <c r="B94" s="8"/>
      <c r="C94" s="8"/>
      <c r="D94" s="8"/>
    </row>
    <row r="95" ht="15.75" customHeight="1">
      <c r="A95" s="8"/>
      <c r="B95" s="8"/>
      <c r="C95" s="8"/>
      <c r="D95" s="8"/>
    </row>
    <row r="96" ht="15.75" customHeight="1">
      <c r="A96" s="8"/>
      <c r="B96" s="8"/>
      <c r="C96" s="8"/>
      <c r="D96" s="8"/>
    </row>
    <row r="97" ht="15.75" customHeight="1">
      <c r="A97" s="8"/>
      <c r="B97" s="8"/>
      <c r="C97" s="8"/>
      <c r="D97" s="8"/>
    </row>
    <row r="98" ht="15.75" customHeight="1">
      <c r="A98" s="8"/>
      <c r="B98" s="8"/>
      <c r="C98" s="8"/>
      <c r="D98" s="8"/>
    </row>
    <row r="99" ht="15.75" customHeight="1">
      <c r="A99" s="8"/>
      <c r="B99" s="8"/>
      <c r="C99" s="8"/>
      <c r="D99" s="8"/>
    </row>
    <row r="100" ht="15.75" customHeight="1">
      <c r="A100" s="8"/>
      <c r="B100" s="8"/>
      <c r="C100" s="8"/>
      <c r="D100" s="8"/>
    </row>
    <row r="101" ht="15.75" customHeight="1">
      <c r="A101" s="8"/>
      <c r="B101" s="8"/>
      <c r="C101" s="8"/>
      <c r="D101" s="8"/>
    </row>
    <row r="102" ht="15.75" customHeight="1">
      <c r="A102" s="8"/>
      <c r="B102" s="8"/>
      <c r="C102" s="8"/>
      <c r="D102" s="8"/>
    </row>
    <row r="103" ht="15.75" customHeight="1">
      <c r="A103" s="8"/>
      <c r="B103" s="8"/>
      <c r="C103" s="8"/>
      <c r="D103" s="8"/>
    </row>
    <row r="104" ht="15.75" customHeight="1">
      <c r="A104" s="8"/>
      <c r="B104" s="8"/>
      <c r="C104" s="8"/>
      <c r="D104" s="8"/>
    </row>
    <row r="105" ht="15.75" customHeight="1">
      <c r="A105" s="8"/>
      <c r="B105" s="8"/>
      <c r="C105" s="8"/>
      <c r="D105" s="8"/>
    </row>
    <row r="106" ht="15.75" customHeight="1">
      <c r="A106" s="8"/>
      <c r="B106" s="8"/>
      <c r="C106" s="8"/>
      <c r="D106" s="8"/>
    </row>
    <row r="107" ht="15.75" customHeight="1">
      <c r="A107" s="8"/>
      <c r="B107" s="8"/>
      <c r="C107" s="8"/>
      <c r="D107" s="8"/>
    </row>
    <row r="108" ht="15.75" customHeight="1">
      <c r="A108" s="8"/>
      <c r="B108" s="8"/>
      <c r="C108" s="8"/>
      <c r="D108" s="8"/>
    </row>
    <row r="109" ht="15.75" customHeight="1">
      <c r="A109" s="8"/>
      <c r="B109" s="8"/>
      <c r="C109" s="8"/>
      <c r="D109" s="8"/>
    </row>
    <row r="110" ht="15.75" customHeight="1">
      <c r="A110" s="8"/>
      <c r="B110" s="8"/>
      <c r="C110" s="8"/>
      <c r="D110" s="8"/>
    </row>
    <row r="111" ht="15.75" customHeight="1">
      <c r="A111" s="8"/>
      <c r="B111" s="8"/>
      <c r="C111" s="8"/>
      <c r="D111" s="8"/>
    </row>
    <row r="112" ht="15.75" customHeight="1">
      <c r="A112" s="8"/>
      <c r="B112" s="8"/>
      <c r="C112" s="8"/>
      <c r="D112" s="8"/>
    </row>
    <row r="113" ht="15.75" customHeight="1">
      <c r="A113" s="8"/>
      <c r="B113" s="8"/>
      <c r="C113" s="8"/>
      <c r="D113" s="8"/>
    </row>
    <row r="114" ht="15.75" customHeight="1">
      <c r="A114" s="8"/>
      <c r="B114" s="8"/>
      <c r="C114" s="8"/>
      <c r="D114" s="8"/>
    </row>
    <row r="115" ht="15.75" customHeight="1">
      <c r="A115" s="8"/>
      <c r="B115" s="8"/>
      <c r="C115" s="8"/>
      <c r="D115" s="8"/>
    </row>
    <row r="116" ht="15.75" customHeight="1">
      <c r="A116" s="8"/>
      <c r="B116" s="8"/>
      <c r="C116" s="8"/>
      <c r="D116" s="8"/>
    </row>
    <row r="117" ht="15.75" customHeight="1">
      <c r="A117" s="8"/>
      <c r="B117" s="8"/>
      <c r="C117" s="8"/>
      <c r="D117" s="8"/>
    </row>
    <row r="118" ht="15.75" customHeight="1">
      <c r="A118" s="8"/>
      <c r="B118" s="8"/>
      <c r="C118" s="8"/>
      <c r="D118" s="8"/>
    </row>
    <row r="119" ht="15.75" customHeight="1">
      <c r="A119" s="8"/>
      <c r="B119" s="8"/>
      <c r="C119" s="8"/>
      <c r="D119" s="8"/>
    </row>
    <row r="120" ht="15.75" customHeight="1">
      <c r="A120" s="8"/>
      <c r="B120" s="8"/>
      <c r="C120" s="8"/>
      <c r="D120" s="8"/>
    </row>
    <row r="121" ht="15.75" customHeight="1">
      <c r="A121" s="8"/>
      <c r="B121" s="8"/>
      <c r="C121" s="8"/>
      <c r="D121" s="8"/>
    </row>
    <row r="122" ht="15.75" customHeight="1">
      <c r="A122" s="8"/>
      <c r="B122" s="8"/>
      <c r="C122" s="8"/>
      <c r="D122" s="8"/>
    </row>
    <row r="123" ht="15.75" customHeight="1">
      <c r="A123" s="8"/>
      <c r="B123" s="8"/>
      <c r="C123" s="8"/>
      <c r="D123" s="8"/>
    </row>
    <row r="124" ht="15.75" customHeight="1">
      <c r="A124" s="8"/>
      <c r="B124" s="8"/>
      <c r="C124" s="8"/>
      <c r="D124" s="8"/>
    </row>
    <row r="125" ht="15.75" customHeight="1">
      <c r="A125" s="8"/>
      <c r="B125" s="8"/>
      <c r="C125" s="8"/>
      <c r="D125" s="8"/>
    </row>
    <row r="126" ht="15.75" customHeight="1">
      <c r="A126" s="8"/>
      <c r="B126" s="8"/>
      <c r="C126" s="8"/>
      <c r="D126" s="8"/>
    </row>
    <row r="127" ht="15.75" customHeight="1">
      <c r="A127" s="8"/>
      <c r="B127" s="8"/>
      <c r="C127" s="8"/>
      <c r="D127" s="8"/>
    </row>
    <row r="128" ht="15.75" customHeight="1">
      <c r="A128" s="8"/>
      <c r="B128" s="8"/>
      <c r="C128" s="8"/>
      <c r="D128" s="8"/>
    </row>
    <row r="129" ht="15.75" customHeight="1">
      <c r="A129" s="8"/>
      <c r="B129" s="8"/>
      <c r="C129" s="8"/>
      <c r="D129" s="8"/>
    </row>
    <row r="130" ht="15.75" customHeight="1">
      <c r="A130" s="8"/>
      <c r="B130" s="8"/>
      <c r="C130" s="8"/>
      <c r="D130" s="8"/>
    </row>
    <row r="131" ht="15.75" customHeight="1">
      <c r="A131" s="8"/>
      <c r="B131" s="8"/>
      <c r="C131" s="8"/>
      <c r="D131" s="8"/>
    </row>
    <row r="132" ht="15.75" customHeight="1">
      <c r="A132" s="8"/>
      <c r="B132" s="8"/>
      <c r="C132" s="8"/>
      <c r="D132" s="8"/>
    </row>
    <row r="133" ht="15.75" customHeight="1">
      <c r="A133" s="8"/>
      <c r="B133" s="8"/>
      <c r="C133" s="8"/>
      <c r="D133" s="8"/>
    </row>
    <row r="134" ht="15.75" customHeight="1">
      <c r="A134" s="8"/>
      <c r="B134" s="8"/>
      <c r="C134" s="8"/>
      <c r="D134" s="8"/>
    </row>
    <row r="135" ht="15.75" customHeight="1">
      <c r="A135" s="8"/>
      <c r="B135" s="8"/>
      <c r="C135" s="8"/>
      <c r="D135" s="8"/>
    </row>
    <row r="136" ht="15.75" customHeight="1">
      <c r="A136" s="8"/>
      <c r="B136" s="8"/>
      <c r="C136" s="8"/>
      <c r="D136" s="8"/>
    </row>
    <row r="137" ht="15.75" customHeight="1">
      <c r="A137" s="8"/>
      <c r="B137" s="8"/>
      <c r="C137" s="8"/>
      <c r="D137" s="8"/>
    </row>
    <row r="138" ht="15.75" customHeight="1">
      <c r="A138" s="8"/>
      <c r="B138" s="8"/>
      <c r="C138" s="8"/>
      <c r="D138" s="8"/>
    </row>
    <row r="139" ht="15.75" customHeight="1">
      <c r="A139" s="8"/>
      <c r="B139" s="8"/>
      <c r="C139" s="8"/>
      <c r="D139" s="8"/>
    </row>
    <row r="140" ht="15.75" customHeight="1">
      <c r="A140" s="8"/>
      <c r="B140" s="8"/>
      <c r="C140" s="8"/>
      <c r="D140" s="8"/>
    </row>
    <row r="141" ht="15.75" customHeight="1">
      <c r="A141" s="8"/>
      <c r="B141" s="8"/>
      <c r="C141" s="8"/>
      <c r="D141" s="8"/>
    </row>
    <row r="142" ht="15.75" customHeight="1">
      <c r="A142" s="8"/>
      <c r="B142" s="8"/>
      <c r="C142" s="8"/>
      <c r="D142" s="8"/>
    </row>
    <row r="143" ht="15.75" customHeight="1">
      <c r="A143" s="8"/>
      <c r="B143" s="8"/>
      <c r="C143" s="8"/>
      <c r="D143" s="8"/>
    </row>
    <row r="144" ht="15.75" customHeight="1">
      <c r="A144" s="8"/>
      <c r="B144" s="8"/>
      <c r="C144" s="8"/>
      <c r="D144" s="8"/>
    </row>
    <row r="145" ht="15.75" customHeight="1">
      <c r="A145" s="8"/>
      <c r="B145" s="8"/>
      <c r="C145" s="8"/>
      <c r="D145" s="8"/>
    </row>
    <row r="146" ht="15.75" customHeight="1">
      <c r="A146" s="8"/>
      <c r="B146" s="8"/>
      <c r="C146" s="8"/>
      <c r="D146" s="8"/>
    </row>
    <row r="147" ht="15.75" customHeight="1">
      <c r="A147" s="8"/>
      <c r="B147" s="8"/>
      <c r="C147" s="8"/>
      <c r="D147" s="8"/>
    </row>
    <row r="148" ht="15.75" customHeight="1">
      <c r="A148" s="8"/>
      <c r="B148" s="8"/>
      <c r="C148" s="8"/>
      <c r="D148" s="8"/>
    </row>
    <row r="149" ht="15.75" customHeight="1">
      <c r="A149" s="8"/>
      <c r="B149" s="8"/>
      <c r="C149" s="8"/>
      <c r="D149" s="8"/>
    </row>
    <row r="150" ht="15.75" customHeight="1">
      <c r="A150" s="8"/>
      <c r="B150" s="8"/>
      <c r="C150" s="8"/>
      <c r="D150" s="8"/>
    </row>
    <row r="151" ht="15.75" customHeight="1">
      <c r="A151" s="8"/>
      <c r="B151" s="8"/>
      <c r="C151" s="8"/>
      <c r="D151" s="8"/>
    </row>
    <row r="152" ht="15.75" customHeight="1">
      <c r="A152" s="8"/>
      <c r="B152" s="8"/>
      <c r="C152" s="8"/>
      <c r="D152" s="8"/>
    </row>
    <row r="153" ht="15.75" customHeight="1">
      <c r="A153" s="8"/>
      <c r="B153" s="8"/>
      <c r="C153" s="8"/>
      <c r="D153" s="8"/>
    </row>
    <row r="154" ht="15.75" customHeight="1">
      <c r="A154" s="8"/>
      <c r="B154" s="8"/>
      <c r="C154" s="8"/>
      <c r="D154" s="8"/>
    </row>
    <row r="155" ht="15.75" customHeight="1">
      <c r="A155" s="8"/>
      <c r="B155" s="8"/>
      <c r="C155" s="8"/>
      <c r="D155" s="8"/>
    </row>
    <row r="156" ht="15.75" customHeight="1">
      <c r="A156" s="8"/>
      <c r="B156" s="8"/>
      <c r="C156" s="8"/>
      <c r="D156" s="8"/>
    </row>
    <row r="157" ht="15.75" customHeight="1">
      <c r="A157" s="8"/>
      <c r="B157" s="8"/>
      <c r="C157" s="8"/>
      <c r="D157" s="8"/>
    </row>
    <row r="158" ht="15.75" customHeight="1">
      <c r="A158" s="8"/>
      <c r="B158" s="8"/>
      <c r="C158" s="8"/>
      <c r="D158" s="8"/>
    </row>
    <row r="159" ht="15.75" customHeight="1">
      <c r="A159" s="8"/>
      <c r="B159" s="8"/>
      <c r="C159" s="8"/>
      <c r="D159" s="8"/>
    </row>
    <row r="160" ht="15.75" customHeight="1">
      <c r="A160" s="8"/>
      <c r="B160" s="8"/>
      <c r="C160" s="8"/>
      <c r="D160" s="8"/>
    </row>
    <row r="161" ht="15.75" customHeight="1">
      <c r="A161" s="8"/>
      <c r="B161" s="8"/>
      <c r="C161" s="8"/>
      <c r="D161" s="8"/>
    </row>
    <row r="162" ht="15.75" customHeight="1">
      <c r="A162" s="8"/>
      <c r="B162" s="8"/>
      <c r="C162" s="8"/>
      <c r="D162" s="8"/>
    </row>
    <row r="163" ht="15.75" customHeight="1">
      <c r="A163" s="8"/>
      <c r="B163" s="8"/>
      <c r="C163" s="8"/>
      <c r="D163" s="8"/>
    </row>
    <row r="164" ht="15.75" customHeight="1">
      <c r="A164" s="8"/>
      <c r="B164" s="8"/>
      <c r="C164" s="8"/>
      <c r="D164" s="8"/>
    </row>
    <row r="165" ht="15.75" customHeight="1">
      <c r="A165" s="8"/>
      <c r="B165" s="8"/>
      <c r="C165" s="8"/>
      <c r="D165" s="8"/>
    </row>
    <row r="166" ht="15.75" customHeight="1">
      <c r="A166" s="8"/>
      <c r="B166" s="8"/>
      <c r="C166" s="8"/>
      <c r="D166" s="8"/>
    </row>
    <row r="167" ht="15.75" customHeight="1">
      <c r="A167" s="8"/>
      <c r="B167" s="8"/>
      <c r="C167" s="8"/>
      <c r="D167" s="8"/>
    </row>
    <row r="168" ht="15.75" customHeight="1">
      <c r="A168" s="8"/>
      <c r="B168" s="8"/>
      <c r="C168" s="8"/>
      <c r="D168" s="8"/>
    </row>
    <row r="169" ht="15.75" customHeight="1">
      <c r="A169" s="8"/>
      <c r="B169" s="8"/>
      <c r="C169" s="8"/>
      <c r="D169" s="8"/>
    </row>
    <row r="170" ht="15.75" customHeight="1">
      <c r="A170" s="8"/>
      <c r="B170" s="8"/>
      <c r="C170" s="8"/>
      <c r="D170" s="8"/>
    </row>
    <row r="171" ht="15.75" customHeight="1">
      <c r="A171" s="8"/>
      <c r="B171" s="8"/>
      <c r="C171" s="8"/>
      <c r="D171" s="8"/>
    </row>
    <row r="172" ht="15.75" customHeight="1">
      <c r="A172" s="8"/>
      <c r="B172" s="8"/>
      <c r="C172" s="8"/>
      <c r="D172" s="8"/>
    </row>
    <row r="173" ht="15.75" customHeight="1">
      <c r="A173" s="8"/>
      <c r="B173" s="8"/>
      <c r="C173" s="8"/>
      <c r="D173" s="8"/>
    </row>
    <row r="174" ht="15.75" customHeight="1">
      <c r="A174" s="8"/>
      <c r="B174" s="8"/>
      <c r="C174" s="8"/>
      <c r="D174" s="8"/>
    </row>
    <row r="175" ht="15.75" customHeight="1">
      <c r="A175" s="8"/>
      <c r="B175" s="8"/>
      <c r="C175" s="8"/>
      <c r="D175" s="8"/>
    </row>
    <row r="176" ht="15.75" customHeight="1">
      <c r="A176" s="8"/>
      <c r="B176" s="8"/>
      <c r="C176" s="8"/>
      <c r="D176" s="8"/>
    </row>
    <row r="177" ht="15.75" customHeight="1">
      <c r="A177" s="8"/>
      <c r="B177" s="8"/>
      <c r="C177" s="8"/>
      <c r="D177" s="8"/>
    </row>
    <row r="178" ht="15.75" customHeight="1">
      <c r="A178" s="8"/>
      <c r="B178" s="8"/>
      <c r="C178" s="8"/>
      <c r="D178" s="8"/>
    </row>
    <row r="179" ht="15.75" customHeight="1">
      <c r="A179" s="8"/>
      <c r="B179" s="8"/>
      <c r="C179" s="8"/>
      <c r="D179" s="8"/>
    </row>
    <row r="180" ht="15.75" customHeight="1">
      <c r="A180" s="8"/>
      <c r="B180" s="8"/>
      <c r="C180" s="8"/>
      <c r="D180" s="8"/>
    </row>
    <row r="181" ht="15.75" customHeight="1">
      <c r="A181" s="8"/>
      <c r="B181" s="8"/>
      <c r="C181" s="8"/>
      <c r="D181" s="8"/>
    </row>
    <row r="182" ht="15.75" customHeight="1">
      <c r="A182" s="8"/>
      <c r="B182" s="8"/>
      <c r="C182" s="8"/>
      <c r="D182" s="8"/>
    </row>
    <row r="183" ht="15.75" customHeight="1">
      <c r="A183" s="8"/>
      <c r="B183" s="8"/>
      <c r="C183" s="8"/>
      <c r="D183" s="8"/>
    </row>
    <row r="184" ht="15.75" customHeight="1">
      <c r="A184" s="8"/>
      <c r="B184" s="8"/>
      <c r="C184" s="8"/>
      <c r="D184" s="8"/>
    </row>
    <row r="185" ht="15.75" customHeight="1">
      <c r="A185" s="8"/>
      <c r="B185" s="8"/>
      <c r="C185" s="8"/>
      <c r="D185" s="8"/>
    </row>
    <row r="186" ht="15.75" customHeight="1">
      <c r="A186" s="8"/>
      <c r="B186" s="8"/>
      <c r="C186" s="8"/>
      <c r="D186" s="8"/>
    </row>
    <row r="187" ht="15.75" customHeight="1">
      <c r="A187" s="8"/>
      <c r="B187" s="8"/>
      <c r="C187" s="8"/>
      <c r="D187" s="8"/>
    </row>
    <row r="188" ht="15.75" customHeight="1">
      <c r="A188" s="8"/>
      <c r="B188" s="8"/>
      <c r="C188" s="8"/>
      <c r="D188" s="8"/>
    </row>
    <row r="189" ht="15.75" customHeight="1">
      <c r="A189" s="8"/>
      <c r="B189" s="8"/>
      <c r="C189" s="8"/>
      <c r="D189" s="8"/>
    </row>
    <row r="190" ht="15.75" customHeight="1">
      <c r="A190" s="8"/>
      <c r="B190" s="8"/>
      <c r="C190" s="8"/>
      <c r="D190" s="8"/>
    </row>
    <row r="191" ht="15.75" customHeight="1">
      <c r="A191" s="8"/>
      <c r="B191" s="8"/>
      <c r="C191" s="8"/>
      <c r="D191" s="8"/>
    </row>
    <row r="192" ht="15.75" customHeight="1">
      <c r="A192" s="8"/>
      <c r="B192" s="8"/>
      <c r="C192" s="8"/>
      <c r="D192" s="8"/>
    </row>
    <row r="193" ht="15.75" customHeight="1">
      <c r="A193" s="8"/>
      <c r="B193" s="8"/>
      <c r="C193" s="8"/>
      <c r="D193" s="8"/>
    </row>
    <row r="194" ht="15.75" customHeight="1">
      <c r="A194" s="8"/>
      <c r="B194" s="8"/>
      <c r="C194" s="8"/>
      <c r="D194" s="8"/>
    </row>
    <row r="195" ht="15.75" customHeight="1">
      <c r="A195" s="8"/>
      <c r="B195" s="8"/>
      <c r="C195" s="8"/>
      <c r="D195" s="8"/>
    </row>
    <row r="196" ht="15.75" customHeight="1">
      <c r="A196" s="8"/>
      <c r="B196" s="8"/>
      <c r="C196" s="8"/>
      <c r="D196" s="8"/>
    </row>
    <row r="197" ht="15.75" customHeight="1">
      <c r="A197" s="8"/>
      <c r="B197" s="8"/>
      <c r="C197" s="8"/>
      <c r="D197" s="8"/>
    </row>
    <row r="198" ht="15.75" customHeight="1">
      <c r="A198" s="8"/>
      <c r="B198" s="8"/>
      <c r="C198" s="8"/>
      <c r="D198" s="8"/>
    </row>
    <row r="199" ht="15.75" customHeight="1">
      <c r="A199" s="8"/>
      <c r="B199" s="8"/>
      <c r="C199" s="8"/>
      <c r="D199" s="8"/>
    </row>
    <row r="200" ht="15.75" customHeight="1">
      <c r="A200" s="8"/>
      <c r="B200" s="8"/>
      <c r="C200" s="8"/>
      <c r="D200" s="8"/>
    </row>
    <row r="201" ht="15.75" customHeight="1">
      <c r="A201" s="8"/>
      <c r="B201" s="8"/>
      <c r="C201" s="8"/>
      <c r="D201" s="8"/>
    </row>
    <row r="202" ht="15.75" customHeight="1">
      <c r="A202" s="8"/>
      <c r="B202" s="8"/>
      <c r="C202" s="8"/>
      <c r="D202" s="8"/>
    </row>
    <row r="203" ht="15.75" customHeight="1">
      <c r="A203" s="8"/>
      <c r="B203" s="8"/>
      <c r="C203" s="8"/>
      <c r="D203" s="8"/>
    </row>
    <row r="204" ht="15.75" customHeight="1">
      <c r="A204" s="8"/>
      <c r="B204" s="8"/>
      <c r="C204" s="8"/>
      <c r="D204" s="8"/>
    </row>
    <row r="205" ht="15.75" customHeight="1">
      <c r="A205" s="8"/>
      <c r="B205" s="8"/>
      <c r="C205" s="8"/>
      <c r="D205" s="8"/>
    </row>
    <row r="206" ht="15.75" customHeight="1">
      <c r="A206" s="8"/>
      <c r="B206" s="8"/>
      <c r="C206" s="8"/>
      <c r="D206" s="8"/>
    </row>
    <row r="207" ht="15.75" customHeight="1">
      <c r="A207" s="8"/>
      <c r="B207" s="8"/>
      <c r="C207" s="8"/>
      <c r="D207" s="8"/>
    </row>
    <row r="208" ht="15.75" customHeight="1">
      <c r="A208" s="8"/>
      <c r="B208" s="8"/>
      <c r="C208" s="8"/>
      <c r="D208" s="8"/>
    </row>
    <row r="209" ht="15.75" customHeight="1">
      <c r="A209" s="8"/>
      <c r="B209" s="8"/>
      <c r="C209" s="8"/>
      <c r="D209" s="8"/>
    </row>
    <row r="210" ht="15.75" customHeight="1">
      <c r="A210" s="8"/>
      <c r="B210" s="8"/>
      <c r="C210" s="8"/>
      <c r="D210" s="8"/>
    </row>
    <row r="211" ht="15.75" customHeight="1">
      <c r="A211" s="8"/>
      <c r="B211" s="8"/>
      <c r="C211" s="8"/>
      <c r="D211" s="8"/>
    </row>
    <row r="212" ht="15.75" customHeight="1">
      <c r="A212" s="8"/>
      <c r="B212" s="8"/>
      <c r="C212" s="8"/>
      <c r="D212" s="8"/>
    </row>
    <row r="213" ht="15.75" customHeight="1">
      <c r="A213" s="8"/>
      <c r="B213" s="8"/>
      <c r="C213" s="8"/>
      <c r="D213" s="8"/>
    </row>
    <row r="214" ht="15.75" customHeight="1">
      <c r="A214" s="8"/>
      <c r="B214" s="8"/>
      <c r="C214" s="8"/>
      <c r="D214" s="8"/>
    </row>
    <row r="215" ht="15.75" customHeight="1">
      <c r="A215" s="8"/>
      <c r="B215" s="8"/>
      <c r="C215" s="8"/>
      <c r="D215" s="8"/>
    </row>
    <row r="216" ht="15.75" customHeight="1">
      <c r="A216" s="8"/>
      <c r="B216" s="8"/>
      <c r="C216" s="8"/>
      <c r="D216" s="8"/>
    </row>
    <row r="217" ht="15.75" customHeight="1">
      <c r="A217" s="8"/>
      <c r="B217" s="8"/>
      <c r="C217" s="8"/>
      <c r="D217" s="8"/>
    </row>
    <row r="218" ht="15.75" customHeight="1">
      <c r="A218" s="8"/>
      <c r="B218" s="8"/>
      <c r="C218" s="8"/>
      <c r="D218" s="8"/>
    </row>
    <row r="219" ht="15.75" customHeight="1">
      <c r="A219" s="8"/>
      <c r="B219" s="8"/>
      <c r="C219" s="8"/>
      <c r="D219" s="8"/>
    </row>
    <row r="220" ht="15.75" customHeight="1">
      <c r="A220" s="8"/>
      <c r="B220" s="8"/>
      <c r="C220" s="8"/>
      <c r="D220" s="8"/>
    </row>
    <row r="221" ht="15.75" customHeight="1">
      <c r="A221" s="8"/>
      <c r="B221" s="8"/>
      <c r="C221" s="8"/>
      <c r="D221" s="8"/>
    </row>
    <row r="222" ht="15.75" customHeight="1">
      <c r="A222" s="8"/>
      <c r="B222" s="8"/>
      <c r="C222" s="8"/>
      <c r="D222" s="8"/>
    </row>
    <row r="223" ht="15.75" customHeight="1">
      <c r="A223" s="8"/>
      <c r="B223" s="8"/>
      <c r="C223" s="8"/>
      <c r="D223" s="8"/>
    </row>
    <row r="224" ht="15.75" customHeight="1">
      <c r="A224" s="8"/>
      <c r="B224" s="8"/>
      <c r="C224" s="8"/>
      <c r="D224" s="8"/>
    </row>
    <row r="225" ht="15.75" customHeight="1">
      <c r="A225" s="8"/>
      <c r="B225" s="8"/>
      <c r="C225" s="8"/>
      <c r="D225" s="8"/>
    </row>
    <row r="226" ht="15.75" customHeight="1">
      <c r="A226" s="8"/>
      <c r="B226" s="8"/>
      <c r="C226" s="8"/>
      <c r="D226" s="8"/>
    </row>
    <row r="227" ht="15.75" customHeight="1">
      <c r="A227" s="8"/>
      <c r="B227" s="8"/>
      <c r="C227" s="8"/>
      <c r="D227" s="8"/>
    </row>
    <row r="228" ht="15.75" customHeight="1">
      <c r="A228" s="8"/>
      <c r="B228" s="8"/>
      <c r="C228" s="8"/>
      <c r="D228" s="8"/>
    </row>
    <row r="229" ht="15.75" customHeight="1">
      <c r="A229" s="8"/>
      <c r="B229" s="8"/>
      <c r="C229" s="8"/>
      <c r="D229" s="8"/>
    </row>
    <row r="230" ht="15.75" customHeight="1">
      <c r="A230" s="8"/>
      <c r="B230" s="8"/>
      <c r="C230" s="8"/>
      <c r="D230" s="8"/>
    </row>
    <row r="231" ht="15.75" customHeight="1">
      <c r="A231" s="8"/>
      <c r="B231" s="8"/>
      <c r="C231" s="8"/>
      <c r="D231" s="8"/>
    </row>
    <row r="232" ht="15.75" customHeight="1">
      <c r="A232" s="8"/>
      <c r="B232" s="8"/>
      <c r="C232" s="8"/>
      <c r="D232" s="8"/>
    </row>
    <row r="233" ht="15.75" customHeight="1">
      <c r="A233" s="8"/>
      <c r="B233" s="8"/>
      <c r="C233" s="8"/>
      <c r="D233" s="8"/>
    </row>
    <row r="234" ht="15.75" customHeight="1">
      <c r="A234" s="8"/>
      <c r="B234" s="8"/>
      <c r="C234" s="8"/>
      <c r="D234" s="8"/>
    </row>
    <row r="235" ht="15.75" customHeight="1">
      <c r="A235" s="8"/>
      <c r="B235" s="8"/>
      <c r="C235" s="8"/>
      <c r="D235" s="8"/>
    </row>
    <row r="236" ht="15.75" customHeight="1">
      <c r="A236" s="8"/>
      <c r="B236" s="8"/>
      <c r="C236" s="8"/>
      <c r="D236" s="8"/>
    </row>
    <row r="237" ht="15.75" customHeight="1">
      <c r="A237" s="8"/>
      <c r="B237" s="8"/>
      <c r="C237" s="8"/>
      <c r="D237" s="8"/>
    </row>
    <row r="238" ht="15.75" customHeight="1">
      <c r="A238" s="8"/>
      <c r="B238" s="8"/>
      <c r="C238" s="8"/>
      <c r="D238" s="8"/>
    </row>
    <row r="239" ht="15.75" customHeight="1">
      <c r="A239" s="8"/>
      <c r="B239" s="8"/>
      <c r="C239" s="8"/>
      <c r="D239" s="8"/>
    </row>
    <row r="240" ht="15.75" customHeight="1">
      <c r="A240" s="8"/>
      <c r="B240" s="8"/>
      <c r="C240" s="8"/>
      <c r="D240" s="8"/>
    </row>
    <row r="241" ht="15.75" customHeight="1">
      <c r="A241" s="8"/>
      <c r="B241" s="8"/>
      <c r="C241" s="8"/>
      <c r="D241" s="8"/>
    </row>
    <row r="242" ht="15.75" customHeight="1">
      <c r="A242" s="8"/>
      <c r="B242" s="8"/>
      <c r="C242" s="8"/>
      <c r="D242" s="8"/>
    </row>
    <row r="243" ht="15.75" customHeight="1">
      <c r="A243" s="8"/>
      <c r="B243" s="8"/>
      <c r="C243" s="8"/>
      <c r="D243" s="8"/>
    </row>
    <row r="244" ht="15.75" customHeight="1">
      <c r="A244" s="8"/>
      <c r="B244" s="8"/>
      <c r="C244" s="8"/>
      <c r="D244" s="8"/>
    </row>
    <row r="245" ht="15.75" customHeight="1">
      <c r="A245" s="8"/>
      <c r="B245" s="8"/>
      <c r="C245" s="8"/>
      <c r="D245" s="8"/>
    </row>
    <row r="246" ht="15.75" customHeight="1">
      <c r="A246" s="8"/>
      <c r="B246" s="8"/>
      <c r="C246" s="8"/>
      <c r="D246" s="8"/>
    </row>
    <row r="247" ht="15.75" customHeight="1">
      <c r="A247" s="8"/>
      <c r="B247" s="8"/>
      <c r="C247" s="8"/>
      <c r="D247" s="8"/>
    </row>
    <row r="248" ht="15.75" customHeight="1">
      <c r="A248" s="8"/>
      <c r="B248" s="8"/>
      <c r="C248" s="8"/>
      <c r="D248" s="8"/>
    </row>
    <row r="249" ht="15.75" customHeight="1">
      <c r="A249" s="8"/>
      <c r="B249" s="8"/>
      <c r="C249" s="8"/>
      <c r="D249" s="8"/>
    </row>
    <row r="250" ht="15.75" customHeight="1">
      <c r="A250" s="8"/>
      <c r="B250" s="8"/>
      <c r="C250" s="8"/>
      <c r="D250" s="8"/>
    </row>
    <row r="251" ht="15.75" customHeight="1">
      <c r="A251" s="8"/>
      <c r="B251" s="8"/>
      <c r="C251" s="8"/>
      <c r="D251" s="8"/>
    </row>
    <row r="252" ht="15.75" customHeight="1">
      <c r="A252" s="8"/>
      <c r="B252" s="8"/>
      <c r="C252" s="8"/>
      <c r="D252" s="8"/>
    </row>
    <row r="253" ht="15.75" customHeight="1">
      <c r="A253" s="8"/>
      <c r="B253" s="8"/>
      <c r="C253" s="8"/>
      <c r="D253" s="8"/>
    </row>
    <row r="254" ht="15.75" customHeight="1">
      <c r="A254" s="8"/>
      <c r="B254" s="8"/>
      <c r="C254" s="8"/>
      <c r="D254" s="8"/>
    </row>
    <row r="255" ht="15.75" customHeight="1">
      <c r="A255" s="8"/>
      <c r="B255" s="8"/>
      <c r="C255" s="8"/>
      <c r="D255" s="8"/>
    </row>
    <row r="256" ht="15.75" customHeight="1">
      <c r="A256" s="8"/>
      <c r="B256" s="8"/>
      <c r="C256" s="8"/>
      <c r="D256" s="8"/>
    </row>
    <row r="257" ht="15.75" customHeight="1">
      <c r="A257" s="8"/>
      <c r="B257" s="8"/>
      <c r="C257" s="8"/>
      <c r="D257" s="8"/>
    </row>
    <row r="258" ht="15.75" customHeight="1">
      <c r="A258" s="8"/>
      <c r="B258" s="8"/>
      <c r="C258" s="8"/>
      <c r="D258" s="8"/>
    </row>
    <row r="259" ht="15.75" customHeight="1">
      <c r="A259" s="8"/>
      <c r="B259" s="8"/>
      <c r="C259" s="8"/>
      <c r="D259" s="8"/>
    </row>
    <row r="260" ht="15.75" customHeight="1">
      <c r="A260" s="8"/>
      <c r="B260" s="8"/>
      <c r="C260" s="8"/>
      <c r="D260" s="8"/>
    </row>
    <row r="261" ht="15.75" customHeight="1">
      <c r="A261" s="8"/>
      <c r="B261" s="8"/>
      <c r="C261" s="8"/>
      <c r="D261" s="8"/>
    </row>
    <row r="262" ht="15.75" customHeight="1">
      <c r="A262" s="8"/>
      <c r="B262" s="8"/>
      <c r="C262" s="8"/>
      <c r="D262" s="8"/>
    </row>
    <row r="263" ht="15.75" customHeight="1">
      <c r="A263" s="8"/>
      <c r="B263" s="8"/>
      <c r="C263" s="8"/>
      <c r="D263" s="8"/>
    </row>
    <row r="264" ht="15.75" customHeight="1">
      <c r="A264" s="8"/>
      <c r="B264" s="8"/>
      <c r="C264" s="8"/>
      <c r="D264" s="8"/>
    </row>
    <row r="265" ht="15.75" customHeight="1">
      <c r="A265" s="8"/>
      <c r="B265" s="8"/>
      <c r="C265" s="8"/>
      <c r="D265" s="8"/>
    </row>
    <row r="266" ht="15.75" customHeight="1">
      <c r="A266" s="8"/>
      <c r="B266" s="8"/>
      <c r="C266" s="8"/>
      <c r="D266" s="8"/>
    </row>
    <row r="267" ht="15.75" customHeight="1">
      <c r="A267" s="8"/>
      <c r="B267" s="8"/>
      <c r="C267" s="8"/>
      <c r="D267" s="8"/>
    </row>
    <row r="268" ht="15.75" customHeight="1">
      <c r="A268" s="8"/>
      <c r="B268" s="8"/>
      <c r="C268" s="8"/>
      <c r="D268" s="8"/>
    </row>
    <row r="269" ht="15.75" customHeight="1">
      <c r="A269" s="8"/>
      <c r="B269" s="8"/>
      <c r="C269" s="8"/>
      <c r="D269" s="8"/>
    </row>
    <row r="270" ht="15.75" customHeight="1">
      <c r="A270" s="8"/>
      <c r="B270" s="8"/>
      <c r="C270" s="8"/>
      <c r="D270" s="8"/>
    </row>
    <row r="271" ht="15.75" customHeight="1">
      <c r="A271" s="8"/>
      <c r="B271" s="8"/>
      <c r="C271" s="8"/>
      <c r="D271" s="8"/>
    </row>
    <row r="272" ht="15.75" customHeight="1">
      <c r="A272" s="8"/>
      <c r="B272" s="8"/>
      <c r="C272" s="8"/>
      <c r="D272" s="8"/>
    </row>
    <row r="273" ht="15.75" customHeight="1">
      <c r="A273" s="8"/>
      <c r="B273" s="8"/>
      <c r="C273" s="8"/>
      <c r="D273" s="8"/>
    </row>
    <row r="274" ht="15.75" customHeight="1">
      <c r="A274" s="8"/>
      <c r="B274" s="8"/>
      <c r="C274" s="8"/>
      <c r="D274" s="8"/>
    </row>
    <row r="275" ht="15.75" customHeight="1">
      <c r="A275" s="8"/>
      <c r="B275" s="8"/>
      <c r="C275" s="8"/>
      <c r="D275" s="8"/>
    </row>
    <row r="276" ht="15.75" customHeight="1">
      <c r="A276" s="8"/>
      <c r="B276" s="8"/>
      <c r="C276" s="8"/>
      <c r="D276" s="8"/>
    </row>
    <row r="277" ht="15.75" customHeight="1">
      <c r="A277" s="8"/>
      <c r="B277" s="8"/>
      <c r="C277" s="8"/>
      <c r="D277" s="8"/>
    </row>
    <row r="278" ht="15.75" customHeight="1">
      <c r="A278" s="8"/>
      <c r="B278" s="8"/>
      <c r="C278" s="8"/>
      <c r="D278" s="8"/>
    </row>
    <row r="279" ht="15.75" customHeight="1">
      <c r="A279" s="8"/>
      <c r="B279" s="8"/>
      <c r="C279" s="8"/>
      <c r="D279" s="8"/>
    </row>
    <row r="280" ht="15.75" customHeight="1">
      <c r="A280" s="8"/>
      <c r="B280" s="8"/>
      <c r="C280" s="8"/>
      <c r="D280" s="8"/>
    </row>
    <row r="281" ht="15.75" customHeight="1">
      <c r="A281" s="8"/>
      <c r="B281" s="8"/>
      <c r="C281" s="8"/>
      <c r="D281" s="8"/>
    </row>
    <row r="282" ht="15.75" customHeight="1">
      <c r="A282" s="8"/>
      <c r="B282" s="8"/>
      <c r="C282" s="8"/>
      <c r="D282" s="8"/>
    </row>
    <row r="283" ht="15.75" customHeight="1">
      <c r="A283" s="8"/>
      <c r="B283" s="8"/>
      <c r="C283" s="8"/>
      <c r="D283" s="8"/>
    </row>
    <row r="284" ht="15.75" customHeight="1">
      <c r="A284" s="8"/>
      <c r="B284" s="8"/>
      <c r="C284" s="8"/>
      <c r="D284" s="8"/>
    </row>
    <row r="285" ht="15.75" customHeight="1">
      <c r="A285" s="8"/>
      <c r="B285" s="8"/>
      <c r="C285" s="8"/>
      <c r="D285" s="8"/>
    </row>
    <row r="286" ht="15.75" customHeight="1">
      <c r="A286" s="8"/>
      <c r="B286" s="8"/>
      <c r="C286" s="8"/>
      <c r="D286" s="8"/>
    </row>
    <row r="287" ht="15.75" customHeight="1">
      <c r="A287" s="8"/>
      <c r="B287" s="8"/>
      <c r="C287" s="8"/>
      <c r="D287" s="8"/>
    </row>
    <row r="288" ht="15.75" customHeight="1">
      <c r="A288" s="8"/>
      <c r="B288" s="8"/>
      <c r="C288" s="8"/>
      <c r="D288" s="8"/>
    </row>
    <row r="289" ht="15.75" customHeight="1">
      <c r="A289" s="8"/>
      <c r="B289" s="8"/>
      <c r="C289" s="8"/>
      <c r="D289" s="8"/>
    </row>
    <row r="290" ht="15.75" customHeight="1">
      <c r="A290" s="8"/>
      <c r="B290" s="8"/>
      <c r="C290" s="8"/>
      <c r="D290" s="8"/>
    </row>
    <row r="291" ht="15.75" customHeight="1">
      <c r="A291" s="8"/>
      <c r="B291" s="8"/>
      <c r="C291" s="8"/>
      <c r="D291" s="8"/>
    </row>
    <row r="292" ht="15.75" customHeight="1">
      <c r="A292" s="8"/>
      <c r="B292" s="8"/>
      <c r="C292" s="8"/>
      <c r="D292" s="8"/>
    </row>
    <row r="293" ht="15.75" customHeight="1">
      <c r="A293" s="8"/>
      <c r="B293" s="8"/>
      <c r="C293" s="8"/>
      <c r="D293" s="8"/>
    </row>
    <row r="294" ht="15.75" customHeight="1">
      <c r="A294" s="8"/>
      <c r="B294" s="8"/>
      <c r="C294" s="8"/>
      <c r="D294" s="8"/>
    </row>
    <row r="295" ht="15.75" customHeight="1">
      <c r="A295" s="8"/>
      <c r="B295" s="8"/>
      <c r="C295" s="8"/>
      <c r="D295" s="8"/>
    </row>
    <row r="296" ht="15.75" customHeight="1">
      <c r="A296" s="8"/>
      <c r="B296" s="8"/>
      <c r="C296" s="8"/>
      <c r="D296" s="8"/>
    </row>
    <row r="297" ht="15.75" customHeight="1">
      <c r="A297" s="8"/>
      <c r="B297" s="8"/>
      <c r="C297" s="8"/>
      <c r="D297" s="8"/>
    </row>
    <row r="298" ht="15.75" customHeight="1">
      <c r="A298" s="8"/>
      <c r="B298" s="8"/>
      <c r="C298" s="8"/>
      <c r="D298" s="8"/>
    </row>
    <row r="299" ht="15.75" customHeight="1">
      <c r="A299" s="8"/>
      <c r="B299" s="8"/>
      <c r="C299" s="8"/>
      <c r="D299" s="8"/>
    </row>
    <row r="300" ht="15.75" customHeight="1">
      <c r="A300" s="8"/>
      <c r="B300" s="8"/>
      <c r="C300" s="8"/>
      <c r="D300" s="8"/>
    </row>
    <row r="301" ht="15.75" customHeight="1">
      <c r="A301" s="8"/>
      <c r="B301" s="8"/>
      <c r="C301" s="8"/>
      <c r="D301" s="8"/>
    </row>
    <row r="302" ht="15.75" customHeight="1">
      <c r="A302" s="8"/>
      <c r="B302" s="8"/>
      <c r="C302" s="8"/>
      <c r="D302" s="8"/>
    </row>
    <row r="303" ht="15.75" customHeight="1">
      <c r="A303" s="8"/>
      <c r="B303" s="8"/>
      <c r="C303" s="8"/>
      <c r="D303" s="8"/>
    </row>
    <row r="304" ht="15.75" customHeight="1">
      <c r="A304" s="8"/>
      <c r="B304" s="8"/>
      <c r="C304" s="8"/>
      <c r="D304" s="8"/>
    </row>
    <row r="305" ht="15.75" customHeight="1">
      <c r="A305" s="8"/>
      <c r="B305" s="8"/>
      <c r="C305" s="8"/>
      <c r="D305" s="8"/>
    </row>
    <row r="306" ht="15.75" customHeight="1">
      <c r="A306" s="8"/>
      <c r="B306" s="8"/>
      <c r="C306" s="8"/>
      <c r="D306" s="8"/>
    </row>
    <row r="307" ht="15.75" customHeight="1">
      <c r="A307" s="8"/>
      <c r="B307" s="8"/>
      <c r="C307" s="8"/>
      <c r="D307" s="8"/>
    </row>
    <row r="308" ht="15.75" customHeight="1">
      <c r="A308" s="8"/>
      <c r="B308" s="8"/>
      <c r="C308" s="8"/>
      <c r="D308" s="8"/>
    </row>
    <row r="309" ht="15.75" customHeight="1">
      <c r="A309" s="8"/>
      <c r="B309" s="8"/>
      <c r="C309" s="8"/>
      <c r="D309" s="8"/>
    </row>
    <row r="310" ht="15.75" customHeight="1">
      <c r="A310" s="8"/>
      <c r="B310" s="8"/>
      <c r="C310" s="8"/>
      <c r="D310" s="8"/>
    </row>
    <row r="311" ht="15.75" customHeight="1">
      <c r="A311" s="8"/>
      <c r="B311" s="8"/>
      <c r="C311" s="8"/>
      <c r="D311" s="8"/>
    </row>
    <row r="312" ht="15.75" customHeight="1">
      <c r="A312" s="8"/>
      <c r="B312" s="8"/>
      <c r="C312" s="8"/>
      <c r="D312" s="8"/>
    </row>
    <row r="313" ht="15.75" customHeight="1">
      <c r="A313" s="8"/>
      <c r="B313" s="8"/>
      <c r="C313" s="8"/>
      <c r="D313" s="8"/>
    </row>
    <row r="314" ht="15.75" customHeight="1">
      <c r="A314" s="8"/>
      <c r="B314" s="8"/>
      <c r="C314" s="8"/>
      <c r="D314" s="8"/>
    </row>
    <row r="315" ht="15.75" customHeight="1">
      <c r="A315" s="8"/>
      <c r="B315" s="8"/>
      <c r="C315" s="8"/>
      <c r="D315" s="8"/>
    </row>
    <row r="316" ht="15.75" customHeight="1">
      <c r="A316" s="8"/>
      <c r="B316" s="8"/>
      <c r="C316" s="8"/>
      <c r="D316" s="8"/>
    </row>
    <row r="317" ht="15.75" customHeight="1">
      <c r="A317" s="8"/>
      <c r="B317" s="8"/>
      <c r="C317" s="8"/>
      <c r="D317" s="8"/>
    </row>
    <row r="318" ht="15.75" customHeight="1">
      <c r="A318" s="8"/>
      <c r="B318" s="8"/>
      <c r="C318" s="8"/>
      <c r="D318" s="8"/>
    </row>
    <row r="319" ht="15.75" customHeight="1">
      <c r="A319" s="8"/>
      <c r="B319" s="8"/>
      <c r="C319" s="8"/>
      <c r="D319" s="8"/>
    </row>
    <row r="320" ht="15.75" customHeight="1">
      <c r="A320" s="8"/>
      <c r="B320" s="8"/>
      <c r="C320" s="8"/>
      <c r="D320" s="8"/>
    </row>
    <row r="321" ht="15.75" customHeight="1">
      <c r="A321" s="8"/>
      <c r="B321" s="8"/>
      <c r="C321" s="8"/>
      <c r="D321" s="8"/>
    </row>
    <row r="322" ht="15.75" customHeight="1">
      <c r="A322" s="8"/>
      <c r="B322" s="8"/>
      <c r="C322" s="8"/>
      <c r="D322" s="8"/>
    </row>
    <row r="323" ht="15.75" customHeight="1">
      <c r="A323" s="8"/>
      <c r="B323" s="8"/>
      <c r="C323" s="8"/>
      <c r="D323" s="8"/>
    </row>
    <row r="324" ht="15.75" customHeight="1">
      <c r="A324" s="8"/>
      <c r="B324" s="8"/>
      <c r="C324" s="8"/>
      <c r="D324" s="8"/>
    </row>
    <row r="325" ht="15.75" customHeight="1">
      <c r="A325" s="8"/>
      <c r="B325" s="8"/>
      <c r="C325" s="8"/>
      <c r="D325" s="8"/>
    </row>
    <row r="326" ht="15.75" customHeight="1">
      <c r="A326" s="8"/>
      <c r="B326" s="8"/>
      <c r="C326" s="8"/>
      <c r="D326" s="8"/>
    </row>
    <row r="327" ht="15.75" customHeight="1">
      <c r="A327" s="8"/>
      <c r="B327" s="8"/>
      <c r="C327" s="8"/>
      <c r="D327" s="8"/>
    </row>
    <row r="328" ht="15.75" customHeight="1">
      <c r="A328" s="8"/>
      <c r="B328" s="8"/>
      <c r="C328" s="8"/>
      <c r="D328" s="8"/>
    </row>
    <row r="329" ht="15.75" customHeight="1">
      <c r="A329" s="8"/>
      <c r="B329" s="8"/>
      <c r="C329" s="8"/>
      <c r="D329" s="8"/>
    </row>
    <row r="330" ht="15.75" customHeight="1">
      <c r="A330" s="8"/>
      <c r="B330" s="8"/>
      <c r="C330" s="8"/>
      <c r="D330" s="8"/>
    </row>
    <row r="331" ht="15.75" customHeight="1">
      <c r="A331" s="8"/>
      <c r="B331" s="8"/>
      <c r="C331" s="8"/>
      <c r="D331" s="8"/>
    </row>
    <row r="332" ht="15.75" customHeight="1">
      <c r="A332" s="8"/>
      <c r="B332" s="8"/>
      <c r="C332" s="8"/>
      <c r="D332" s="8"/>
    </row>
    <row r="333" ht="15.75" customHeight="1">
      <c r="A333" s="8"/>
      <c r="B333" s="8"/>
      <c r="C333" s="8"/>
      <c r="D333" s="8"/>
    </row>
    <row r="334" ht="15.75" customHeight="1">
      <c r="A334" s="8"/>
      <c r="B334" s="8"/>
      <c r="C334" s="8"/>
      <c r="D334" s="8"/>
    </row>
    <row r="335" ht="15.75" customHeight="1">
      <c r="A335" s="8"/>
      <c r="B335" s="8"/>
      <c r="C335" s="8"/>
      <c r="D335" s="8"/>
    </row>
    <row r="336" ht="15.75" customHeight="1">
      <c r="A336" s="8"/>
      <c r="B336" s="8"/>
      <c r="C336" s="8"/>
      <c r="D336" s="8"/>
    </row>
    <row r="337" ht="15.75" customHeight="1">
      <c r="A337" s="8"/>
      <c r="B337" s="8"/>
      <c r="C337" s="8"/>
      <c r="D337" s="8"/>
    </row>
    <row r="338" ht="15.75" customHeight="1">
      <c r="A338" s="8"/>
      <c r="B338" s="8"/>
      <c r="C338" s="8"/>
      <c r="D338" s="8"/>
    </row>
    <row r="339" ht="15.75" customHeight="1">
      <c r="A339" s="8"/>
      <c r="B339" s="8"/>
      <c r="C339" s="8"/>
      <c r="D339" s="8"/>
    </row>
    <row r="340" ht="15.75" customHeight="1">
      <c r="A340" s="8"/>
      <c r="B340" s="8"/>
      <c r="C340" s="8"/>
      <c r="D340" s="8"/>
    </row>
    <row r="341" ht="15.75" customHeight="1">
      <c r="A341" s="8"/>
      <c r="B341" s="8"/>
      <c r="C341" s="8"/>
      <c r="D341" s="8"/>
    </row>
    <row r="342" ht="15.75" customHeight="1">
      <c r="A342" s="8"/>
      <c r="B342" s="8"/>
      <c r="C342" s="8"/>
      <c r="D342" s="8"/>
    </row>
    <row r="343" ht="15.75" customHeight="1">
      <c r="A343" s="8"/>
      <c r="B343" s="8"/>
      <c r="C343" s="8"/>
      <c r="D343" s="8"/>
    </row>
    <row r="344" ht="15.75" customHeight="1">
      <c r="A344" s="8"/>
      <c r="B344" s="8"/>
      <c r="C344" s="8"/>
      <c r="D344" s="8"/>
    </row>
    <row r="345" ht="15.75" customHeight="1">
      <c r="A345" s="8"/>
      <c r="B345" s="8"/>
      <c r="C345" s="8"/>
      <c r="D345" s="8"/>
    </row>
    <row r="346" ht="15.75" customHeight="1">
      <c r="A346" s="8"/>
      <c r="B346" s="8"/>
      <c r="C346" s="8"/>
      <c r="D346" s="8"/>
    </row>
    <row r="347" ht="15.75" customHeight="1">
      <c r="A347" s="8"/>
      <c r="B347" s="8"/>
      <c r="C347" s="8"/>
      <c r="D347" s="8"/>
    </row>
    <row r="348" ht="15.75" customHeight="1">
      <c r="A348" s="8"/>
      <c r="B348" s="8"/>
      <c r="C348" s="8"/>
      <c r="D348" s="8"/>
    </row>
    <row r="349" ht="15.75" customHeight="1">
      <c r="A349" s="8"/>
      <c r="B349" s="8"/>
      <c r="C349" s="8"/>
      <c r="D349" s="8"/>
    </row>
    <row r="350" ht="15.75" customHeight="1">
      <c r="A350" s="8"/>
      <c r="B350" s="8"/>
      <c r="C350" s="8"/>
      <c r="D350" s="8"/>
    </row>
    <row r="351" ht="15.75" customHeight="1">
      <c r="A351" s="8"/>
      <c r="B351" s="8"/>
      <c r="C351" s="8"/>
      <c r="D351" s="8"/>
    </row>
    <row r="352" ht="15.75" customHeight="1">
      <c r="A352" s="8"/>
      <c r="B352" s="8"/>
      <c r="C352" s="8"/>
      <c r="D352" s="8"/>
    </row>
    <row r="353" ht="15.75" customHeight="1">
      <c r="A353" s="8"/>
      <c r="B353" s="8"/>
      <c r="C353" s="8"/>
      <c r="D353" s="8"/>
    </row>
    <row r="354" ht="15.75" customHeight="1">
      <c r="A354" s="8"/>
      <c r="B354" s="8"/>
      <c r="C354" s="8"/>
      <c r="D354" s="8"/>
    </row>
    <row r="355" ht="15.75" customHeight="1">
      <c r="A355" s="8"/>
      <c r="B355" s="8"/>
      <c r="C355" s="8"/>
      <c r="D355" s="8"/>
    </row>
    <row r="356" ht="15.75" customHeight="1">
      <c r="A356" s="8"/>
      <c r="B356" s="8"/>
      <c r="C356" s="8"/>
      <c r="D356" s="8"/>
    </row>
    <row r="357" ht="15.75" customHeight="1">
      <c r="A357" s="8"/>
      <c r="B357" s="8"/>
      <c r="C357" s="8"/>
      <c r="D357" s="8"/>
    </row>
    <row r="358" ht="15.75" customHeight="1">
      <c r="A358" s="8"/>
      <c r="B358" s="8"/>
      <c r="C358" s="8"/>
      <c r="D358" s="8"/>
    </row>
    <row r="359" ht="15.75" customHeight="1">
      <c r="A359" s="8"/>
      <c r="B359" s="8"/>
      <c r="C359" s="8"/>
      <c r="D359" s="8"/>
    </row>
    <row r="360" ht="15.75" customHeight="1">
      <c r="A360" s="8"/>
      <c r="B360" s="8"/>
      <c r="C360" s="8"/>
      <c r="D360" s="8"/>
    </row>
    <row r="361" ht="15.75" customHeight="1">
      <c r="A361" s="8"/>
      <c r="B361" s="8"/>
      <c r="C361" s="8"/>
      <c r="D361" s="8"/>
    </row>
    <row r="362" ht="15.75" customHeight="1">
      <c r="A362" s="8"/>
      <c r="B362" s="8"/>
      <c r="C362" s="8"/>
      <c r="D362" s="8"/>
    </row>
    <row r="363" ht="15.75" customHeight="1">
      <c r="A363" s="8"/>
      <c r="B363" s="8"/>
      <c r="C363" s="8"/>
      <c r="D363" s="8"/>
    </row>
    <row r="364" ht="15.75" customHeight="1">
      <c r="A364" s="8"/>
      <c r="B364" s="8"/>
      <c r="C364" s="8"/>
      <c r="D364" s="8"/>
    </row>
    <row r="365" ht="15.75" customHeight="1">
      <c r="A365" s="8"/>
      <c r="B365" s="8"/>
      <c r="C365" s="8"/>
      <c r="D365" s="8"/>
    </row>
    <row r="366" ht="15.75" customHeight="1">
      <c r="A366" s="8"/>
      <c r="B366" s="8"/>
      <c r="C366" s="8"/>
      <c r="D366" s="8"/>
    </row>
    <row r="367" ht="15.75" customHeight="1">
      <c r="A367" s="8"/>
      <c r="B367" s="8"/>
      <c r="C367" s="8"/>
      <c r="D367" s="8"/>
    </row>
    <row r="368" ht="15.75" customHeight="1">
      <c r="A368" s="8"/>
      <c r="B368" s="8"/>
      <c r="C368" s="8"/>
      <c r="D368" s="8"/>
    </row>
    <row r="369" ht="15.75" customHeight="1">
      <c r="A369" s="8"/>
      <c r="B369" s="8"/>
      <c r="C369" s="8"/>
      <c r="D369" s="8"/>
    </row>
    <row r="370" ht="15.75" customHeight="1">
      <c r="A370" s="8"/>
      <c r="B370" s="8"/>
      <c r="C370" s="8"/>
      <c r="D370" s="8"/>
    </row>
    <row r="371" ht="15.75" customHeight="1">
      <c r="A371" s="8"/>
      <c r="B371" s="8"/>
      <c r="C371" s="8"/>
      <c r="D371" s="8"/>
    </row>
    <row r="372" ht="15.75" customHeight="1">
      <c r="A372" s="8"/>
      <c r="B372" s="8"/>
      <c r="C372" s="8"/>
      <c r="D372" s="8"/>
    </row>
    <row r="373" ht="15.75" customHeight="1">
      <c r="A373" s="8"/>
      <c r="B373" s="8"/>
      <c r="C373" s="8"/>
      <c r="D373" s="8"/>
    </row>
    <row r="374" ht="15.75" customHeight="1">
      <c r="A374" s="8"/>
      <c r="B374" s="8"/>
      <c r="C374" s="8"/>
      <c r="D374" s="8"/>
    </row>
    <row r="375" ht="15.75" customHeight="1">
      <c r="A375" s="8"/>
      <c r="B375" s="8"/>
      <c r="C375" s="8"/>
      <c r="D375" s="8"/>
    </row>
    <row r="376" ht="15.75" customHeight="1">
      <c r="A376" s="8"/>
      <c r="B376" s="8"/>
      <c r="C376" s="8"/>
      <c r="D376" s="8"/>
    </row>
    <row r="377" ht="15.75" customHeight="1">
      <c r="A377" s="8"/>
      <c r="B377" s="8"/>
      <c r="C377" s="8"/>
      <c r="D377" s="8"/>
    </row>
    <row r="378" ht="15.75" customHeight="1">
      <c r="A378" s="8"/>
      <c r="B378" s="8"/>
      <c r="C378" s="8"/>
      <c r="D378" s="8"/>
    </row>
    <row r="379" ht="15.75" customHeight="1">
      <c r="A379" s="8"/>
      <c r="B379" s="8"/>
      <c r="C379" s="8"/>
      <c r="D379" s="8"/>
    </row>
    <row r="380" ht="15.75" customHeight="1">
      <c r="A380" s="8"/>
      <c r="B380" s="8"/>
      <c r="C380" s="8"/>
      <c r="D380" s="8"/>
    </row>
    <row r="381" ht="15.75" customHeight="1">
      <c r="A381" s="8"/>
      <c r="B381" s="8"/>
      <c r="C381" s="8"/>
      <c r="D381" s="8"/>
    </row>
    <row r="382" ht="15.75" customHeight="1">
      <c r="A382" s="8"/>
      <c r="B382" s="8"/>
      <c r="C382" s="8"/>
      <c r="D382" s="8"/>
    </row>
    <row r="383" ht="15.75" customHeight="1">
      <c r="A383" s="8"/>
      <c r="B383" s="8"/>
      <c r="C383" s="8"/>
      <c r="D383" s="8"/>
    </row>
    <row r="384" ht="15.75" customHeight="1">
      <c r="A384" s="8"/>
      <c r="B384" s="8"/>
      <c r="C384" s="8"/>
      <c r="D384" s="8"/>
    </row>
    <row r="385" ht="15.75" customHeight="1">
      <c r="A385" s="8"/>
      <c r="B385" s="8"/>
      <c r="C385" s="8"/>
      <c r="D385" s="8"/>
    </row>
    <row r="386" ht="15.75" customHeight="1">
      <c r="A386" s="8"/>
      <c r="B386" s="8"/>
      <c r="C386" s="8"/>
      <c r="D386" s="8"/>
    </row>
    <row r="387" ht="15.75" customHeight="1">
      <c r="A387" s="8"/>
      <c r="B387" s="8"/>
      <c r="C387" s="8"/>
      <c r="D387" s="8"/>
    </row>
    <row r="388" ht="15.75" customHeight="1">
      <c r="A388" s="8"/>
      <c r="B388" s="8"/>
      <c r="C388" s="8"/>
      <c r="D388" s="8"/>
    </row>
    <row r="389" ht="15.75" customHeight="1">
      <c r="A389" s="8"/>
      <c r="B389" s="8"/>
      <c r="C389" s="8"/>
      <c r="D389" s="8"/>
    </row>
    <row r="390" ht="15.75" customHeight="1">
      <c r="A390" s="8"/>
      <c r="B390" s="8"/>
      <c r="C390" s="8"/>
      <c r="D390" s="8"/>
    </row>
    <row r="391" ht="15.75" customHeight="1">
      <c r="A391" s="8"/>
      <c r="B391" s="8"/>
      <c r="C391" s="8"/>
      <c r="D391" s="8"/>
    </row>
    <row r="392" ht="15.75" customHeight="1">
      <c r="A392" s="8"/>
      <c r="B392" s="8"/>
      <c r="C392" s="8"/>
      <c r="D392" s="8"/>
    </row>
    <row r="393" ht="15.75" customHeight="1">
      <c r="A393" s="8"/>
      <c r="B393" s="8"/>
      <c r="C393" s="8"/>
      <c r="D393" s="8"/>
    </row>
    <row r="394" ht="15.75" customHeight="1">
      <c r="A394" s="8"/>
      <c r="B394" s="8"/>
      <c r="C394" s="8"/>
      <c r="D394" s="8"/>
    </row>
    <row r="395" ht="15.75" customHeight="1">
      <c r="A395" s="8"/>
      <c r="B395" s="8"/>
      <c r="C395" s="8"/>
      <c r="D395" s="8"/>
    </row>
    <row r="396" ht="15.75" customHeight="1">
      <c r="A396" s="8"/>
      <c r="B396" s="8"/>
      <c r="C396" s="8"/>
      <c r="D396" s="8"/>
    </row>
    <row r="397" ht="15.75" customHeight="1">
      <c r="A397" s="8"/>
      <c r="B397" s="8"/>
      <c r="C397" s="8"/>
      <c r="D397" s="8"/>
    </row>
    <row r="398" ht="15.75" customHeight="1">
      <c r="A398" s="8"/>
      <c r="B398" s="8"/>
      <c r="C398" s="8"/>
      <c r="D398" s="8"/>
    </row>
    <row r="399" ht="15.75" customHeight="1">
      <c r="A399" s="8"/>
      <c r="B399" s="8"/>
      <c r="C399" s="8"/>
      <c r="D399" s="8"/>
    </row>
    <row r="400" ht="15.75" customHeight="1">
      <c r="A400" s="8"/>
      <c r="B400" s="8"/>
      <c r="C400" s="8"/>
      <c r="D400" s="8"/>
    </row>
    <row r="401" ht="15.75" customHeight="1">
      <c r="A401" s="8"/>
      <c r="B401" s="8"/>
      <c r="C401" s="8"/>
      <c r="D401" s="8"/>
    </row>
    <row r="402" ht="15.75" customHeight="1">
      <c r="A402" s="8"/>
      <c r="B402" s="8"/>
      <c r="C402" s="8"/>
      <c r="D402" s="8"/>
    </row>
    <row r="403" ht="15.75" customHeight="1">
      <c r="A403" s="8"/>
      <c r="B403" s="8"/>
      <c r="C403" s="8"/>
      <c r="D403" s="8"/>
    </row>
    <row r="404" ht="15.75" customHeight="1">
      <c r="A404" s="8"/>
      <c r="B404" s="8"/>
      <c r="C404" s="8"/>
      <c r="D404" s="8"/>
    </row>
    <row r="405" ht="15.75" customHeight="1">
      <c r="A405" s="8"/>
      <c r="B405" s="8"/>
      <c r="C405" s="8"/>
      <c r="D405" s="8"/>
    </row>
    <row r="406" ht="15.75" customHeight="1">
      <c r="A406" s="8"/>
      <c r="B406" s="8"/>
      <c r="C406" s="8"/>
      <c r="D406" s="8"/>
    </row>
    <row r="407" ht="15.75" customHeight="1">
      <c r="A407" s="8"/>
      <c r="B407" s="8"/>
      <c r="C407" s="8"/>
      <c r="D407" s="8"/>
    </row>
    <row r="408" ht="15.75" customHeight="1">
      <c r="A408" s="8"/>
      <c r="B408" s="8"/>
      <c r="C408" s="8"/>
      <c r="D408" s="8"/>
    </row>
    <row r="409" ht="15.75" customHeight="1">
      <c r="A409" s="8"/>
      <c r="B409" s="8"/>
      <c r="C409" s="8"/>
      <c r="D409" s="8"/>
    </row>
    <row r="410" ht="15.75" customHeight="1">
      <c r="A410" s="8"/>
      <c r="B410" s="8"/>
      <c r="C410" s="8"/>
      <c r="D410" s="8"/>
    </row>
    <row r="411" ht="15.75" customHeight="1">
      <c r="A411" s="8"/>
      <c r="B411" s="8"/>
      <c r="C411" s="8"/>
      <c r="D411" s="8"/>
    </row>
    <row r="412" ht="15.75" customHeight="1">
      <c r="A412" s="8"/>
      <c r="B412" s="8"/>
      <c r="C412" s="8"/>
      <c r="D412" s="8"/>
    </row>
    <row r="413" ht="15.75" customHeight="1">
      <c r="A413" s="8"/>
      <c r="B413" s="8"/>
      <c r="C413" s="8"/>
      <c r="D413" s="8"/>
    </row>
    <row r="414" ht="15.75" customHeight="1">
      <c r="A414" s="8"/>
      <c r="B414" s="8"/>
      <c r="C414" s="8"/>
      <c r="D414" s="8"/>
    </row>
    <row r="415" ht="15.75" customHeight="1">
      <c r="A415" s="8"/>
      <c r="B415" s="8"/>
      <c r="C415" s="8"/>
      <c r="D415" s="8"/>
    </row>
    <row r="416" ht="15.75" customHeight="1">
      <c r="A416" s="8"/>
      <c r="B416" s="8"/>
      <c r="C416" s="8"/>
      <c r="D416" s="8"/>
    </row>
    <row r="417" ht="15.75" customHeight="1">
      <c r="A417" s="8"/>
      <c r="B417" s="8"/>
      <c r="C417" s="8"/>
      <c r="D417" s="8"/>
    </row>
    <row r="418" ht="15.75" customHeight="1">
      <c r="A418" s="8"/>
      <c r="B418" s="8"/>
      <c r="C418" s="8"/>
      <c r="D418" s="8"/>
    </row>
    <row r="419" ht="15.75" customHeight="1">
      <c r="A419" s="8"/>
      <c r="B419" s="8"/>
      <c r="C419" s="8"/>
      <c r="D419" s="8"/>
    </row>
    <row r="420" ht="15.75" customHeight="1">
      <c r="A420" s="8"/>
      <c r="B420" s="8"/>
      <c r="C420" s="8"/>
      <c r="D420" s="8"/>
    </row>
    <row r="421" ht="15.75" customHeight="1">
      <c r="A421" s="8"/>
      <c r="B421" s="8"/>
      <c r="C421" s="8"/>
      <c r="D421" s="8"/>
    </row>
    <row r="422" ht="15.75" customHeight="1">
      <c r="A422" s="8"/>
      <c r="B422" s="8"/>
      <c r="C422" s="8"/>
      <c r="D422" s="8"/>
    </row>
    <row r="423" ht="15.75" customHeight="1">
      <c r="A423" s="8"/>
      <c r="B423" s="8"/>
      <c r="C423" s="8"/>
      <c r="D423" s="8"/>
    </row>
    <row r="424" ht="15.75" customHeight="1">
      <c r="A424" s="8"/>
      <c r="B424" s="8"/>
      <c r="C424" s="8"/>
      <c r="D424" s="8"/>
    </row>
    <row r="425" ht="15.75" customHeight="1">
      <c r="A425" s="8"/>
      <c r="B425" s="8"/>
      <c r="C425" s="8"/>
      <c r="D425" s="8"/>
    </row>
    <row r="426" ht="15.75" customHeight="1">
      <c r="A426" s="8"/>
      <c r="B426" s="8"/>
      <c r="C426" s="8"/>
      <c r="D426" s="8"/>
    </row>
    <row r="427" ht="15.75" customHeight="1">
      <c r="A427" s="8"/>
      <c r="B427" s="8"/>
      <c r="C427" s="8"/>
      <c r="D427" s="8"/>
    </row>
    <row r="428" ht="15.75" customHeight="1">
      <c r="A428" s="8"/>
      <c r="B428" s="8"/>
      <c r="C428" s="8"/>
      <c r="D428" s="8"/>
    </row>
    <row r="429" ht="15.75" customHeight="1">
      <c r="A429" s="8"/>
      <c r="B429" s="8"/>
      <c r="C429" s="8"/>
      <c r="D429" s="8"/>
    </row>
    <row r="430" ht="15.75" customHeight="1">
      <c r="A430" s="8"/>
      <c r="B430" s="8"/>
      <c r="C430" s="8"/>
      <c r="D430" s="8"/>
    </row>
    <row r="431" ht="15.75" customHeight="1">
      <c r="A431" s="8"/>
      <c r="B431" s="8"/>
      <c r="C431" s="8"/>
      <c r="D431" s="8"/>
    </row>
    <row r="432" ht="15.75" customHeight="1">
      <c r="A432" s="8"/>
      <c r="B432" s="8"/>
      <c r="C432" s="8"/>
      <c r="D432" s="8"/>
    </row>
    <row r="433" ht="15.75" customHeight="1">
      <c r="A433" s="8"/>
      <c r="B433" s="8"/>
      <c r="C433" s="8"/>
      <c r="D433" s="8"/>
    </row>
    <row r="434" ht="15.75" customHeight="1">
      <c r="A434" s="8"/>
      <c r="B434" s="8"/>
      <c r="C434" s="8"/>
      <c r="D434" s="8"/>
    </row>
    <row r="435" ht="15.75" customHeight="1">
      <c r="A435" s="8"/>
      <c r="B435" s="8"/>
      <c r="C435" s="8"/>
      <c r="D435" s="8"/>
    </row>
    <row r="436" ht="15.75" customHeight="1">
      <c r="A436" s="8"/>
      <c r="B436" s="8"/>
      <c r="C436" s="8"/>
      <c r="D436" s="8"/>
    </row>
    <row r="437" ht="15.75" customHeight="1">
      <c r="A437" s="8"/>
      <c r="B437" s="8"/>
      <c r="C437" s="8"/>
      <c r="D437" s="8"/>
    </row>
    <row r="438" ht="15.75" customHeight="1">
      <c r="A438" s="8"/>
      <c r="B438" s="8"/>
      <c r="C438" s="8"/>
      <c r="D438" s="8"/>
    </row>
    <row r="439" ht="15.75" customHeight="1">
      <c r="A439" s="8"/>
      <c r="B439" s="8"/>
      <c r="C439" s="8"/>
      <c r="D439" s="8"/>
    </row>
    <row r="440" ht="15.75" customHeight="1">
      <c r="A440" s="8"/>
      <c r="B440" s="8"/>
      <c r="C440" s="8"/>
      <c r="D440" s="8"/>
    </row>
    <row r="441" ht="15.75" customHeight="1">
      <c r="A441" s="8"/>
      <c r="B441" s="8"/>
      <c r="C441" s="8"/>
      <c r="D441" s="8"/>
    </row>
    <row r="442" ht="15.75" customHeight="1">
      <c r="A442" s="8"/>
      <c r="B442" s="8"/>
      <c r="C442" s="8"/>
      <c r="D442" s="8"/>
    </row>
    <row r="443" ht="15.75" customHeight="1">
      <c r="A443" s="8"/>
      <c r="B443" s="8"/>
      <c r="C443" s="8"/>
      <c r="D443" s="8"/>
    </row>
    <row r="444" ht="15.75" customHeight="1">
      <c r="A444" s="8"/>
      <c r="B444" s="8"/>
      <c r="C444" s="8"/>
      <c r="D444" s="8"/>
    </row>
    <row r="445" ht="15.75" customHeight="1">
      <c r="A445" s="8"/>
      <c r="B445" s="8"/>
      <c r="C445" s="8"/>
      <c r="D445" s="8"/>
    </row>
    <row r="446" ht="15.75" customHeight="1">
      <c r="A446" s="8"/>
      <c r="B446" s="8"/>
      <c r="C446" s="8"/>
      <c r="D446" s="8"/>
    </row>
    <row r="447" ht="15.75" customHeight="1">
      <c r="A447" s="8"/>
      <c r="B447" s="8"/>
      <c r="C447" s="8"/>
      <c r="D447" s="8"/>
    </row>
    <row r="448" ht="15.75" customHeight="1">
      <c r="A448" s="8"/>
      <c r="B448" s="8"/>
      <c r="C448" s="8"/>
      <c r="D448" s="8"/>
    </row>
    <row r="449" ht="15.75" customHeight="1">
      <c r="A449" s="8"/>
      <c r="B449" s="8"/>
      <c r="C449" s="8"/>
      <c r="D449" s="8"/>
    </row>
    <row r="450" ht="15.75" customHeight="1">
      <c r="A450" s="8"/>
      <c r="B450" s="8"/>
      <c r="C450" s="8"/>
      <c r="D450" s="8"/>
    </row>
    <row r="451" ht="15.75" customHeight="1">
      <c r="A451" s="8"/>
      <c r="B451" s="8"/>
      <c r="C451" s="8"/>
      <c r="D451" s="8"/>
    </row>
    <row r="452" ht="15.75" customHeight="1">
      <c r="A452" s="8"/>
      <c r="B452" s="8"/>
      <c r="C452" s="8"/>
      <c r="D452" s="8"/>
    </row>
    <row r="453" ht="15.75" customHeight="1">
      <c r="A453" s="8"/>
      <c r="B453" s="8"/>
      <c r="C453" s="8"/>
      <c r="D453" s="8"/>
    </row>
    <row r="454" ht="15.75" customHeight="1">
      <c r="A454" s="8"/>
      <c r="B454" s="8"/>
      <c r="C454" s="8"/>
      <c r="D454" s="8"/>
    </row>
    <row r="455" ht="15.75" customHeight="1">
      <c r="A455" s="8"/>
      <c r="B455" s="8"/>
      <c r="C455" s="8"/>
      <c r="D455" s="8"/>
    </row>
    <row r="456" ht="15.75" customHeight="1">
      <c r="A456" s="8"/>
      <c r="B456" s="8"/>
      <c r="C456" s="8"/>
      <c r="D456" s="8"/>
    </row>
    <row r="457" ht="15.75" customHeight="1">
      <c r="A457" s="8"/>
      <c r="B457" s="8"/>
      <c r="C457" s="8"/>
      <c r="D457" s="8"/>
    </row>
    <row r="458" ht="15.75" customHeight="1">
      <c r="A458" s="8"/>
      <c r="B458" s="8"/>
      <c r="C458" s="8"/>
      <c r="D458" s="8"/>
    </row>
    <row r="459" ht="15.75" customHeight="1">
      <c r="A459" s="8"/>
      <c r="B459" s="8"/>
      <c r="C459" s="8"/>
      <c r="D459" s="8"/>
    </row>
    <row r="460" ht="15.75" customHeight="1">
      <c r="A460" s="8"/>
      <c r="B460" s="8"/>
      <c r="C460" s="8"/>
      <c r="D460" s="8"/>
    </row>
    <row r="461" ht="15.75" customHeight="1">
      <c r="A461" s="8"/>
      <c r="B461" s="8"/>
      <c r="C461" s="8"/>
      <c r="D461" s="8"/>
    </row>
    <row r="462" ht="15.75" customHeight="1">
      <c r="A462" s="8"/>
      <c r="B462" s="8"/>
      <c r="C462" s="8"/>
      <c r="D462" s="8"/>
    </row>
    <row r="463" ht="15.75" customHeight="1">
      <c r="A463" s="8"/>
      <c r="B463" s="8"/>
      <c r="C463" s="8"/>
      <c r="D463" s="8"/>
    </row>
    <row r="464" ht="15.75" customHeight="1">
      <c r="A464" s="8"/>
      <c r="B464" s="8"/>
      <c r="C464" s="8"/>
      <c r="D464" s="8"/>
    </row>
    <row r="465" ht="15.75" customHeight="1">
      <c r="A465" s="8"/>
      <c r="B465" s="8"/>
      <c r="C465" s="8"/>
      <c r="D465" s="8"/>
    </row>
    <row r="466" ht="15.75" customHeight="1">
      <c r="A466" s="8"/>
      <c r="B466" s="8"/>
      <c r="C466" s="8"/>
      <c r="D466" s="8"/>
    </row>
    <row r="467" ht="15.75" customHeight="1">
      <c r="A467" s="8"/>
      <c r="B467" s="8"/>
      <c r="C467" s="8"/>
      <c r="D467" s="8"/>
    </row>
    <row r="468" ht="15.75" customHeight="1">
      <c r="A468" s="8"/>
      <c r="B468" s="8"/>
      <c r="C468" s="8"/>
      <c r="D468" s="8"/>
    </row>
    <row r="469" ht="15.75" customHeight="1">
      <c r="A469" s="8"/>
      <c r="B469" s="8"/>
      <c r="C469" s="8"/>
      <c r="D469" s="8"/>
    </row>
    <row r="470" ht="15.75" customHeight="1">
      <c r="A470" s="8"/>
      <c r="B470" s="8"/>
      <c r="C470" s="8"/>
      <c r="D470" s="8"/>
    </row>
    <row r="471" ht="15.75" customHeight="1">
      <c r="A471" s="8"/>
      <c r="B471" s="8"/>
      <c r="C471" s="8"/>
      <c r="D471" s="8"/>
    </row>
    <row r="472" ht="15.75" customHeight="1">
      <c r="A472" s="8"/>
      <c r="B472" s="8"/>
      <c r="C472" s="8"/>
      <c r="D472" s="8"/>
    </row>
    <row r="473" ht="15.75" customHeight="1">
      <c r="A473" s="8"/>
      <c r="B473" s="8"/>
      <c r="C473" s="8"/>
      <c r="D473" s="8"/>
    </row>
    <row r="474" ht="15.75" customHeight="1">
      <c r="A474" s="8"/>
      <c r="B474" s="8"/>
      <c r="C474" s="8"/>
      <c r="D474" s="8"/>
    </row>
    <row r="475" ht="15.75" customHeight="1">
      <c r="A475" s="8"/>
      <c r="B475" s="8"/>
      <c r="C475" s="8"/>
      <c r="D475" s="8"/>
    </row>
    <row r="476" ht="15.75" customHeight="1">
      <c r="A476" s="8"/>
      <c r="B476" s="8"/>
      <c r="C476" s="8"/>
      <c r="D476" s="8"/>
    </row>
    <row r="477" ht="15.75" customHeight="1">
      <c r="A477" s="8"/>
      <c r="B477" s="8"/>
      <c r="C477" s="8"/>
      <c r="D477" s="8"/>
    </row>
    <row r="478" ht="15.75" customHeight="1">
      <c r="A478" s="8"/>
      <c r="B478" s="8"/>
      <c r="C478" s="8"/>
      <c r="D478" s="8"/>
    </row>
    <row r="479" ht="15.75" customHeight="1">
      <c r="A479" s="8"/>
      <c r="B479" s="8"/>
      <c r="C479" s="8"/>
      <c r="D479" s="8"/>
    </row>
    <row r="480" ht="15.75" customHeight="1">
      <c r="A480" s="8"/>
      <c r="B480" s="8"/>
      <c r="C480" s="8"/>
      <c r="D480" s="8"/>
    </row>
    <row r="481" ht="15.75" customHeight="1">
      <c r="A481" s="8"/>
      <c r="B481" s="8"/>
      <c r="C481" s="8"/>
      <c r="D481" s="8"/>
    </row>
    <row r="482" ht="15.75" customHeight="1">
      <c r="A482" s="8"/>
      <c r="B482" s="8"/>
      <c r="C482" s="8"/>
      <c r="D482" s="8"/>
    </row>
    <row r="483" ht="15.75" customHeight="1">
      <c r="A483" s="8"/>
      <c r="B483" s="8"/>
      <c r="C483" s="8"/>
      <c r="D483" s="8"/>
    </row>
    <row r="484" ht="15.75" customHeight="1">
      <c r="A484" s="8"/>
      <c r="B484" s="8"/>
      <c r="C484" s="8"/>
      <c r="D484" s="8"/>
    </row>
    <row r="485" ht="15.75" customHeight="1">
      <c r="A485" s="8"/>
      <c r="B485" s="8"/>
      <c r="C485" s="8"/>
      <c r="D485" s="8"/>
    </row>
    <row r="486" ht="15.75" customHeight="1">
      <c r="A486" s="8"/>
      <c r="B486" s="8"/>
      <c r="C486" s="8"/>
      <c r="D486" s="8"/>
    </row>
    <row r="487" ht="15.75" customHeight="1">
      <c r="A487" s="8"/>
      <c r="B487" s="8"/>
      <c r="C487" s="8"/>
      <c r="D487" s="8"/>
    </row>
    <row r="488" ht="15.75" customHeight="1">
      <c r="A488" s="8"/>
      <c r="B488" s="8"/>
      <c r="C488" s="8"/>
      <c r="D488" s="8"/>
    </row>
    <row r="489" ht="15.75" customHeight="1">
      <c r="A489" s="8"/>
      <c r="B489" s="8"/>
      <c r="C489" s="8"/>
      <c r="D489" s="8"/>
    </row>
    <row r="490" ht="15.75" customHeight="1">
      <c r="A490" s="8"/>
      <c r="B490" s="8"/>
      <c r="C490" s="8"/>
      <c r="D490" s="8"/>
    </row>
    <row r="491" ht="15.75" customHeight="1">
      <c r="A491" s="8"/>
      <c r="B491" s="8"/>
      <c r="C491" s="8"/>
      <c r="D491" s="8"/>
    </row>
    <row r="492" ht="15.75" customHeight="1">
      <c r="A492" s="8"/>
      <c r="B492" s="8"/>
      <c r="C492" s="8"/>
      <c r="D492" s="8"/>
    </row>
    <row r="493" ht="15.75" customHeight="1">
      <c r="A493" s="8"/>
      <c r="B493" s="8"/>
      <c r="C493" s="8"/>
      <c r="D493" s="8"/>
    </row>
    <row r="494" ht="15.75" customHeight="1">
      <c r="A494" s="8"/>
      <c r="B494" s="8"/>
      <c r="C494" s="8"/>
      <c r="D494" s="8"/>
    </row>
    <row r="495" ht="15.75" customHeight="1">
      <c r="A495" s="8"/>
      <c r="B495" s="8"/>
      <c r="C495" s="8"/>
      <c r="D495" s="8"/>
    </row>
    <row r="496" ht="15.75" customHeight="1">
      <c r="A496" s="8"/>
      <c r="B496" s="8"/>
      <c r="C496" s="8"/>
      <c r="D496" s="8"/>
    </row>
    <row r="497" ht="15.75" customHeight="1">
      <c r="A497" s="8"/>
      <c r="B497" s="8"/>
      <c r="C497" s="8"/>
      <c r="D497" s="8"/>
    </row>
    <row r="498" ht="15.75" customHeight="1">
      <c r="A498" s="8"/>
      <c r="B498" s="8"/>
      <c r="C498" s="8"/>
      <c r="D498" s="8"/>
    </row>
    <row r="499" ht="15.75" customHeight="1">
      <c r="A499" s="8"/>
      <c r="B499" s="8"/>
      <c r="C499" s="8"/>
      <c r="D499" s="8"/>
    </row>
    <row r="500" ht="15.75" customHeight="1">
      <c r="A500" s="8"/>
      <c r="B500" s="8"/>
      <c r="C500" s="8"/>
      <c r="D500" s="8"/>
    </row>
    <row r="501" ht="15.75" customHeight="1">
      <c r="A501" s="8"/>
      <c r="B501" s="8"/>
      <c r="C501" s="8"/>
      <c r="D501" s="8"/>
    </row>
    <row r="502" ht="15.75" customHeight="1">
      <c r="A502" s="8"/>
      <c r="B502" s="8"/>
      <c r="C502" s="8"/>
      <c r="D502" s="8"/>
    </row>
    <row r="503" ht="15.75" customHeight="1">
      <c r="A503" s="8"/>
      <c r="B503" s="8"/>
      <c r="C503" s="8"/>
      <c r="D503" s="8"/>
    </row>
    <row r="504" ht="15.75" customHeight="1">
      <c r="A504" s="8"/>
      <c r="B504" s="8"/>
      <c r="C504" s="8"/>
      <c r="D504" s="8"/>
    </row>
    <row r="505" ht="15.75" customHeight="1">
      <c r="A505" s="8"/>
      <c r="B505" s="8"/>
      <c r="C505" s="8"/>
      <c r="D505" s="8"/>
    </row>
    <row r="506" ht="15.75" customHeight="1">
      <c r="A506" s="8"/>
      <c r="B506" s="8"/>
      <c r="C506" s="8"/>
      <c r="D506" s="8"/>
    </row>
    <row r="507" ht="15.75" customHeight="1">
      <c r="A507" s="8"/>
      <c r="B507" s="8"/>
      <c r="C507" s="8"/>
      <c r="D507" s="8"/>
    </row>
    <row r="508" ht="15.75" customHeight="1">
      <c r="A508" s="8"/>
      <c r="B508" s="8"/>
      <c r="C508" s="8"/>
      <c r="D508" s="8"/>
    </row>
    <row r="509" ht="15.75" customHeight="1">
      <c r="A509" s="8"/>
      <c r="B509" s="8"/>
      <c r="C509" s="8"/>
      <c r="D509" s="8"/>
    </row>
    <row r="510" ht="15.75" customHeight="1">
      <c r="A510" s="8"/>
      <c r="B510" s="8"/>
      <c r="C510" s="8"/>
      <c r="D510" s="8"/>
    </row>
    <row r="511" ht="15.75" customHeight="1">
      <c r="A511" s="8"/>
      <c r="B511" s="8"/>
      <c r="C511" s="8"/>
      <c r="D511" s="8"/>
    </row>
    <row r="512" ht="15.75" customHeight="1">
      <c r="A512" s="8"/>
      <c r="B512" s="8"/>
      <c r="C512" s="8"/>
      <c r="D512" s="8"/>
    </row>
    <row r="513" ht="15.75" customHeight="1">
      <c r="A513" s="8"/>
      <c r="B513" s="8"/>
      <c r="C513" s="8"/>
      <c r="D513" s="8"/>
    </row>
    <row r="514" ht="15.75" customHeight="1">
      <c r="A514" s="8"/>
      <c r="B514" s="8"/>
      <c r="C514" s="8"/>
      <c r="D514" s="8"/>
    </row>
    <row r="515" ht="15.75" customHeight="1">
      <c r="A515" s="8"/>
      <c r="B515" s="8"/>
      <c r="C515" s="8"/>
      <c r="D515" s="8"/>
    </row>
    <row r="516" ht="15.75" customHeight="1">
      <c r="A516" s="8"/>
      <c r="B516" s="8"/>
      <c r="C516" s="8"/>
      <c r="D516" s="8"/>
    </row>
    <row r="517" ht="15.75" customHeight="1">
      <c r="A517" s="8"/>
      <c r="B517" s="8"/>
      <c r="C517" s="8"/>
      <c r="D517" s="8"/>
    </row>
    <row r="518" ht="15.75" customHeight="1">
      <c r="A518" s="8"/>
      <c r="B518" s="8"/>
      <c r="C518" s="8"/>
      <c r="D518" s="8"/>
    </row>
    <row r="519" ht="15.75" customHeight="1">
      <c r="A519" s="8"/>
      <c r="B519" s="8"/>
      <c r="C519" s="8"/>
      <c r="D519" s="8"/>
    </row>
    <row r="520" ht="15.75" customHeight="1">
      <c r="A520" s="8"/>
      <c r="B520" s="8"/>
      <c r="C520" s="8"/>
      <c r="D520" s="8"/>
    </row>
    <row r="521" ht="15.75" customHeight="1">
      <c r="A521" s="8"/>
      <c r="B521" s="8"/>
      <c r="C521" s="8"/>
      <c r="D521" s="8"/>
    </row>
    <row r="522" ht="15.75" customHeight="1">
      <c r="A522" s="8"/>
      <c r="B522" s="8"/>
      <c r="C522" s="8"/>
      <c r="D522" s="8"/>
    </row>
    <row r="523" ht="15.75" customHeight="1">
      <c r="A523" s="8"/>
      <c r="B523" s="8"/>
      <c r="C523" s="8"/>
      <c r="D523" s="8"/>
    </row>
    <row r="524" ht="15.75" customHeight="1">
      <c r="A524" s="8"/>
      <c r="B524" s="8"/>
      <c r="C524" s="8"/>
      <c r="D524" s="8"/>
    </row>
    <row r="525" ht="15.75" customHeight="1">
      <c r="A525" s="8"/>
      <c r="B525" s="8"/>
      <c r="C525" s="8"/>
      <c r="D525" s="8"/>
    </row>
    <row r="526" ht="15.75" customHeight="1">
      <c r="A526" s="8"/>
      <c r="B526" s="8"/>
      <c r="C526" s="8"/>
      <c r="D526" s="8"/>
    </row>
    <row r="527" ht="15.75" customHeight="1">
      <c r="A527" s="8"/>
      <c r="B527" s="8"/>
      <c r="C527" s="8"/>
      <c r="D527" s="8"/>
    </row>
    <row r="528" ht="15.75" customHeight="1">
      <c r="A528" s="8"/>
      <c r="B528" s="8"/>
      <c r="C528" s="8"/>
      <c r="D528" s="8"/>
    </row>
    <row r="529" ht="15.75" customHeight="1">
      <c r="A529" s="8"/>
      <c r="B529" s="8"/>
      <c r="C529" s="8"/>
      <c r="D529" s="8"/>
    </row>
    <row r="530" ht="15.75" customHeight="1">
      <c r="A530" s="8"/>
      <c r="B530" s="8"/>
      <c r="C530" s="8"/>
      <c r="D530" s="8"/>
    </row>
    <row r="531" ht="15.75" customHeight="1">
      <c r="A531" s="8"/>
      <c r="B531" s="8"/>
      <c r="C531" s="8"/>
      <c r="D531" s="8"/>
    </row>
    <row r="532" ht="15.75" customHeight="1">
      <c r="A532" s="8"/>
      <c r="B532" s="8"/>
      <c r="C532" s="8"/>
      <c r="D532" s="8"/>
    </row>
    <row r="533" ht="15.75" customHeight="1">
      <c r="A533" s="8"/>
      <c r="B533" s="8"/>
      <c r="C533" s="8"/>
      <c r="D533" s="8"/>
    </row>
    <row r="534" ht="15.75" customHeight="1">
      <c r="A534" s="8"/>
      <c r="B534" s="8"/>
      <c r="C534" s="8"/>
      <c r="D534" s="8"/>
    </row>
    <row r="535" ht="15.75" customHeight="1">
      <c r="A535" s="8"/>
      <c r="B535" s="8"/>
      <c r="C535" s="8"/>
      <c r="D535" s="8"/>
    </row>
    <row r="536" ht="15.75" customHeight="1">
      <c r="A536" s="8"/>
      <c r="B536" s="8"/>
      <c r="C536" s="8"/>
      <c r="D536" s="8"/>
    </row>
    <row r="537" ht="15.75" customHeight="1">
      <c r="A537" s="8"/>
      <c r="B537" s="8"/>
      <c r="C537" s="8"/>
      <c r="D537" s="8"/>
    </row>
    <row r="538" ht="15.75" customHeight="1">
      <c r="A538" s="8"/>
      <c r="B538" s="8"/>
      <c r="C538" s="8"/>
      <c r="D538" s="8"/>
    </row>
    <row r="539" ht="15.75" customHeight="1">
      <c r="A539" s="8"/>
      <c r="B539" s="8"/>
      <c r="C539" s="8"/>
      <c r="D539" s="8"/>
    </row>
    <row r="540" ht="15.75" customHeight="1">
      <c r="A540" s="8"/>
      <c r="B540" s="8"/>
      <c r="C540" s="8"/>
      <c r="D540" s="8"/>
    </row>
    <row r="541" ht="15.75" customHeight="1">
      <c r="A541" s="8"/>
      <c r="B541" s="8"/>
      <c r="C541" s="8"/>
      <c r="D541" s="8"/>
    </row>
    <row r="542" ht="15.75" customHeight="1">
      <c r="A542" s="8"/>
      <c r="B542" s="8"/>
      <c r="C542" s="8"/>
      <c r="D542" s="8"/>
    </row>
    <row r="543" ht="15.75" customHeight="1">
      <c r="A543" s="8"/>
      <c r="B543" s="8"/>
      <c r="C543" s="8"/>
      <c r="D543" s="8"/>
    </row>
    <row r="544" ht="15.75" customHeight="1">
      <c r="A544" s="8"/>
      <c r="B544" s="8"/>
      <c r="C544" s="8"/>
      <c r="D544" s="8"/>
    </row>
    <row r="545" ht="15.75" customHeight="1">
      <c r="A545" s="8"/>
      <c r="B545" s="8"/>
      <c r="C545" s="8"/>
      <c r="D545" s="8"/>
    </row>
    <row r="546" ht="15.75" customHeight="1">
      <c r="A546" s="8"/>
      <c r="B546" s="8"/>
      <c r="C546" s="8"/>
      <c r="D546" s="8"/>
    </row>
    <row r="547" ht="15.75" customHeight="1">
      <c r="A547" s="8"/>
      <c r="B547" s="8"/>
      <c r="C547" s="8"/>
      <c r="D547" s="8"/>
    </row>
    <row r="548" ht="15.75" customHeight="1">
      <c r="A548" s="8"/>
      <c r="B548" s="8"/>
      <c r="C548" s="8"/>
      <c r="D548" s="8"/>
    </row>
    <row r="549" ht="15.75" customHeight="1">
      <c r="A549" s="8"/>
      <c r="B549" s="8"/>
      <c r="C549" s="8"/>
      <c r="D549" s="8"/>
    </row>
    <row r="550" ht="15.75" customHeight="1">
      <c r="A550" s="8"/>
      <c r="B550" s="8"/>
      <c r="C550" s="8"/>
      <c r="D550" s="8"/>
    </row>
    <row r="551" ht="15.75" customHeight="1">
      <c r="A551" s="8"/>
      <c r="B551" s="8"/>
      <c r="C551" s="8"/>
      <c r="D551" s="8"/>
    </row>
    <row r="552" ht="15.75" customHeight="1">
      <c r="A552" s="8"/>
      <c r="B552" s="8"/>
      <c r="C552" s="8"/>
      <c r="D552" s="8"/>
    </row>
    <row r="553" ht="15.75" customHeight="1">
      <c r="A553" s="8"/>
      <c r="B553" s="8"/>
      <c r="C553" s="8"/>
      <c r="D553" s="8"/>
    </row>
    <row r="554" ht="15.75" customHeight="1">
      <c r="A554" s="8"/>
      <c r="B554" s="8"/>
      <c r="C554" s="8"/>
      <c r="D554" s="8"/>
    </row>
    <row r="555" ht="15.75" customHeight="1">
      <c r="A555" s="8"/>
      <c r="B555" s="8"/>
      <c r="C555" s="8"/>
      <c r="D555" s="8"/>
    </row>
    <row r="556" ht="15.75" customHeight="1">
      <c r="A556" s="8"/>
      <c r="B556" s="8"/>
      <c r="C556" s="8"/>
      <c r="D556" s="8"/>
    </row>
    <row r="557" ht="15.75" customHeight="1">
      <c r="A557" s="8"/>
      <c r="B557" s="8"/>
      <c r="C557" s="8"/>
      <c r="D557" s="8"/>
    </row>
    <row r="558" ht="15.75" customHeight="1">
      <c r="A558" s="8"/>
      <c r="B558" s="8"/>
      <c r="C558" s="8"/>
      <c r="D558" s="8"/>
    </row>
    <row r="559" ht="15.75" customHeight="1">
      <c r="A559" s="8"/>
      <c r="B559" s="8"/>
      <c r="C559" s="8"/>
      <c r="D559" s="8"/>
    </row>
    <row r="560" ht="15.75" customHeight="1">
      <c r="A560" s="8"/>
      <c r="B560" s="8"/>
      <c r="C560" s="8"/>
      <c r="D560" s="8"/>
    </row>
    <row r="561" ht="15.75" customHeight="1">
      <c r="A561" s="8"/>
      <c r="B561" s="8"/>
      <c r="C561" s="8"/>
      <c r="D561" s="8"/>
    </row>
    <row r="562" ht="15.75" customHeight="1">
      <c r="A562" s="8"/>
      <c r="B562" s="8"/>
      <c r="C562" s="8"/>
      <c r="D562" s="8"/>
    </row>
    <row r="563" ht="15.75" customHeight="1">
      <c r="A563" s="8"/>
      <c r="B563" s="8"/>
      <c r="C563" s="8"/>
      <c r="D563" s="8"/>
    </row>
    <row r="564" ht="15.75" customHeight="1">
      <c r="A564" s="8"/>
      <c r="B564" s="8"/>
      <c r="C564" s="8"/>
      <c r="D564" s="8"/>
    </row>
    <row r="565" ht="15.75" customHeight="1">
      <c r="A565" s="8"/>
      <c r="B565" s="8"/>
      <c r="C565" s="8"/>
      <c r="D565" s="8"/>
    </row>
    <row r="566" ht="15.75" customHeight="1">
      <c r="A566" s="8"/>
      <c r="B566" s="8"/>
      <c r="C566" s="8"/>
      <c r="D566" s="8"/>
    </row>
    <row r="567" ht="15.75" customHeight="1">
      <c r="A567" s="8"/>
      <c r="B567" s="8"/>
      <c r="C567" s="8"/>
      <c r="D567" s="8"/>
    </row>
    <row r="568" ht="15.75" customHeight="1">
      <c r="A568" s="8"/>
      <c r="B568" s="8"/>
      <c r="C568" s="8"/>
      <c r="D568" s="8"/>
    </row>
    <row r="569" ht="15.75" customHeight="1">
      <c r="A569" s="8"/>
      <c r="B569" s="8"/>
      <c r="C569" s="8"/>
      <c r="D569" s="8"/>
    </row>
    <row r="570" ht="15.75" customHeight="1">
      <c r="A570" s="8"/>
      <c r="B570" s="8"/>
      <c r="C570" s="8"/>
      <c r="D570" s="8"/>
    </row>
    <row r="571" ht="15.75" customHeight="1">
      <c r="A571" s="8"/>
      <c r="B571" s="8"/>
      <c r="C571" s="8"/>
      <c r="D571" s="8"/>
    </row>
    <row r="572" ht="15.75" customHeight="1">
      <c r="A572" s="8"/>
      <c r="B572" s="8"/>
      <c r="C572" s="8"/>
      <c r="D572" s="8"/>
    </row>
    <row r="573" ht="15.75" customHeight="1">
      <c r="A573" s="8"/>
      <c r="B573" s="8"/>
      <c r="C573" s="8"/>
      <c r="D573" s="8"/>
    </row>
    <row r="574" ht="15.75" customHeight="1">
      <c r="A574" s="8"/>
      <c r="B574" s="8"/>
      <c r="C574" s="8"/>
      <c r="D574" s="8"/>
    </row>
    <row r="575" ht="15.75" customHeight="1">
      <c r="A575" s="8"/>
      <c r="B575" s="8"/>
      <c r="C575" s="8"/>
      <c r="D575" s="8"/>
    </row>
    <row r="576" ht="15.75" customHeight="1">
      <c r="A576" s="8"/>
      <c r="B576" s="8"/>
      <c r="C576" s="8"/>
      <c r="D576" s="8"/>
    </row>
    <row r="577" ht="15.75" customHeight="1">
      <c r="A577" s="8"/>
      <c r="B577" s="8"/>
      <c r="C577" s="8"/>
      <c r="D577" s="8"/>
    </row>
    <row r="578" ht="15.75" customHeight="1">
      <c r="A578" s="8"/>
      <c r="B578" s="8"/>
      <c r="C578" s="8"/>
      <c r="D578" s="8"/>
    </row>
    <row r="579" ht="15.75" customHeight="1">
      <c r="A579" s="8"/>
      <c r="B579" s="8"/>
      <c r="C579" s="8"/>
      <c r="D579" s="8"/>
    </row>
    <row r="580" ht="15.75" customHeight="1">
      <c r="A580" s="8"/>
      <c r="B580" s="8"/>
      <c r="C580" s="8"/>
      <c r="D580" s="8"/>
    </row>
    <row r="581" ht="15.75" customHeight="1">
      <c r="A581" s="8"/>
      <c r="B581" s="8"/>
      <c r="C581" s="8"/>
      <c r="D581" s="8"/>
    </row>
    <row r="582" ht="15.75" customHeight="1">
      <c r="A582" s="8"/>
      <c r="B582" s="8"/>
      <c r="C582" s="8"/>
      <c r="D582" s="8"/>
    </row>
    <row r="583" ht="15.75" customHeight="1">
      <c r="A583" s="8"/>
      <c r="B583" s="8"/>
      <c r="C583" s="8"/>
      <c r="D583" s="8"/>
    </row>
    <row r="584" ht="15.75" customHeight="1">
      <c r="A584" s="8"/>
      <c r="B584" s="8"/>
      <c r="C584" s="8"/>
      <c r="D584" s="8"/>
    </row>
    <row r="585" ht="15.75" customHeight="1">
      <c r="A585" s="8"/>
      <c r="B585" s="8"/>
      <c r="C585" s="8"/>
      <c r="D585" s="8"/>
    </row>
    <row r="586" ht="15.75" customHeight="1">
      <c r="A586" s="8"/>
      <c r="B586" s="8"/>
      <c r="C586" s="8"/>
      <c r="D586" s="8"/>
    </row>
    <row r="587" ht="15.75" customHeight="1">
      <c r="A587" s="8"/>
      <c r="B587" s="8"/>
      <c r="C587" s="8"/>
      <c r="D587" s="8"/>
    </row>
    <row r="588" ht="15.75" customHeight="1">
      <c r="A588" s="8"/>
      <c r="B588" s="8"/>
      <c r="C588" s="8"/>
      <c r="D588" s="8"/>
    </row>
    <row r="589" ht="15.75" customHeight="1">
      <c r="A589" s="8"/>
      <c r="B589" s="8"/>
      <c r="C589" s="8"/>
      <c r="D589" s="8"/>
    </row>
    <row r="590" ht="15.75" customHeight="1">
      <c r="A590" s="8"/>
      <c r="B590" s="8"/>
      <c r="C590" s="8"/>
      <c r="D590" s="8"/>
    </row>
    <row r="591" ht="15.75" customHeight="1">
      <c r="A591" s="8"/>
      <c r="B591" s="8"/>
      <c r="C591" s="8"/>
      <c r="D591" s="8"/>
    </row>
    <row r="592" ht="15.75" customHeight="1">
      <c r="A592" s="8"/>
      <c r="B592" s="8"/>
      <c r="C592" s="8"/>
      <c r="D592" s="8"/>
    </row>
    <row r="593" ht="15.75" customHeight="1">
      <c r="A593" s="8"/>
      <c r="B593" s="8"/>
      <c r="C593" s="8"/>
      <c r="D593" s="8"/>
    </row>
    <row r="594" ht="15.75" customHeight="1">
      <c r="A594" s="8"/>
      <c r="B594" s="8"/>
      <c r="C594" s="8"/>
      <c r="D594" s="8"/>
    </row>
    <row r="595" ht="15.75" customHeight="1">
      <c r="A595" s="8"/>
      <c r="B595" s="8"/>
      <c r="C595" s="8"/>
      <c r="D595" s="8"/>
    </row>
    <row r="596" ht="15.75" customHeight="1">
      <c r="A596" s="8"/>
      <c r="B596" s="8"/>
      <c r="C596" s="8"/>
      <c r="D596" s="8"/>
    </row>
    <row r="597" ht="15.75" customHeight="1">
      <c r="A597" s="8"/>
      <c r="B597" s="8"/>
      <c r="C597" s="8"/>
      <c r="D597" s="8"/>
    </row>
    <row r="598" ht="15.75" customHeight="1">
      <c r="A598" s="8"/>
      <c r="B598" s="8"/>
      <c r="C598" s="8"/>
      <c r="D598" s="8"/>
    </row>
    <row r="599" ht="15.75" customHeight="1">
      <c r="A599" s="8"/>
      <c r="B599" s="8"/>
      <c r="C599" s="8"/>
      <c r="D599" s="8"/>
    </row>
    <row r="600" ht="15.75" customHeight="1">
      <c r="A600" s="8"/>
      <c r="B600" s="8"/>
      <c r="C600" s="8"/>
      <c r="D600" s="8"/>
    </row>
    <row r="601" ht="15.75" customHeight="1">
      <c r="A601" s="8"/>
      <c r="B601" s="8"/>
      <c r="C601" s="8"/>
      <c r="D601" s="8"/>
    </row>
    <row r="602" ht="15.75" customHeight="1">
      <c r="A602" s="8"/>
      <c r="B602" s="8"/>
      <c r="C602" s="8"/>
      <c r="D602" s="8"/>
    </row>
    <row r="603" ht="15.75" customHeight="1">
      <c r="A603" s="8"/>
      <c r="B603" s="8"/>
      <c r="C603" s="8"/>
      <c r="D603" s="8"/>
    </row>
    <row r="604" ht="15.75" customHeight="1">
      <c r="A604" s="8"/>
      <c r="B604" s="8"/>
      <c r="C604" s="8"/>
      <c r="D604" s="8"/>
    </row>
    <row r="605" ht="15.75" customHeight="1">
      <c r="A605" s="8"/>
      <c r="B605" s="8"/>
      <c r="C605" s="8"/>
      <c r="D605" s="8"/>
    </row>
    <row r="606" ht="15.75" customHeight="1">
      <c r="A606" s="8"/>
      <c r="B606" s="8"/>
      <c r="C606" s="8"/>
      <c r="D606" s="8"/>
    </row>
    <row r="607" ht="15.75" customHeight="1">
      <c r="A607" s="8"/>
      <c r="B607" s="8"/>
      <c r="C607" s="8"/>
      <c r="D607" s="8"/>
    </row>
    <row r="608" ht="15.75" customHeight="1">
      <c r="A608" s="8"/>
      <c r="B608" s="8"/>
      <c r="C608" s="8"/>
      <c r="D608" s="8"/>
    </row>
    <row r="609" ht="15.75" customHeight="1">
      <c r="A609" s="8"/>
      <c r="B609" s="8"/>
      <c r="C609" s="8"/>
      <c r="D609" s="8"/>
    </row>
    <row r="610" ht="15.75" customHeight="1">
      <c r="A610" s="8"/>
      <c r="B610" s="8"/>
      <c r="C610" s="8"/>
      <c r="D610" s="8"/>
    </row>
    <row r="611" ht="15.75" customHeight="1">
      <c r="A611" s="8"/>
      <c r="B611" s="8"/>
      <c r="C611" s="8"/>
      <c r="D611" s="8"/>
    </row>
    <row r="612" ht="15.75" customHeight="1">
      <c r="A612" s="8"/>
      <c r="B612" s="8"/>
      <c r="C612" s="8"/>
      <c r="D612" s="8"/>
    </row>
    <row r="613" ht="15.75" customHeight="1">
      <c r="A613" s="8"/>
      <c r="B613" s="8"/>
      <c r="C613" s="8"/>
      <c r="D613" s="8"/>
    </row>
    <row r="614" ht="15.75" customHeight="1">
      <c r="A614" s="8"/>
      <c r="B614" s="8"/>
      <c r="C614" s="8"/>
      <c r="D614" s="8"/>
    </row>
    <row r="615" ht="15.75" customHeight="1">
      <c r="A615" s="8"/>
      <c r="B615" s="8"/>
      <c r="C615" s="8"/>
      <c r="D615" s="8"/>
    </row>
    <row r="616" ht="15.75" customHeight="1">
      <c r="A616" s="8"/>
      <c r="B616" s="8"/>
      <c r="C616" s="8"/>
      <c r="D616" s="8"/>
    </row>
    <row r="617" ht="15.75" customHeight="1">
      <c r="A617" s="8"/>
      <c r="B617" s="8"/>
      <c r="C617" s="8"/>
      <c r="D617" s="8"/>
    </row>
    <row r="618" ht="15.75" customHeight="1">
      <c r="A618" s="8"/>
      <c r="B618" s="8"/>
      <c r="C618" s="8"/>
      <c r="D618" s="8"/>
    </row>
    <row r="619" ht="15.75" customHeight="1">
      <c r="A619" s="8"/>
      <c r="B619" s="8"/>
      <c r="C619" s="8"/>
      <c r="D619" s="8"/>
    </row>
    <row r="620" ht="15.75" customHeight="1">
      <c r="A620" s="8"/>
      <c r="B620" s="8"/>
      <c r="C620" s="8"/>
      <c r="D620" s="8"/>
    </row>
    <row r="621" ht="15.75" customHeight="1">
      <c r="A621" s="8"/>
      <c r="B621" s="8"/>
      <c r="C621" s="8"/>
      <c r="D621" s="8"/>
    </row>
    <row r="622" ht="15.75" customHeight="1">
      <c r="A622" s="8"/>
      <c r="B622" s="8"/>
      <c r="C622" s="8"/>
      <c r="D622" s="8"/>
    </row>
    <row r="623" ht="15.75" customHeight="1">
      <c r="A623" s="8"/>
      <c r="B623" s="8"/>
      <c r="C623" s="8"/>
      <c r="D623" s="8"/>
    </row>
    <row r="624" ht="15.75" customHeight="1">
      <c r="A624" s="8"/>
      <c r="B624" s="8"/>
      <c r="C624" s="8"/>
      <c r="D624" s="8"/>
    </row>
    <row r="625" ht="15.75" customHeight="1">
      <c r="A625" s="8"/>
      <c r="B625" s="8"/>
      <c r="C625" s="8"/>
      <c r="D625" s="8"/>
    </row>
    <row r="626" ht="15.75" customHeight="1">
      <c r="A626" s="8"/>
      <c r="B626" s="8"/>
      <c r="C626" s="8"/>
      <c r="D626" s="8"/>
    </row>
    <row r="627" ht="15.75" customHeight="1">
      <c r="A627" s="8"/>
      <c r="B627" s="8"/>
      <c r="C627" s="8"/>
      <c r="D627" s="8"/>
    </row>
    <row r="628" ht="15.75" customHeight="1">
      <c r="A628" s="8"/>
      <c r="B628" s="8"/>
      <c r="C628" s="8"/>
      <c r="D628" s="8"/>
    </row>
    <row r="629" ht="15.75" customHeight="1">
      <c r="A629" s="8"/>
      <c r="B629" s="8"/>
      <c r="C629" s="8"/>
      <c r="D629" s="8"/>
    </row>
    <row r="630" ht="15.75" customHeight="1">
      <c r="A630" s="8"/>
      <c r="B630" s="8"/>
      <c r="C630" s="8"/>
      <c r="D630" s="8"/>
    </row>
    <row r="631" ht="15.75" customHeight="1">
      <c r="A631" s="8"/>
      <c r="B631" s="8"/>
      <c r="C631" s="8"/>
      <c r="D631" s="8"/>
    </row>
    <row r="632" ht="15.75" customHeight="1">
      <c r="A632" s="8"/>
      <c r="B632" s="8"/>
      <c r="C632" s="8"/>
      <c r="D632" s="8"/>
    </row>
    <row r="633" ht="15.75" customHeight="1">
      <c r="A633" s="8"/>
      <c r="B633" s="8"/>
      <c r="C633" s="8"/>
      <c r="D633" s="8"/>
    </row>
    <row r="634" ht="15.75" customHeight="1">
      <c r="A634" s="8"/>
      <c r="B634" s="8"/>
      <c r="C634" s="8"/>
      <c r="D634" s="8"/>
    </row>
    <row r="635" ht="15.75" customHeight="1">
      <c r="A635" s="8"/>
      <c r="B635" s="8"/>
      <c r="C635" s="8"/>
      <c r="D635" s="8"/>
    </row>
    <row r="636" ht="15.75" customHeight="1">
      <c r="A636" s="8"/>
      <c r="B636" s="8"/>
      <c r="C636" s="8"/>
      <c r="D636" s="8"/>
    </row>
    <row r="637" ht="15.75" customHeight="1">
      <c r="A637" s="8"/>
      <c r="B637" s="8"/>
      <c r="C637" s="8"/>
      <c r="D637" s="8"/>
    </row>
    <row r="638" ht="15.75" customHeight="1">
      <c r="A638" s="8"/>
      <c r="B638" s="8"/>
      <c r="C638" s="8"/>
      <c r="D638" s="8"/>
    </row>
    <row r="639" ht="15.75" customHeight="1">
      <c r="A639" s="8"/>
      <c r="B639" s="8"/>
      <c r="C639" s="8"/>
      <c r="D639" s="8"/>
    </row>
    <row r="640" ht="15.75" customHeight="1">
      <c r="A640" s="8"/>
      <c r="B640" s="8"/>
      <c r="C640" s="8"/>
      <c r="D640" s="8"/>
    </row>
    <row r="641" ht="15.75" customHeight="1">
      <c r="A641" s="8"/>
      <c r="B641" s="8"/>
      <c r="C641" s="8"/>
      <c r="D641" s="8"/>
    </row>
    <row r="642" ht="15.75" customHeight="1">
      <c r="A642" s="8"/>
      <c r="B642" s="8"/>
      <c r="C642" s="8"/>
      <c r="D642" s="8"/>
    </row>
    <row r="643" ht="15.75" customHeight="1">
      <c r="A643" s="8"/>
      <c r="B643" s="8"/>
      <c r="C643" s="8"/>
      <c r="D643" s="8"/>
    </row>
    <row r="644" ht="15.75" customHeight="1">
      <c r="A644" s="8"/>
      <c r="B644" s="8"/>
      <c r="C644" s="8"/>
      <c r="D644" s="8"/>
    </row>
    <row r="645" ht="15.75" customHeight="1">
      <c r="A645" s="8"/>
      <c r="B645" s="8"/>
      <c r="C645" s="8"/>
      <c r="D645" s="8"/>
    </row>
    <row r="646" ht="15.75" customHeight="1">
      <c r="A646" s="8"/>
      <c r="B646" s="8"/>
      <c r="C646" s="8"/>
      <c r="D646" s="8"/>
    </row>
    <row r="647" ht="15.75" customHeight="1">
      <c r="A647" s="8"/>
      <c r="B647" s="8"/>
      <c r="C647" s="8"/>
      <c r="D647" s="8"/>
    </row>
    <row r="648" ht="15.75" customHeight="1">
      <c r="A648" s="8"/>
      <c r="B648" s="8"/>
      <c r="C648" s="8"/>
      <c r="D648" s="8"/>
    </row>
    <row r="649" ht="15.75" customHeight="1">
      <c r="A649" s="8"/>
      <c r="B649" s="8"/>
      <c r="C649" s="8"/>
      <c r="D649" s="8"/>
    </row>
    <row r="650" ht="15.75" customHeight="1">
      <c r="A650" s="8"/>
      <c r="B650" s="8"/>
      <c r="C650" s="8"/>
      <c r="D650" s="8"/>
    </row>
    <row r="651" ht="15.75" customHeight="1">
      <c r="A651" s="8"/>
      <c r="B651" s="8"/>
      <c r="C651" s="8"/>
      <c r="D651" s="8"/>
    </row>
    <row r="652" ht="15.75" customHeight="1">
      <c r="A652" s="8"/>
      <c r="B652" s="8"/>
      <c r="C652" s="8"/>
      <c r="D652" s="8"/>
    </row>
    <row r="653" ht="15.75" customHeight="1">
      <c r="A653" s="8"/>
      <c r="B653" s="8"/>
      <c r="C653" s="8"/>
      <c r="D653" s="8"/>
    </row>
    <row r="654" ht="15.75" customHeight="1">
      <c r="A654" s="8"/>
      <c r="B654" s="8"/>
      <c r="C654" s="8"/>
      <c r="D654" s="8"/>
    </row>
    <row r="655" ht="15.75" customHeight="1">
      <c r="A655" s="8"/>
      <c r="B655" s="8"/>
      <c r="C655" s="8"/>
      <c r="D655" s="8"/>
    </row>
    <row r="656" ht="15.75" customHeight="1">
      <c r="A656" s="8"/>
      <c r="B656" s="8"/>
      <c r="C656" s="8"/>
      <c r="D656" s="8"/>
    </row>
    <row r="657" ht="15.75" customHeight="1">
      <c r="A657" s="8"/>
      <c r="B657" s="8"/>
      <c r="C657" s="8"/>
      <c r="D657" s="8"/>
    </row>
    <row r="658" ht="15.75" customHeight="1">
      <c r="A658" s="8"/>
      <c r="B658" s="8"/>
      <c r="C658" s="8"/>
      <c r="D658" s="8"/>
    </row>
    <row r="659" ht="15.75" customHeight="1">
      <c r="A659" s="8"/>
      <c r="B659" s="8"/>
      <c r="C659" s="8"/>
      <c r="D659" s="8"/>
    </row>
    <row r="660" ht="15.75" customHeight="1">
      <c r="A660" s="8"/>
      <c r="B660" s="8"/>
      <c r="C660" s="8"/>
      <c r="D660" s="8"/>
    </row>
    <row r="661" ht="15.75" customHeight="1">
      <c r="A661" s="8"/>
      <c r="B661" s="8"/>
      <c r="C661" s="8"/>
      <c r="D661" s="8"/>
    </row>
    <row r="662" ht="15.75" customHeight="1">
      <c r="A662" s="8"/>
      <c r="B662" s="8"/>
      <c r="C662" s="8"/>
      <c r="D662" s="8"/>
    </row>
    <row r="663" ht="15.75" customHeight="1">
      <c r="A663" s="8"/>
      <c r="B663" s="8"/>
      <c r="C663" s="8"/>
      <c r="D663" s="8"/>
    </row>
    <row r="664" ht="15.75" customHeight="1">
      <c r="A664" s="8"/>
      <c r="B664" s="8"/>
      <c r="C664" s="8"/>
      <c r="D664" s="8"/>
    </row>
    <row r="665" ht="15.75" customHeight="1">
      <c r="A665" s="8"/>
      <c r="B665" s="8"/>
      <c r="C665" s="8"/>
      <c r="D665" s="8"/>
    </row>
    <row r="666" ht="15.75" customHeight="1">
      <c r="A666" s="8"/>
      <c r="B666" s="8"/>
      <c r="C666" s="8"/>
      <c r="D666" s="8"/>
    </row>
    <row r="667" ht="15.75" customHeight="1">
      <c r="A667" s="8"/>
      <c r="B667" s="8"/>
      <c r="C667" s="8"/>
      <c r="D667" s="8"/>
    </row>
    <row r="668" ht="15.75" customHeight="1">
      <c r="A668" s="8"/>
      <c r="B668" s="8"/>
      <c r="C668" s="8"/>
      <c r="D668" s="8"/>
    </row>
    <row r="669" ht="15.75" customHeight="1">
      <c r="A669" s="8"/>
      <c r="B669" s="8"/>
      <c r="C669" s="8"/>
      <c r="D669" s="8"/>
    </row>
    <row r="670" ht="15.75" customHeight="1">
      <c r="A670" s="8"/>
      <c r="B670" s="8"/>
      <c r="C670" s="8"/>
      <c r="D670" s="8"/>
    </row>
    <row r="671" ht="15.75" customHeight="1">
      <c r="A671" s="8"/>
      <c r="B671" s="8"/>
      <c r="C671" s="8"/>
      <c r="D671" s="8"/>
    </row>
    <row r="672" ht="15.75" customHeight="1">
      <c r="A672" s="8"/>
      <c r="B672" s="8"/>
      <c r="C672" s="8"/>
      <c r="D672" s="8"/>
    </row>
    <row r="673" ht="15.75" customHeight="1">
      <c r="A673" s="8"/>
      <c r="B673" s="8"/>
      <c r="C673" s="8"/>
      <c r="D673" s="8"/>
    </row>
    <row r="674" ht="15.75" customHeight="1">
      <c r="A674" s="8"/>
      <c r="B674" s="8"/>
      <c r="C674" s="8"/>
      <c r="D674" s="8"/>
    </row>
    <row r="675" ht="15.75" customHeight="1">
      <c r="A675" s="8"/>
      <c r="B675" s="8"/>
      <c r="C675" s="8"/>
      <c r="D675" s="8"/>
    </row>
    <row r="676" ht="15.75" customHeight="1">
      <c r="A676" s="8"/>
      <c r="B676" s="8"/>
      <c r="C676" s="8"/>
      <c r="D676" s="8"/>
    </row>
    <row r="677" ht="15.75" customHeight="1">
      <c r="A677" s="8"/>
      <c r="B677" s="8"/>
      <c r="C677" s="8"/>
      <c r="D677" s="8"/>
    </row>
    <row r="678" ht="15.75" customHeight="1">
      <c r="A678" s="8"/>
      <c r="B678" s="8"/>
      <c r="C678" s="8"/>
      <c r="D678" s="8"/>
    </row>
    <row r="679" ht="15.75" customHeight="1">
      <c r="A679" s="8"/>
      <c r="B679" s="8"/>
      <c r="C679" s="8"/>
      <c r="D679" s="8"/>
    </row>
    <row r="680" ht="15.75" customHeight="1">
      <c r="A680" s="8"/>
      <c r="B680" s="8"/>
      <c r="C680" s="8"/>
      <c r="D680" s="8"/>
    </row>
    <row r="681" ht="15.75" customHeight="1">
      <c r="A681" s="8"/>
      <c r="B681" s="8"/>
      <c r="C681" s="8"/>
      <c r="D681" s="8"/>
    </row>
    <row r="682" ht="15.75" customHeight="1">
      <c r="A682" s="8"/>
      <c r="B682" s="8"/>
      <c r="C682" s="8"/>
      <c r="D682" s="8"/>
    </row>
    <row r="683" ht="15.75" customHeight="1">
      <c r="A683" s="8"/>
      <c r="B683" s="8"/>
      <c r="C683" s="8"/>
      <c r="D683" s="8"/>
    </row>
    <row r="684" ht="15.75" customHeight="1">
      <c r="A684" s="8"/>
      <c r="B684" s="8"/>
      <c r="C684" s="8"/>
      <c r="D684" s="8"/>
    </row>
    <row r="685" ht="15.75" customHeight="1">
      <c r="A685" s="8"/>
      <c r="B685" s="8"/>
      <c r="C685" s="8"/>
      <c r="D685" s="8"/>
    </row>
    <row r="686" ht="15.75" customHeight="1">
      <c r="A686" s="8"/>
      <c r="B686" s="8"/>
      <c r="C686" s="8"/>
      <c r="D686" s="8"/>
    </row>
    <row r="687" ht="15.75" customHeight="1">
      <c r="A687" s="8"/>
      <c r="B687" s="8"/>
      <c r="C687" s="8"/>
      <c r="D687" s="8"/>
    </row>
    <row r="688" ht="15.75" customHeight="1">
      <c r="A688" s="8"/>
      <c r="B688" s="8"/>
      <c r="C688" s="8"/>
      <c r="D688" s="8"/>
    </row>
    <row r="689" ht="15.75" customHeight="1">
      <c r="A689" s="8"/>
      <c r="B689" s="8"/>
      <c r="C689" s="8"/>
      <c r="D689" s="8"/>
    </row>
    <row r="690" ht="15.75" customHeight="1">
      <c r="A690" s="8"/>
      <c r="B690" s="8"/>
      <c r="C690" s="8"/>
      <c r="D690" s="8"/>
    </row>
    <row r="691" ht="15.75" customHeight="1">
      <c r="A691" s="8"/>
      <c r="B691" s="8"/>
      <c r="C691" s="8"/>
      <c r="D691" s="8"/>
    </row>
    <row r="692" ht="15.75" customHeight="1">
      <c r="A692" s="8"/>
      <c r="B692" s="8"/>
      <c r="C692" s="8"/>
      <c r="D692" s="8"/>
    </row>
    <row r="693" ht="15.75" customHeight="1">
      <c r="A693" s="8"/>
      <c r="B693" s="8"/>
      <c r="C693" s="8"/>
      <c r="D693" s="8"/>
    </row>
    <row r="694" ht="15.75" customHeight="1">
      <c r="A694" s="8"/>
      <c r="B694" s="8"/>
      <c r="C694" s="8"/>
      <c r="D694" s="8"/>
    </row>
    <row r="695" ht="15.75" customHeight="1">
      <c r="A695" s="8"/>
      <c r="B695" s="8"/>
      <c r="C695" s="8"/>
      <c r="D695" s="8"/>
    </row>
    <row r="696" ht="15.75" customHeight="1">
      <c r="A696" s="8"/>
      <c r="B696" s="8"/>
      <c r="C696" s="8"/>
      <c r="D696" s="8"/>
    </row>
    <row r="697" ht="15.75" customHeight="1">
      <c r="A697" s="8"/>
      <c r="B697" s="8"/>
      <c r="C697" s="8"/>
      <c r="D697" s="8"/>
    </row>
    <row r="698" ht="15.75" customHeight="1">
      <c r="A698" s="8"/>
      <c r="B698" s="8"/>
      <c r="C698" s="8"/>
      <c r="D698" s="8"/>
    </row>
    <row r="699" ht="15.75" customHeight="1">
      <c r="A699" s="8"/>
      <c r="B699" s="8"/>
      <c r="C699" s="8"/>
      <c r="D699" s="8"/>
    </row>
    <row r="700" ht="15.75" customHeight="1">
      <c r="A700" s="8"/>
      <c r="B700" s="8"/>
      <c r="C700" s="8"/>
      <c r="D700" s="8"/>
    </row>
    <row r="701" ht="15.75" customHeight="1">
      <c r="A701" s="8"/>
      <c r="B701" s="8"/>
      <c r="C701" s="8"/>
      <c r="D701" s="8"/>
    </row>
    <row r="702" ht="15.75" customHeight="1">
      <c r="A702" s="8"/>
      <c r="B702" s="8"/>
      <c r="C702" s="8"/>
      <c r="D702" s="8"/>
    </row>
    <row r="703" ht="15.75" customHeight="1">
      <c r="A703" s="8"/>
      <c r="B703" s="8"/>
      <c r="C703" s="8"/>
      <c r="D703" s="8"/>
    </row>
    <row r="704" ht="15.75" customHeight="1">
      <c r="A704" s="8"/>
      <c r="B704" s="8"/>
      <c r="C704" s="8"/>
      <c r="D704" s="8"/>
    </row>
    <row r="705" ht="15.75" customHeight="1">
      <c r="A705" s="8"/>
      <c r="B705" s="8"/>
      <c r="C705" s="8"/>
      <c r="D705" s="8"/>
    </row>
    <row r="706" ht="15.75" customHeight="1">
      <c r="A706" s="8"/>
      <c r="B706" s="8"/>
      <c r="C706" s="8"/>
      <c r="D706" s="8"/>
    </row>
    <row r="707" ht="15.75" customHeight="1">
      <c r="A707" s="8"/>
      <c r="B707" s="8"/>
      <c r="C707" s="8"/>
      <c r="D707" s="8"/>
    </row>
    <row r="708" ht="15.75" customHeight="1">
      <c r="A708" s="8"/>
      <c r="B708" s="8"/>
      <c r="C708" s="8"/>
      <c r="D708" s="8"/>
    </row>
    <row r="709" ht="15.75" customHeight="1">
      <c r="A709" s="8"/>
      <c r="B709" s="8"/>
      <c r="C709" s="8"/>
      <c r="D709" s="8"/>
    </row>
    <row r="710" ht="15.75" customHeight="1">
      <c r="A710" s="8"/>
      <c r="B710" s="8"/>
      <c r="C710" s="8"/>
      <c r="D710" s="8"/>
    </row>
    <row r="711" ht="15.75" customHeight="1">
      <c r="A711" s="8"/>
      <c r="B711" s="8"/>
      <c r="C711" s="8"/>
      <c r="D711" s="8"/>
    </row>
    <row r="712" ht="15.75" customHeight="1">
      <c r="A712" s="8"/>
      <c r="B712" s="8"/>
      <c r="C712" s="8"/>
      <c r="D712" s="8"/>
    </row>
    <row r="713" ht="15.75" customHeight="1">
      <c r="A713" s="8"/>
      <c r="B713" s="8"/>
      <c r="C713" s="8"/>
      <c r="D713" s="8"/>
    </row>
    <row r="714" ht="15.75" customHeight="1">
      <c r="A714" s="8"/>
      <c r="B714" s="8"/>
      <c r="C714" s="8"/>
      <c r="D714" s="8"/>
    </row>
    <row r="715" ht="15.75" customHeight="1">
      <c r="A715" s="8"/>
      <c r="B715" s="8"/>
      <c r="C715" s="8"/>
      <c r="D715" s="8"/>
    </row>
    <row r="716" ht="15.75" customHeight="1">
      <c r="A716" s="8"/>
      <c r="B716" s="8"/>
      <c r="C716" s="8"/>
      <c r="D716" s="8"/>
    </row>
    <row r="717" ht="15.75" customHeight="1">
      <c r="A717" s="8"/>
      <c r="B717" s="8"/>
      <c r="C717" s="8"/>
      <c r="D717" s="8"/>
    </row>
    <row r="718" ht="15.75" customHeight="1">
      <c r="A718" s="8"/>
      <c r="B718" s="8"/>
      <c r="C718" s="8"/>
      <c r="D718" s="8"/>
    </row>
    <row r="719" ht="15.75" customHeight="1">
      <c r="A719" s="8"/>
      <c r="B719" s="8"/>
      <c r="C719" s="8"/>
      <c r="D719" s="8"/>
    </row>
    <row r="720" ht="15.75" customHeight="1">
      <c r="A720" s="8"/>
      <c r="B720" s="8"/>
      <c r="C720" s="8"/>
      <c r="D720" s="8"/>
    </row>
    <row r="721" ht="15.75" customHeight="1">
      <c r="A721" s="8"/>
      <c r="B721" s="8"/>
      <c r="C721" s="8"/>
      <c r="D721" s="8"/>
    </row>
    <row r="722" ht="15.75" customHeight="1">
      <c r="A722" s="8"/>
      <c r="B722" s="8"/>
      <c r="C722" s="8"/>
      <c r="D722" s="8"/>
    </row>
    <row r="723" ht="15.75" customHeight="1">
      <c r="A723" s="8"/>
      <c r="B723" s="8"/>
      <c r="C723" s="8"/>
      <c r="D723" s="8"/>
    </row>
    <row r="724" ht="15.75" customHeight="1">
      <c r="A724" s="8"/>
      <c r="B724" s="8"/>
      <c r="C724" s="8"/>
      <c r="D724" s="8"/>
    </row>
    <row r="725" ht="15.75" customHeight="1">
      <c r="A725" s="8"/>
      <c r="B725" s="8"/>
      <c r="C725" s="8"/>
      <c r="D725" s="8"/>
    </row>
    <row r="726" ht="15.75" customHeight="1">
      <c r="A726" s="8"/>
      <c r="B726" s="8"/>
      <c r="C726" s="8"/>
      <c r="D726" s="8"/>
    </row>
    <row r="727" ht="15.75" customHeight="1">
      <c r="A727" s="8"/>
      <c r="B727" s="8"/>
      <c r="C727" s="8"/>
      <c r="D727" s="8"/>
    </row>
    <row r="728" ht="15.75" customHeight="1">
      <c r="A728" s="8"/>
      <c r="B728" s="8"/>
      <c r="C728" s="8"/>
      <c r="D728" s="8"/>
    </row>
    <row r="729" ht="15.75" customHeight="1">
      <c r="A729" s="8"/>
      <c r="B729" s="8"/>
      <c r="C729" s="8"/>
      <c r="D729" s="8"/>
    </row>
    <row r="730" ht="15.75" customHeight="1">
      <c r="A730" s="8"/>
      <c r="B730" s="8"/>
      <c r="C730" s="8"/>
      <c r="D730" s="8"/>
    </row>
    <row r="731" ht="15.75" customHeight="1">
      <c r="A731" s="8"/>
      <c r="B731" s="8"/>
      <c r="C731" s="8"/>
      <c r="D731" s="8"/>
    </row>
    <row r="732" ht="15.75" customHeight="1">
      <c r="A732" s="8"/>
      <c r="B732" s="8"/>
      <c r="C732" s="8"/>
      <c r="D732" s="8"/>
    </row>
    <row r="733" ht="15.75" customHeight="1">
      <c r="A733" s="8"/>
      <c r="B733" s="8"/>
      <c r="C733" s="8"/>
      <c r="D733" s="8"/>
    </row>
    <row r="734" ht="15.75" customHeight="1">
      <c r="A734" s="8"/>
      <c r="B734" s="8"/>
      <c r="C734" s="8"/>
      <c r="D734" s="8"/>
    </row>
    <row r="735" ht="15.75" customHeight="1">
      <c r="A735" s="8"/>
      <c r="B735" s="8"/>
      <c r="C735" s="8"/>
      <c r="D735" s="8"/>
    </row>
    <row r="736" ht="15.75" customHeight="1">
      <c r="A736" s="8"/>
      <c r="B736" s="8"/>
      <c r="C736" s="8"/>
      <c r="D736" s="8"/>
    </row>
    <row r="737" ht="15.75" customHeight="1">
      <c r="A737" s="8"/>
      <c r="B737" s="8"/>
      <c r="C737" s="8"/>
      <c r="D737" s="8"/>
    </row>
    <row r="738" ht="15.75" customHeight="1">
      <c r="A738" s="8"/>
      <c r="B738" s="8"/>
      <c r="C738" s="8"/>
      <c r="D738" s="8"/>
    </row>
    <row r="739" ht="15.75" customHeight="1">
      <c r="A739" s="8"/>
      <c r="B739" s="8"/>
      <c r="C739" s="8"/>
      <c r="D739" s="8"/>
    </row>
    <row r="740" ht="15.75" customHeight="1">
      <c r="A740" s="8"/>
      <c r="B740" s="8"/>
      <c r="C740" s="8"/>
      <c r="D740" s="8"/>
    </row>
    <row r="741" ht="15.75" customHeight="1">
      <c r="A741" s="8"/>
      <c r="B741" s="8"/>
      <c r="C741" s="8"/>
      <c r="D741" s="8"/>
    </row>
    <row r="742" ht="15.75" customHeight="1">
      <c r="A742" s="8"/>
      <c r="B742" s="8"/>
      <c r="C742" s="8"/>
      <c r="D742" s="8"/>
    </row>
    <row r="743" ht="15.75" customHeight="1">
      <c r="A743" s="8"/>
      <c r="B743" s="8"/>
      <c r="C743" s="8"/>
      <c r="D743" s="8"/>
    </row>
    <row r="744" ht="15.75" customHeight="1">
      <c r="A744" s="8"/>
      <c r="B744" s="8"/>
      <c r="C744" s="8"/>
      <c r="D744" s="8"/>
    </row>
    <row r="745" ht="15.75" customHeight="1">
      <c r="A745" s="8"/>
      <c r="B745" s="8"/>
      <c r="C745" s="8"/>
      <c r="D745" s="8"/>
    </row>
    <row r="746" ht="15.75" customHeight="1">
      <c r="A746" s="8"/>
      <c r="B746" s="8"/>
      <c r="C746" s="8"/>
      <c r="D746" s="8"/>
    </row>
    <row r="747" ht="15.75" customHeight="1">
      <c r="A747" s="8"/>
      <c r="B747" s="8"/>
      <c r="C747" s="8"/>
      <c r="D747" s="8"/>
    </row>
    <row r="748" ht="15.75" customHeight="1">
      <c r="A748" s="8"/>
      <c r="B748" s="8"/>
      <c r="C748" s="8"/>
      <c r="D748" s="8"/>
    </row>
    <row r="749" ht="15.75" customHeight="1">
      <c r="A749" s="8"/>
      <c r="B749" s="8"/>
      <c r="C749" s="8"/>
      <c r="D749" s="8"/>
    </row>
    <row r="750" ht="15.75" customHeight="1">
      <c r="A750" s="8"/>
      <c r="B750" s="8"/>
      <c r="C750" s="8"/>
      <c r="D750" s="8"/>
    </row>
    <row r="751" ht="15.75" customHeight="1">
      <c r="A751" s="8"/>
      <c r="B751" s="8"/>
      <c r="C751" s="8"/>
      <c r="D751" s="8"/>
    </row>
    <row r="752" ht="15.75" customHeight="1">
      <c r="A752" s="8"/>
      <c r="B752" s="8"/>
      <c r="C752" s="8"/>
      <c r="D752" s="8"/>
    </row>
    <row r="753" ht="15.75" customHeight="1">
      <c r="A753" s="8"/>
      <c r="B753" s="8"/>
      <c r="C753" s="8"/>
      <c r="D753" s="8"/>
    </row>
    <row r="754" ht="15.75" customHeight="1">
      <c r="A754" s="8"/>
      <c r="B754" s="8"/>
      <c r="C754" s="8"/>
      <c r="D754" s="8"/>
    </row>
    <row r="755" ht="15.75" customHeight="1">
      <c r="A755" s="8"/>
      <c r="B755" s="8"/>
      <c r="C755" s="8"/>
      <c r="D755" s="8"/>
    </row>
    <row r="756" ht="15.75" customHeight="1">
      <c r="A756" s="8"/>
      <c r="B756" s="8"/>
      <c r="C756" s="8"/>
      <c r="D756" s="8"/>
    </row>
    <row r="757" ht="15.75" customHeight="1">
      <c r="A757" s="8"/>
      <c r="B757" s="8"/>
      <c r="C757" s="8"/>
      <c r="D757" s="8"/>
    </row>
    <row r="758" ht="15.75" customHeight="1">
      <c r="A758" s="8"/>
      <c r="B758" s="8"/>
      <c r="C758" s="8"/>
      <c r="D758" s="8"/>
    </row>
    <row r="759" ht="15.75" customHeight="1">
      <c r="A759" s="8"/>
      <c r="B759" s="8"/>
      <c r="C759" s="8"/>
      <c r="D759" s="8"/>
    </row>
    <row r="760" ht="15.75" customHeight="1">
      <c r="A760" s="8"/>
      <c r="B760" s="8"/>
      <c r="C760" s="8"/>
      <c r="D760" s="8"/>
    </row>
    <row r="761" ht="15.75" customHeight="1">
      <c r="A761" s="8"/>
      <c r="B761" s="8"/>
      <c r="C761" s="8"/>
      <c r="D761" s="8"/>
    </row>
    <row r="762" ht="15.75" customHeight="1">
      <c r="A762" s="8"/>
      <c r="B762" s="8"/>
      <c r="C762" s="8"/>
      <c r="D762" s="8"/>
    </row>
    <row r="763" ht="15.75" customHeight="1">
      <c r="A763" s="8"/>
      <c r="B763" s="8"/>
      <c r="C763" s="8"/>
      <c r="D763" s="8"/>
    </row>
    <row r="764" ht="15.75" customHeight="1">
      <c r="A764" s="8"/>
      <c r="B764" s="8"/>
      <c r="C764" s="8"/>
      <c r="D764" s="8"/>
    </row>
    <row r="765" ht="15.75" customHeight="1">
      <c r="A765" s="8"/>
      <c r="B765" s="8"/>
      <c r="C765" s="8"/>
      <c r="D765" s="8"/>
    </row>
    <row r="766" ht="15.75" customHeight="1">
      <c r="A766" s="8"/>
      <c r="B766" s="8"/>
      <c r="C766" s="8"/>
      <c r="D766" s="8"/>
    </row>
    <row r="767" ht="15.75" customHeight="1">
      <c r="A767" s="8"/>
      <c r="B767" s="8"/>
      <c r="C767" s="8"/>
      <c r="D767" s="8"/>
    </row>
    <row r="768" ht="15.75" customHeight="1">
      <c r="A768" s="8"/>
      <c r="B768" s="8"/>
      <c r="C768" s="8"/>
      <c r="D768" s="8"/>
    </row>
    <row r="769" ht="15.75" customHeight="1">
      <c r="A769" s="8"/>
      <c r="B769" s="8"/>
      <c r="C769" s="8"/>
      <c r="D769" s="8"/>
    </row>
    <row r="770" ht="15.75" customHeight="1">
      <c r="A770" s="8"/>
      <c r="B770" s="8"/>
      <c r="C770" s="8"/>
      <c r="D770" s="8"/>
    </row>
    <row r="771" ht="15.75" customHeight="1">
      <c r="A771" s="8"/>
      <c r="B771" s="8"/>
      <c r="C771" s="8"/>
      <c r="D771" s="8"/>
    </row>
    <row r="772" ht="15.75" customHeight="1">
      <c r="A772" s="8"/>
      <c r="B772" s="8"/>
      <c r="C772" s="8"/>
      <c r="D772" s="8"/>
    </row>
    <row r="773" ht="15.75" customHeight="1">
      <c r="A773" s="8"/>
      <c r="B773" s="8"/>
      <c r="C773" s="8"/>
      <c r="D773" s="8"/>
    </row>
    <row r="774" ht="15.75" customHeight="1">
      <c r="A774" s="8"/>
      <c r="B774" s="8"/>
      <c r="C774" s="8"/>
      <c r="D774" s="8"/>
    </row>
    <row r="775" ht="15.75" customHeight="1">
      <c r="A775" s="8"/>
      <c r="B775" s="8"/>
      <c r="C775" s="8"/>
      <c r="D775" s="8"/>
    </row>
    <row r="776" ht="15.75" customHeight="1">
      <c r="A776" s="8"/>
      <c r="B776" s="8"/>
      <c r="C776" s="8"/>
      <c r="D776" s="8"/>
    </row>
    <row r="777" ht="15.75" customHeight="1">
      <c r="A777" s="8"/>
      <c r="B777" s="8"/>
      <c r="C777" s="8"/>
      <c r="D777" s="8"/>
    </row>
    <row r="778" ht="15.75" customHeight="1">
      <c r="A778" s="8"/>
      <c r="B778" s="8"/>
      <c r="C778" s="8"/>
      <c r="D778" s="8"/>
    </row>
    <row r="779" ht="15.75" customHeight="1">
      <c r="A779" s="8"/>
      <c r="B779" s="8"/>
      <c r="C779" s="8"/>
      <c r="D779" s="8"/>
    </row>
    <row r="780" ht="15.75" customHeight="1">
      <c r="A780" s="8"/>
      <c r="B780" s="8"/>
      <c r="C780" s="8"/>
      <c r="D780" s="8"/>
    </row>
    <row r="781" ht="15.75" customHeight="1">
      <c r="A781" s="8"/>
      <c r="B781" s="8"/>
      <c r="C781" s="8"/>
      <c r="D781" s="8"/>
    </row>
    <row r="782" ht="15.75" customHeight="1">
      <c r="A782" s="8"/>
      <c r="B782" s="8"/>
      <c r="C782" s="8"/>
      <c r="D782" s="8"/>
    </row>
    <row r="783" ht="15.75" customHeight="1">
      <c r="A783" s="8"/>
      <c r="B783" s="8"/>
      <c r="C783" s="8"/>
      <c r="D783" s="8"/>
    </row>
    <row r="784" ht="15.75" customHeight="1">
      <c r="A784" s="8"/>
      <c r="B784" s="8"/>
      <c r="C784" s="8"/>
      <c r="D784" s="8"/>
    </row>
    <row r="785" ht="15.75" customHeight="1">
      <c r="A785" s="8"/>
      <c r="B785" s="8"/>
      <c r="C785" s="8"/>
      <c r="D785" s="8"/>
    </row>
    <row r="786" ht="15.75" customHeight="1">
      <c r="A786" s="8"/>
      <c r="B786" s="8"/>
      <c r="C786" s="8"/>
      <c r="D786" s="8"/>
    </row>
    <row r="787" ht="15.75" customHeight="1">
      <c r="A787" s="8"/>
      <c r="B787" s="8"/>
      <c r="C787" s="8"/>
      <c r="D787" s="8"/>
    </row>
    <row r="788" ht="15.75" customHeight="1">
      <c r="A788" s="8"/>
      <c r="B788" s="8"/>
      <c r="C788" s="8"/>
      <c r="D788" s="8"/>
    </row>
    <row r="789" ht="15.75" customHeight="1">
      <c r="A789" s="8"/>
      <c r="B789" s="8"/>
      <c r="C789" s="8"/>
      <c r="D789" s="8"/>
    </row>
    <row r="790" ht="15.75" customHeight="1">
      <c r="A790" s="8"/>
      <c r="B790" s="8"/>
      <c r="C790" s="8"/>
      <c r="D790" s="8"/>
    </row>
    <row r="791" ht="15.75" customHeight="1">
      <c r="A791" s="8"/>
      <c r="B791" s="8"/>
      <c r="C791" s="8"/>
      <c r="D791" s="8"/>
    </row>
    <row r="792" ht="15.75" customHeight="1">
      <c r="A792" s="8"/>
      <c r="B792" s="8"/>
      <c r="C792" s="8"/>
      <c r="D792" s="8"/>
    </row>
    <row r="793" ht="15.75" customHeight="1">
      <c r="A793" s="8"/>
      <c r="B793" s="8"/>
      <c r="C793" s="8"/>
      <c r="D793" s="8"/>
    </row>
    <row r="794" ht="15.75" customHeight="1">
      <c r="A794" s="8"/>
      <c r="B794" s="8"/>
      <c r="C794" s="8"/>
      <c r="D794" s="8"/>
    </row>
    <row r="795" ht="15.75" customHeight="1">
      <c r="A795" s="8"/>
      <c r="B795" s="8"/>
      <c r="C795" s="8"/>
      <c r="D795" s="8"/>
    </row>
    <row r="796" ht="15.75" customHeight="1">
      <c r="A796" s="8"/>
      <c r="B796" s="8"/>
      <c r="C796" s="8"/>
      <c r="D796" s="8"/>
    </row>
    <row r="797" ht="15.75" customHeight="1">
      <c r="A797" s="8"/>
      <c r="B797" s="8"/>
      <c r="C797" s="8"/>
      <c r="D797" s="8"/>
    </row>
    <row r="798" ht="15.75" customHeight="1">
      <c r="A798" s="8"/>
      <c r="B798" s="8"/>
      <c r="C798" s="8"/>
      <c r="D798" s="8"/>
    </row>
    <row r="799" ht="15.75" customHeight="1">
      <c r="A799" s="8"/>
      <c r="B799" s="8"/>
      <c r="C799" s="8"/>
      <c r="D799" s="8"/>
    </row>
    <row r="800" ht="15.75" customHeight="1">
      <c r="A800" s="8"/>
      <c r="B800" s="8"/>
      <c r="C800" s="8"/>
      <c r="D800" s="8"/>
    </row>
    <row r="801" ht="15.75" customHeight="1">
      <c r="A801" s="8"/>
      <c r="B801" s="8"/>
      <c r="C801" s="8"/>
      <c r="D801" s="8"/>
    </row>
    <row r="802" ht="15.75" customHeight="1">
      <c r="A802" s="8"/>
      <c r="B802" s="8"/>
      <c r="C802" s="8"/>
      <c r="D802" s="8"/>
    </row>
    <row r="803" ht="15.75" customHeight="1">
      <c r="A803" s="8"/>
      <c r="B803" s="8"/>
      <c r="C803" s="8"/>
      <c r="D803" s="8"/>
    </row>
    <row r="804" ht="15.75" customHeight="1">
      <c r="A804" s="8"/>
      <c r="B804" s="8"/>
      <c r="C804" s="8"/>
      <c r="D804" s="8"/>
    </row>
    <row r="805" ht="15.75" customHeight="1">
      <c r="A805" s="8"/>
      <c r="B805" s="8"/>
      <c r="C805" s="8"/>
      <c r="D805" s="8"/>
    </row>
    <row r="806" ht="15.75" customHeight="1">
      <c r="A806" s="8"/>
      <c r="B806" s="8"/>
      <c r="C806" s="8"/>
      <c r="D806" s="8"/>
    </row>
    <row r="807" ht="15.75" customHeight="1">
      <c r="A807" s="8"/>
      <c r="B807" s="8"/>
      <c r="C807" s="8"/>
      <c r="D807" s="8"/>
    </row>
    <row r="808" ht="15.75" customHeight="1">
      <c r="A808" s="8"/>
      <c r="B808" s="8"/>
      <c r="C808" s="8"/>
      <c r="D808" s="8"/>
    </row>
    <row r="809" ht="15.75" customHeight="1">
      <c r="A809" s="8"/>
      <c r="B809" s="8"/>
      <c r="C809" s="8"/>
      <c r="D809" s="8"/>
    </row>
    <row r="810" ht="15.75" customHeight="1">
      <c r="A810" s="8"/>
      <c r="B810" s="8"/>
      <c r="C810" s="8"/>
      <c r="D810" s="8"/>
    </row>
    <row r="811" ht="15.75" customHeight="1">
      <c r="A811" s="8"/>
      <c r="B811" s="8"/>
      <c r="C811" s="8"/>
      <c r="D811" s="8"/>
    </row>
    <row r="812" ht="15.75" customHeight="1">
      <c r="A812" s="8"/>
      <c r="B812" s="8"/>
      <c r="C812" s="8"/>
      <c r="D812" s="8"/>
    </row>
    <row r="813" ht="15.75" customHeight="1">
      <c r="A813" s="8"/>
      <c r="B813" s="8"/>
      <c r="C813" s="8"/>
      <c r="D813" s="8"/>
    </row>
    <row r="814" ht="15.75" customHeight="1">
      <c r="A814" s="8"/>
      <c r="B814" s="8"/>
      <c r="C814" s="8"/>
      <c r="D814" s="8"/>
    </row>
    <row r="815" ht="15.75" customHeight="1">
      <c r="A815" s="8"/>
      <c r="B815" s="8"/>
      <c r="C815" s="8"/>
      <c r="D815" s="8"/>
    </row>
    <row r="816" ht="15.75" customHeight="1">
      <c r="A816" s="8"/>
      <c r="B816" s="8"/>
      <c r="C816" s="8"/>
      <c r="D816" s="8"/>
    </row>
    <row r="817" ht="15.75" customHeight="1">
      <c r="A817" s="8"/>
      <c r="B817" s="8"/>
      <c r="C817" s="8"/>
      <c r="D817" s="8"/>
    </row>
    <row r="818" ht="15.75" customHeight="1">
      <c r="A818" s="8"/>
      <c r="B818" s="8"/>
      <c r="C818" s="8"/>
      <c r="D818" s="8"/>
    </row>
    <row r="819" ht="15.75" customHeight="1">
      <c r="A819" s="8"/>
      <c r="B819" s="8"/>
      <c r="C819" s="8"/>
      <c r="D819" s="8"/>
    </row>
    <row r="820" ht="15.75" customHeight="1">
      <c r="A820" s="8"/>
      <c r="B820" s="8"/>
      <c r="C820" s="8"/>
      <c r="D820" s="8"/>
    </row>
    <row r="821" ht="15.75" customHeight="1">
      <c r="A821" s="8"/>
      <c r="B821" s="8"/>
      <c r="C821" s="8"/>
      <c r="D821" s="8"/>
    </row>
    <row r="822" ht="15.75" customHeight="1">
      <c r="A822" s="8"/>
      <c r="B822" s="8"/>
      <c r="C822" s="8"/>
      <c r="D822" s="8"/>
    </row>
    <row r="823" ht="15.75" customHeight="1">
      <c r="A823" s="8"/>
      <c r="B823" s="8"/>
      <c r="C823" s="8"/>
      <c r="D823" s="8"/>
    </row>
    <row r="824" ht="15.75" customHeight="1">
      <c r="A824" s="8"/>
      <c r="B824" s="8"/>
      <c r="C824" s="8"/>
      <c r="D824" s="8"/>
    </row>
    <row r="825" ht="15.75" customHeight="1">
      <c r="A825" s="8"/>
      <c r="B825" s="8"/>
      <c r="C825" s="8"/>
      <c r="D825" s="8"/>
    </row>
    <row r="826" ht="15.75" customHeight="1">
      <c r="A826" s="8"/>
      <c r="B826" s="8"/>
      <c r="C826" s="8"/>
      <c r="D826" s="8"/>
    </row>
    <row r="827" ht="15.75" customHeight="1">
      <c r="A827" s="8"/>
      <c r="B827" s="8"/>
      <c r="C827" s="8"/>
      <c r="D827" s="8"/>
    </row>
    <row r="828" ht="15.75" customHeight="1">
      <c r="A828" s="8"/>
      <c r="B828" s="8"/>
      <c r="C828" s="8"/>
      <c r="D828" s="8"/>
    </row>
    <row r="829" ht="15.75" customHeight="1">
      <c r="A829" s="8"/>
      <c r="B829" s="8"/>
      <c r="C829" s="8"/>
      <c r="D829" s="8"/>
    </row>
    <row r="830" ht="15.75" customHeight="1">
      <c r="A830" s="8"/>
      <c r="B830" s="8"/>
      <c r="C830" s="8"/>
      <c r="D830" s="8"/>
    </row>
    <row r="831" ht="15.75" customHeight="1">
      <c r="A831" s="8"/>
      <c r="B831" s="8"/>
      <c r="C831" s="8"/>
      <c r="D831" s="8"/>
    </row>
    <row r="832" ht="15.75" customHeight="1">
      <c r="A832" s="8"/>
      <c r="B832" s="8"/>
      <c r="C832" s="8"/>
      <c r="D832" s="8"/>
    </row>
    <row r="833" ht="15.75" customHeight="1">
      <c r="A833" s="8"/>
      <c r="B833" s="8"/>
      <c r="C833" s="8"/>
      <c r="D833" s="8"/>
    </row>
    <row r="834" ht="15.75" customHeight="1">
      <c r="A834" s="8"/>
      <c r="B834" s="8"/>
      <c r="C834" s="8"/>
      <c r="D834" s="8"/>
    </row>
    <row r="835" ht="15.75" customHeight="1">
      <c r="A835" s="8"/>
      <c r="B835" s="8"/>
      <c r="C835" s="8"/>
      <c r="D835" s="8"/>
    </row>
    <row r="836" ht="15.75" customHeight="1">
      <c r="A836" s="8"/>
      <c r="B836" s="8"/>
      <c r="C836" s="8"/>
      <c r="D836" s="8"/>
    </row>
    <row r="837" ht="15.75" customHeight="1">
      <c r="A837" s="8"/>
      <c r="B837" s="8"/>
      <c r="C837" s="8"/>
      <c r="D837" s="8"/>
    </row>
    <row r="838" ht="15.75" customHeight="1">
      <c r="A838" s="8"/>
      <c r="B838" s="8"/>
      <c r="C838" s="8"/>
      <c r="D838" s="8"/>
    </row>
    <row r="839" ht="15.75" customHeight="1">
      <c r="A839" s="8"/>
      <c r="B839" s="8"/>
      <c r="C839" s="8"/>
      <c r="D839" s="8"/>
    </row>
    <row r="840" ht="15.75" customHeight="1">
      <c r="A840" s="8"/>
      <c r="B840" s="8"/>
      <c r="C840" s="8"/>
      <c r="D840" s="8"/>
    </row>
    <row r="841" ht="15.75" customHeight="1">
      <c r="A841" s="8"/>
      <c r="B841" s="8"/>
      <c r="C841" s="8"/>
      <c r="D841" s="8"/>
    </row>
    <row r="842" ht="15.75" customHeight="1">
      <c r="A842" s="8"/>
      <c r="B842" s="8"/>
      <c r="C842" s="8"/>
      <c r="D842" s="8"/>
    </row>
    <row r="843" ht="15.75" customHeight="1">
      <c r="A843" s="8"/>
      <c r="B843" s="8"/>
      <c r="C843" s="8"/>
      <c r="D843" s="8"/>
    </row>
    <row r="844" ht="15.75" customHeight="1">
      <c r="A844" s="8"/>
      <c r="B844" s="8"/>
      <c r="C844" s="8"/>
      <c r="D844" s="8"/>
    </row>
    <row r="845" ht="15.75" customHeight="1">
      <c r="A845" s="8"/>
      <c r="B845" s="8"/>
      <c r="C845" s="8"/>
      <c r="D845" s="8"/>
    </row>
    <row r="846" ht="15.75" customHeight="1">
      <c r="A846" s="8"/>
      <c r="B846" s="8"/>
      <c r="C846" s="8"/>
      <c r="D846" s="8"/>
    </row>
    <row r="847" ht="15.75" customHeight="1">
      <c r="A847" s="8"/>
      <c r="B847" s="8"/>
      <c r="C847" s="8"/>
      <c r="D847" s="8"/>
    </row>
    <row r="848" ht="15.75" customHeight="1">
      <c r="A848" s="8"/>
      <c r="B848" s="8"/>
      <c r="C848" s="8"/>
      <c r="D848" s="8"/>
    </row>
    <row r="849" ht="15.75" customHeight="1">
      <c r="A849" s="8"/>
      <c r="B849" s="8"/>
      <c r="C849" s="8"/>
      <c r="D849" s="8"/>
    </row>
    <row r="850" ht="15.75" customHeight="1">
      <c r="A850" s="8"/>
      <c r="B850" s="8"/>
      <c r="C850" s="8"/>
      <c r="D850" s="8"/>
    </row>
    <row r="851" ht="15.75" customHeight="1">
      <c r="A851" s="8"/>
      <c r="B851" s="8"/>
      <c r="C851" s="8"/>
      <c r="D851" s="8"/>
    </row>
    <row r="852" ht="15.75" customHeight="1">
      <c r="A852" s="8"/>
      <c r="B852" s="8"/>
      <c r="C852" s="8"/>
      <c r="D852" s="8"/>
    </row>
    <row r="853" ht="15.75" customHeight="1">
      <c r="A853" s="8"/>
      <c r="B853" s="8"/>
      <c r="C853" s="8"/>
      <c r="D853" s="8"/>
    </row>
    <row r="854" ht="15.75" customHeight="1">
      <c r="A854" s="8"/>
      <c r="B854" s="8"/>
      <c r="C854" s="8"/>
      <c r="D854" s="8"/>
    </row>
    <row r="855" ht="15.75" customHeight="1">
      <c r="A855" s="8"/>
      <c r="B855" s="8"/>
      <c r="C855" s="8"/>
      <c r="D855" s="8"/>
    </row>
    <row r="856" ht="15.75" customHeight="1">
      <c r="A856" s="8"/>
      <c r="B856" s="8"/>
      <c r="C856" s="8"/>
      <c r="D856" s="8"/>
    </row>
    <row r="857" ht="15.75" customHeight="1">
      <c r="A857" s="8"/>
      <c r="B857" s="8"/>
      <c r="C857" s="8"/>
      <c r="D857" s="8"/>
    </row>
    <row r="858" ht="15.75" customHeight="1">
      <c r="A858" s="8"/>
      <c r="B858" s="8"/>
      <c r="C858" s="8"/>
      <c r="D858" s="8"/>
    </row>
    <row r="859" ht="15.75" customHeight="1">
      <c r="A859" s="8"/>
      <c r="B859" s="8"/>
      <c r="C859" s="8"/>
      <c r="D859" s="8"/>
    </row>
    <row r="860" ht="15.75" customHeight="1">
      <c r="A860" s="8"/>
      <c r="B860" s="8"/>
      <c r="C860" s="8"/>
      <c r="D860" s="8"/>
    </row>
    <row r="861" ht="15.75" customHeight="1">
      <c r="A861" s="8"/>
      <c r="B861" s="8"/>
      <c r="C861" s="8"/>
      <c r="D861" s="8"/>
    </row>
    <row r="862" ht="15.75" customHeight="1">
      <c r="A862" s="8"/>
      <c r="B862" s="8"/>
      <c r="C862" s="8"/>
      <c r="D862" s="8"/>
    </row>
    <row r="863" ht="15.75" customHeight="1">
      <c r="A863" s="8"/>
      <c r="B863" s="8"/>
      <c r="C863" s="8"/>
      <c r="D863" s="8"/>
    </row>
    <row r="864" ht="15.75" customHeight="1">
      <c r="A864" s="8"/>
      <c r="B864" s="8"/>
      <c r="C864" s="8"/>
      <c r="D864" s="8"/>
    </row>
    <row r="865" ht="15.75" customHeight="1">
      <c r="A865" s="8"/>
      <c r="B865" s="8"/>
      <c r="C865" s="8"/>
      <c r="D865" s="8"/>
    </row>
    <row r="866" ht="15.75" customHeight="1">
      <c r="A866" s="8"/>
      <c r="B866" s="8"/>
      <c r="C866" s="8"/>
      <c r="D866" s="8"/>
    </row>
    <row r="867" ht="15.75" customHeight="1">
      <c r="A867" s="8"/>
      <c r="B867" s="8"/>
      <c r="C867" s="8"/>
      <c r="D867" s="8"/>
    </row>
    <row r="868" ht="15.75" customHeight="1">
      <c r="A868" s="8"/>
      <c r="B868" s="8"/>
      <c r="C868" s="8"/>
      <c r="D868" s="8"/>
    </row>
    <row r="869" ht="15.75" customHeight="1">
      <c r="A869" s="8"/>
      <c r="B869" s="8"/>
      <c r="C869" s="8"/>
      <c r="D869" s="8"/>
    </row>
    <row r="870" ht="15.75" customHeight="1">
      <c r="A870" s="8"/>
      <c r="B870" s="8"/>
      <c r="C870" s="8"/>
      <c r="D870" s="8"/>
    </row>
    <row r="871" ht="15.75" customHeight="1">
      <c r="A871" s="8"/>
      <c r="B871" s="8"/>
      <c r="C871" s="8"/>
      <c r="D871" s="8"/>
    </row>
    <row r="872" ht="15.75" customHeight="1">
      <c r="A872" s="8"/>
      <c r="B872" s="8"/>
      <c r="C872" s="8"/>
      <c r="D872" s="8"/>
    </row>
    <row r="873" ht="15.75" customHeight="1">
      <c r="A873" s="8"/>
      <c r="B873" s="8"/>
      <c r="C873" s="8"/>
      <c r="D873" s="8"/>
    </row>
    <row r="874" ht="15.75" customHeight="1">
      <c r="A874" s="8"/>
      <c r="B874" s="8"/>
      <c r="C874" s="8"/>
      <c r="D874" s="8"/>
    </row>
    <row r="875" ht="15.75" customHeight="1">
      <c r="A875" s="8"/>
      <c r="B875" s="8"/>
      <c r="C875" s="8"/>
      <c r="D875" s="8"/>
    </row>
    <row r="876" ht="15.75" customHeight="1">
      <c r="A876" s="8"/>
      <c r="B876" s="8"/>
      <c r="C876" s="8"/>
      <c r="D876" s="8"/>
    </row>
    <row r="877" ht="15.75" customHeight="1">
      <c r="A877" s="8"/>
      <c r="B877" s="8"/>
      <c r="C877" s="8"/>
      <c r="D877" s="8"/>
    </row>
    <row r="878" ht="15.75" customHeight="1">
      <c r="A878" s="8"/>
      <c r="B878" s="8"/>
      <c r="C878" s="8"/>
      <c r="D878" s="8"/>
    </row>
    <row r="879" ht="15.75" customHeight="1">
      <c r="A879" s="8"/>
      <c r="B879" s="8"/>
      <c r="C879" s="8"/>
      <c r="D879" s="8"/>
    </row>
    <row r="880" ht="15.75" customHeight="1">
      <c r="A880" s="8"/>
      <c r="B880" s="8"/>
      <c r="C880" s="8"/>
      <c r="D880" s="8"/>
    </row>
    <row r="881" ht="15.75" customHeight="1">
      <c r="A881" s="8"/>
      <c r="B881" s="8"/>
      <c r="C881" s="8"/>
      <c r="D881" s="8"/>
    </row>
    <row r="882" ht="15.75" customHeight="1">
      <c r="A882" s="8"/>
      <c r="B882" s="8"/>
      <c r="C882" s="8"/>
      <c r="D882" s="8"/>
    </row>
    <row r="883" ht="15.75" customHeight="1">
      <c r="A883" s="8"/>
      <c r="B883" s="8"/>
      <c r="C883" s="8"/>
      <c r="D883" s="8"/>
    </row>
    <row r="884" ht="15.75" customHeight="1">
      <c r="A884" s="8"/>
      <c r="B884" s="8"/>
      <c r="C884" s="8"/>
      <c r="D884" s="8"/>
    </row>
    <row r="885" ht="15.75" customHeight="1">
      <c r="A885" s="8"/>
      <c r="B885" s="8"/>
      <c r="C885" s="8"/>
      <c r="D885" s="8"/>
    </row>
    <row r="886" ht="15.75" customHeight="1">
      <c r="A886" s="8"/>
      <c r="B886" s="8"/>
      <c r="C886" s="8"/>
      <c r="D886" s="8"/>
    </row>
    <row r="887" ht="15.75" customHeight="1">
      <c r="A887" s="8"/>
      <c r="B887" s="8"/>
      <c r="C887" s="8"/>
      <c r="D887" s="8"/>
    </row>
    <row r="888" ht="15.75" customHeight="1">
      <c r="A888" s="8"/>
      <c r="B888" s="8"/>
      <c r="C888" s="8"/>
      <c r="D888" s="8"/>
    </row>
    <row r="889" ht="15.75" customHeight="1">
      <c r="A889" s="8"/>
      <c r="B889" s="8"/>
      <c r="C889" s="8"/>
      <c r="D889" s="8"/>
    </row>
    <row r="890" ht="15.75" customHeight="1">
      <c r="A890" s="8"/>
      <c r="B890" s="8"/>
      <c r="C890" s="8"/>
      <c r="D890" s="8"/>
    </row>
    <row r="891" ht="15.75" customHeight="1">
      <c r="A891" s="8"/>
      <c r="B891" s="8"/>
      <c r="C891" s="8"/>
      <c r="D891" s="8"/>
    </row>
    <row r="892" ht="15.75" customHeight="1">
      <c r="A892" s="8"/>
      <c r="B892" s="8"/>
      <c r="C892" s="8"/>
      <c r="D892" s="8"/>
    </row>
    <row r="893" ht="15.75" customHeight="1">
      <c r="A893" s="8"/>
      <c r="B893" s="8"/>
      <c r="C893" s="8"/>
      <c r="D893" s="8"/>
    </row>
    <row r="894" ht="15.75" customHeight="1">
      <c r="A894" s="8"/>
      <c r="B894" s="8"/>
      <c r="C894" s="8"/>
      <c r="D894" s="8"/>
    </row>
    <row r="895" ht="15.75" customHeight="1">
      <c r="A895" s="8"/>
      <c r="B895" s="8"/>
      <c r="C895" s="8"/>
      <c r="D895" s="8"/>
    </row>
    <row r="896" ht="15.75" customHeight="1">
      <c r="A896" s="8"/>
      <c r="B896" s="8"/>
      <c r="C896" s="8"/>
      <c r="D896" s="8"/>
    </row>
    <row r="897" ht="15.75" customHeight="1">
      <c r="A897" s="8"/>
      <c r="B897" s="8"/>
      <c r="C897" s="8"/>
      <c r="D897" s="8"/>
    </row>
    <row r="898" ht="15.75" customHeight="1">
      <c r="A898" s="8"/>
      <c r="B898" s="8"/>
      <c r="C898" s="8"/>
      <c r="D898" s="8"/>
    </row>
    <row r="899" ht="15.75" customHeight="1">
      <c r="A899" s="8"/>
      <c r="B899" s="8"/>
      <c r="C899" s="8"/>
      <c r="D899" s="8"/>
    </row>
    <row r="900" ht="15.75" customHeight="1">
      <c r="A900" s="8"/>
      <c r="B900" s="8"/>
      <c r="C900" s="8"/>
      <c r="D900" s="8"/>
    </row>
    <row r="901" ht="15.75" customHeight="1">
      <c r="A901" s="8"/>
      <c r="B901" s="8"/>
      <c r="C901" s="8"/>
      <c r="D901" s="8"/>
    </row>
    <row r="902" ht="15.75" customHeight="1">
      <c r="A902" s="8"/>
      <c r="B902" s="8"/>
      <c r="C902" s="8"/>
      <c r="D902" s="8"/>
    </row>
    <row r="903" ht="15.75" customHeight="1">
      <c r="A903" s="8"/>
      <c r="B903" s="8"/>
      <c r="C903" s="8"/>
      <c r="D903" s="8"/>
    </row>
    <row r="904" ht="15.75" customHeight="1">
      <c r="A904" s="8"/>
      <c r="B904" s="8"/>
      <c r="C904" s="8"/>
      <c r="D904" s="8"/>
    </row>
    <row r="905" ht="15.75" customHeight="1">
      <c r="A905" s="8"/>
      <c r="B905" s="8"/>
      <c r="C905" s="8"/>
      <c r="D905" s="8"/>
    </row>
    <row r="906" ht="15.75" customHeight="1">
      <c r="A906" s="8"/>
      <c r="B906" s="8"/>
      <c r="C906" s="8"/>
      <c r="D906" s="8"/>
    </row>
    <row r="907" ht="15.75" customHeight="1">
      <c r="A907" s="8"/>
      <c r="B907" s="8"/>
      <c r="C907" s="8"/>
      <c r="D907" s="8"/>
    </row>
    <row r="908" ht="15.75" customHeight="1">
      <c r="A908" s="8"/>
      <c r="B908" s="8"/>
      <c r="C908" s="8"/>
      <c r="D908" s="8"/>
    </row>
    <row r="909" ht="15.75" customHeight="1">
      <c r="A909" s="8"/>
      <c r="B909" s="8"/>
      <c r="C909" s="8"/>
      <c r="D909" s="8"/>
    </row>
    <row r="910" ht="15.75" customHeight="1">
      <c r="A910" s="8"/>
      <c r="B910" s="8"/>
      <c r="C910" s="8"/>
      <c r="D910" s="8"/>
    </row>
    <row r="911" ht="15.75" customHeight="1">
      <c r="A911" s="8"/>
      <c r="B911" s="8"/>
      <c r="C911" s="8"/>
      <c r="D911" s="8"/>
    </row>
    <row r="912" ht="15.75" customHeight="1">
      <c r="A912" s="8"/>
      <c r="B912" s="8"/>
      <c r="C912" s="8"/>
      <c r="D912" s="8"/>
    </row>
    <row r="913" ht="15.75" customHeight="1">
      <c r="A913" s="8"/>
      <c r="B913" s="8"/>
      <c r="C913" s="8"/>
      <c r="D913" s="8"/>
    </row>
    <row r="914" ht="15.75" customHeight="1">
      <c r="A914" s="8"/>
      <c r="B914" s="8"/>
      <c r="C914" s="8"/>
      <c r="D914" s="8"/>
    </row>
    <row r="915" ht="15.75" customHeight="1">
      <c r="A915" s="8"/>
      <c r="B915" s="8"/>
      <c r="C915" s="8"/>
      <c r="D915" s="8"/>
    </row>
    <row r="916" ht="15.75" customHeight="1">
      <c r="A916" s="8"/>
      <c r="B916" s="8"/>
      <c r="C916" s="8"/>
      <c r="D916" s="8"/>
    </row>
    <row r="917" ht="15.75" customHeight="1">
      <c r="A917" s="8"/>
      <c r="B917" s="8"/>
      <c r="C917" s="8"/>
      <c r="D917" s="8"/>
    </row>
    <row r="918" ht="15.75" customHeight="1">
      <c r="A918" s="8"/>
      <c r="B918" s="8"/>
      <c r="C918" s="8"/>
      <c r="D918" s="8"/>
    </row>
    <row r="919" ht="15.75" customHeight="1">
      <c r="A919" s="8"/>
      <c r="B919" s="8"/>
      <c r="C919" s="8"/>
      <c r="D919" s="8"/>
    </row>
    <row r="920" ht="15.75" customHeight="1">
      <c r="A920" s="8"/>
      <c r="B920" s="8"/>
      <c r="C920" s="8"/>
      <c r="D920" s="8"/>
    </row>
    <row r="921" ht="15.75" customHeight="1">
      <c r="A921" s="8"/>
      <c r="B921" s="8"/>
      <c r="C921" s="8"/>
      <c r="D921" s="8"/>
    </row>
    <row r="922" ht="15.75" customHeight="1">
      <c r="A922" s="8"/>
      <c r="B922" s="8"/>
      <c r="C922" s="8"/>
      <c r="D922" s="8"/>
    </row>
    <row r="923" ht="15.75" customHeight="1">
      <c r="A923" s="8"/>
      <c r="B923" s="8"/>
      <c r="C923" s="8"/>
      <c r="D923" s="8"/>
    </row>
    <row r="924" ht="15.75" customHeight="1">
      <c r="A924" s="8"/>
      <c r="B924" s="8"/>
      <c r="C924" s="8"/>
      <c r="D924" s="8"/>
    </row>
    <row r="925" ht="15.75" customHeight="1">
      <c r="A925" s="8"/>
      <c r="B925" s="8"/>
      <c r="C925" s="8"/>
      <c r="D925" s="8"/>
    </row>
    <row r="926" ht="15.75" customHeight="1">
      <c r="A926" s="8"/>
      <c r="B926" s="8"/>
      <c r="C926" s="8"/>
      <c r="D926" s="8"/>
    </row>
    <row r="927" ht="15.75" customHeight="1">
      <c r="A927" s="8"/>
      <c r="B927" s="8"/>
      <c r="C927" s="8"/>
      <c r="D927" s="8"/>
    </row>
    <row r="928" ht="15.75" customHeight="1">
      <c r="A928" s="8"/>
      <c r="B928" s="8"/>
      <c r="C928" s="8"/>
      <c r="D928" s="8"/>
    </row>
    <row r="929" ht="15.75" customHeight="1">
      <c r="A929" s="8"/>
      <c r="B929" s="8"/>
      <c r="C929" s="8"/>
      <c r="D929" s="8"/>
    </row>
    <row r="930" ht="15.75" customHeight="1">
      <c r="A930" s="8"/>
      <c r="B930" s="8"/>
      <c r="C930" s="8"/>
      <c r="D930" s="8"/>
    </row>
    <row r="931" ht="15.75" customHeight="1">
      <c r="A931" s="8"/>
      <c r="B931" s="8"/>
      <c r="C931" s="8"/>
      <c r="D931" s="8"/>
    </row>
    <row r="932" ht="15.75" customHeight="1">
      <c r="A932" s="8"/>
      <c r="B932" s="8"/>
      <c r="C932" s="8"/>
      <c r="D932" s="8"/>
    </row>
    <row r="933" ht="15.75" customHeight="1">
      <c r="A933" s="8"/>
      <c r="B933" s="8"/>
      <c r="C933" s="8"/>
      <c r="D933" s="8"/>
    </row>
    <row r="934" ht="15.75" customHeight="1">
      <c r="A934" s="8"/>
      <c r="B934" s="8"/>
      <c r="C934" s="8"/>
      <c r="D934" s="8"/>
    </row>
    <row r="935" ht="15.75" customHeight="1">
      <c r="A935" s="8"/>
      <c r="B935" s="8"/>
      <c r="C935" s="8"/>
      <c r="D935" s="8"/>
    </row>
    <row r="936" ht="15.75" customHeight="1">
      <c r="A936" s="8"/>
      <c r="B936" s="8"/>
      <c r="C936" s="8"/>
      <c r="D936" s="8"/>
    </row>
    <row r="937" ht="15.75" customHeight="1">
      <c r="A937" s="8"/>
      <c r="B937" s="8"/>
      <c r="C937" s="8"/>
      <c r="D937" s="8"/>
    </row>
    <row r="938" ht="15.75" customHeight="1">
      <c r="A938" s="8"/>
      <c r="B938" s="8"/>
      <c r="C938" s="8"/>
      <c r="D938" s="8"/>
    </row>
    <row r="939" ht="15.75" customHeight="1">
      <c r="A939" s="8"/>
      <c r="B939" s="8"/>
      <c r="C939" s="8"/>
      <c r="D939" s="8"/>
    </row>
    <row r="940" ht="15.75" customHeight="1">
      <c r="A940" s="8"/>
      <c r="B940" s="8"/>
      <c r="C940" s="8"/>
      <c r="D940" s="8"/>
    </row>
    <row r="941" ht="15.75" customHeight="1">
      <c r="A941" s="8"/>
      <c r="B941" s="8"/>
      <c r="C941" s="8"/>
      <c r="D941" s="8"/>
    </row>
    <row r="942" ht="15.75" customHeight="1">
      <c r="A942" s="8"/>
      <c r="B942" s="8"/>
      <c r="C942" s="8"/>
      <c r="D942" s="8"/>
    </row>
    <row r="943" ht="15.75" customHeight="1">
      <c r="A943" s="8"/>
      <c r="B943" s="8"/>
      <c r="C943" s="8"/>
      <c r="D943" s="8"/>
    </row>
    <row r="944" ht="15.75" customHeight="1">
      <c r="A944" s="8"/>
      <c r="B944" s="8"/>
      <c r="C944" s="8"/>
      <c r="D944" s="8"/>
    </row>
    <row r="945" ht="15.75" customHeight="1">
      <c r="A945" s="8"/>
      <c r="B945" s="8"/>
      <c r="C945" s="8"/>
      <c r="D945" s="8"/>
    </row>
    <row r="946" ht="15.75" customHeight="1">
      <c r="A946" s="8"/>
      <c r="B946" s="8"/>
      <c r="C946" s="8"/>
      <c r="D946" s="8"/>
    </row>
    <row r="947" ht="15.75" customHeight="1">
      <c r="A947" s="8"/>
      <c r="B947" s="8"/>
      <c r="C947" s="8"/>
      <c r="D947" s="8"/>
    </row>
    <row r="948" ht="15.75" customHeight="1">
      <c r="A948" s="8"/>
      <c r="B948" s="8"/>
      <c r="C948" s="8"/>
      <c r="D948" s="8"/>
    </row>
    <row r="949" ht="15.75" customHeight="1">
      <c r="A949" s="8"/>
      <c r="B949" s="8"/>
      <c r="C949" s="8"/>
      <c r="D949" s="8"/>
    </row>
    <row r="950" ht="15.75" customHeight="1">
      <c r="A950" s="8"/>
      <c r="B950" s="8"/>
      <c r="C950" s="8"/>
      <c r="D950" s="8"/>
    </row>
    <row r="951" ht="15.75" customHeight="1">
      <c r="A951" s="8"/>
      <c r="B951" s="8"/>
      <c r="C951" s="8"/>
      <c r="D951" s="8"/>
    </row>
    <row r="952" ht="15.75" customHeight="1">
      <c r="A952" s="8"/>
      <c r="B952" s="8"/>
      <c r="C952" s="8"/>
      <c r="D952" s="8"/>
    </row>
    <row r="953" ht="15.75" customHeight="1">
      <c r="A953" s="8"/>
      <c r="B953" s="8"/>
      <c r="C953" s="8"/>
      <c r="D953" s="8"/>
    </row>
    <row r="954" ht="15.75" customHeight="1">
      <c r="A954" s="8"/>
      <c r="B954" s="8"/>
      <c r="C954" s="8"/>
      <c r="D954" s="8"/>
    </row>
    <row r="955" ht="15.75" customHeight="1">
      <c r="A955" s="8"/>
      <c r="B955" s="8"/>
      <c r="C955" s="8"/>
      <c r="D955" s="8"/>
    </row>
    <row r="956" ht="15.75" customHeight="1">
      <c r="A956" s="8"/>
      <c r="B956" s="8"/>
      <c r="C956" s="8"/>
      <c r="D956" s="8"/>
    </row>
    <row r="957" ht="15.75" customHeight="1">
      <c r="A957" s="8"/>
      <c r="B957" s="8"/>
      <c r="C957" s="8"/>
      <c r="D957" s="8"/>
    </row>
    <row r="958" ht="15.75" customHeight="1">
      <c r="A958" s="8"/>
      <c r="B958" s="8"/>
      <c r="C958" s="8"/>
      <c r="D958" s="8"/>
    </row>
    <row r="959" ht="15.75" customHeight="1">
      <c r="A959" s="8"/>
      <c r="B959" s="8"/>
      <c r="C959" s="8"/>
      <c r="D959" s="8"/>
    </row>
    <row r="960" ht="15.75" customHeight="1">
      <c r="A960" s="8"/>
      <c r="B960" s="8"/>
      <c r="C960" s="8"/>
      <c r="D960" s="8"/>
    </row>
    <row r="961" ht="15.75" customHeight="1">
      <c r="A961" s="8"/>
      <c r="B961" s="8"/>
      <c r="C961" s="8"/>
      <c r="D961" s="8"/>
    </row>
    <row r="962" ht="15.75" customHeight="1">
      <c r="A962" s="8"/>
      <c r="B962" s="8"/>
      <c r="C962" s="8"/>
      <c r="D962" s="8"/>
    </row>
    <row r="963" ht="15.75" customHeight="1">
      <c r="A963" s="8"/>
      <c r="B963" s="8"/>
      <c r="C963" s="8"/>
      <c r="D963" s="8"/>
    </row>
    <row r="964" ht="15.75" customHeight="1">
      <c r="A964" s="8"/>
      <c r="B964" s="8"/>
      <c r="C964" s="8"/>
      <c r="D964" s="8"/>
    </row>
    <row r="965" ht="15.75" customHeight="1">
      <c r="A965" s="8"/>
      <c r="B965" s="8"/>
      <c r="C965" s="8"/>
      <c r="D965" s="8"/>
    </row>
    <row r="966" ht="15.75" customHeight="1">
      <c r="A966" s="8"/>
      <c r="B966" s="8"/>
      <c r="C966" s="8"/>
      <c r="D966" s="8"/>
    </row>
    <row r="967" ht="15.75" customHeight="1">
      <c r="A967" s="8"/>
      <c r="B967" s="8"/>
      <c r="C967" s="8"/>
      <c r="D967" s="8"/>
    </row>
    <row r="968" ht="15.75" customHeight="1">
      <c r="A968" s="8"/>
      <c r="B968" s="8"/>
      <c r="C968" s="8"/>
      <c r="D968" s="8"/>
    </row>
    <row r="969" ht="15.75" customHeight="1">
      <c r="A969" s="8"/>
      <c r="B969" s="8"/>
      <c r="C969" s="8"/>
      <c r="D969" s="8"/>
    </row>
    <row r="970" ht="15.75" customHeight="1">
      <c r="A970" s="8"/>
      <c r="B970" s="8"/>
      <c r="C970" s="8"/>
      <c r="D970" s="8"/>
    </row>
    <row r="971" ht="15.75" customHeight="1">
      <c r="A971" s="8"/>
      <c r="B971" s="8"/>
      <c r="C971" s="8"/>
      <c r="D971" s="8"/>
    </row>
    <row r="972" ht="15.75" customHeight="1">
      <c r="A972" s="8"/>
      <c r="B972" s="8"/>
      <c r="C972" s="8"/>
      <c r="D972" s="8"/>
    </row>
    <row r="973" ht="15.75" customHeight="1">
      <c r="A973" s="8"/>
      <c r="B973" s="8"/>
      <c r="C973" s="8"/>
      <c r="D973" s="8"/>
    </row>
    <row r="974" ht="15.75" customHeight="1">
      <c r="A974" s="8"/>
      <c r="B974" s="8"/>
      <c r="C974" s="8"/>
      <c r="D974" s="8"/>
    </row>
    <row r="975" ht="15.75" customHeight="1">
      <c r="A975" s="8"/>
      <c r="B975" s="8"/>
      <c r="C975" s="8"/>
      <c r="D975" s="8"/>
    </row>
    <row r="976" ht="15.75" customHeight="1">
      <c r="A976" s="8"/>
      <c r="B976" s="8"/>
      <c r="C976" s="8"/>
      <c r="D976" s="8"/>
    </row>
    <row r="977" ht="15.75" customHeight="1">
      <c r="A977" s="8"/>
      <c r="B977" s="8"/>
      <c r="C977" s="8"/>
      <c r="D977" s="8"/>
    </row>
    <row r="978" ht="15.75" customHeight="1">
      <c r="A978" s="8"/>
      <c r="B978" s="8"/>
      <c r="C978" s="8"/>
      <c r="D978" s="8"/>
    </row>
    <row r="979" ht="15.75" customHeight="1">
      <c r="A979" s="8"/>
      <c r="B979" s="8"/>
      <c r="C979" s="8"/>
      <c r="D979" s="8"/>
    </row>
    <row r="980" ht="15.75" customHeight="1">
      <c r="A980" s="8"/>
      <c r="B980" s="8"/>
      <c r="C980" s="8"/>
      <c r="D980" s="8"/>
    </row>
    <row r="981" ht="15.75" customHeight="1">
      <c r="A981" s="8"/>
      <c r="B981" s="8"/>
      <c r="C981" s="8"/>
      <c r="D981" s="8"/>
    </row>
    <row r="982" ht="15.75" customHeight="1">
      <c r="A982" s="8"/>
      <c r="B982" s="8"/>
      <c r="C982" s="8"/>
      <c r="D982" s="8"/>
    </row>
    <row r="983" ht="15.75" customHeight="1">
      <c r="A983" s="8"/>
      <c r="B983" s="8"/>
      <c r="C983" s="8"/>
      <c r="D983" s="8"/>
    </row>
    <row r="984" ht="15.75" customHeight="1">
      <c r="A984" s="8"/>
      <c r="B984" s="8"/>
      <c r="C984" s="8"/>
      <c r="D984" s="8"/>
    </row>
    <row r="985" ht="15.75" customHeight="1">
      <c r="A985" s="8"/>
      <c r="B985" s="8"/>
      <c r="C985" s="8"/>
      <c r="D985" s="8"/>
    </row>
    <row r="986" ht="15.75" customHeight="1">
      <c r="A986" s="8"/>
      <c r="B986" s="8"/>
      <c r="C986" s="8"/>
      <c r="D986" s="8"/>
    </row>
    <row r="987" ht="15.75" customHeight="1">
      <c r="A987" s="8"/>
      <c r="B987" s="8"/>
      <c r="C987" s="8"/>
      <c r="D987" s="8"/>
    </row>
    <row r="988" ht="15.75" customHeight="1">
      <c r="A988" s="8"/>
      <c r="B988" s="8"/>
      <c r="C988" s="8"/>
      <c r="D988" s="8"/>
    </row>
    <row r="989" ht="15.75" customHeight="1">
      <c r="A989" s="8"/>
      <c r="B989" s="8"/>
      <c r="C989" s="8"/>
      <c r="D989" s="8"/>
    </row>
    <row r="990" ht="15.75" customHeight="1">
      <c r="A990" s="8"/>
      <c r="B990" s="8"/>
      <c r="C990" s="8"/>
      <c r="D990" s="8"/>
    </row>
    <row r="991" ht="15.75" customHeight="1">
      <c r="A991" s="8"/>
      <c r="B991" s="8"/>
      <c r="C991" s="8"/>
      <c r="D991" s="8"/>
    </row>
    <row r="992" ht="15.75" customHeight="1">
      <c r="A992" s="8"/>
      <c r="B992" s="8"/>
      <c r="C992" s="8"/>
      <c r="D992" s="8"/>
    </row>
    <row r="993" ht="15.75" customHeight="1">
      <c r="A993" s="8"/>
      <c r="B993" s="8"/>
      <c r="C993" s="8"/>
      <c r="D993" s="8"/>
    </row>
    <row r="994" ht="15.75" customHeight="1">
      <c r="A994" s="8"/>
      <c r="B994" s="8"/>
      <c r="C994" s="8"/>
      <c r="D994" s="8"/>
    </row>
    <row r="995" ht="15.75" customHeight="1">
      <c r="A995" s="8"/>
      <c r="B995" s="8"/>
      <c r="C995" s="8"/>
      <c r="D995" s="8"/>
    </row>
    <row r="996" ht="15.75" customHeight="1">
      <c r="A996" s="8"/>
      <c r="B996" s="8"/>
      <c r="C996" s="8"/>
      <c r="D996" s="8"/>
    </row>
    <row r="997" ht="15.75" customHeight="1">
      <c r="A997" s="8"/>
      <c r="B997" s="8"/>
      <c r="C997" s="8"/>
      <c r="D997" s="8"/>
    </row>
    <row r="998" ht="15.75" customHeight="1">
      <c r="A998" s="8"/>
      <c r="B998" s="8"/>
      <c r="C998" s="8"/>
      <c r="D998" s="8"/>
    </row>
    <row r="999" ht="15.75" customHeight="1">
      <c r="A999" s="8"/>
      <c r="B999" s="8"/>
      <c r="C999" s="8"/>
      <c r="D999" s="8"/>
    </row>
    <row r="1000" ht="15.75" customHeight="1">
      <c r="A1000" s="8"/>
      <c r="B1000" s="8"/>
      <c r="C1000" s="8"/>
      <c r="D1000" s="8"/>
    </row>
  </sheetData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86"/>
    <col customWidth="1" min="2" max="2" width="8.29"/>
    <col customWidth="1" min="3" max="3" width="20.0"/>
    <col customWidth="1" min="4" max="4" width="50.71"/>
    <col customWidth="1" min="5" max="5" width="34.0"/>
    <col customWidth="1" min="6" max="6" width="13.29"/>
    <col customWidth="1" min="7" max="7" width="7.29"/>
    <col customWidth="1" min="8" max="8" width="37.0"/>
    <col customWidth="1" min="9" max="9" width="28.43"/>
    <col customWidth="1" min="10" max="26" width="8.71"/>
  </cols>
  <sheetData>
    <row r="1">
      <c r="A1" s="17" t="s">
        <v>918</v>
      </c>
      <c r="B1" s="17" t="s">
        <v>29</v>
      </c>
      <c r="C1" s="17" t="s">
        <v>919</v>
      </c>
      <c r="D1" s="17" t="s">
        <v>920</v>
      </c>
      <c r="E1" s="17" t="s">
        <v>921</v>
      </c>
      <c r="F1" s="17" t="s">
        <v>145</v>
      </c>
      <c r="G1" s="17" t="s">
        <v>146</v>
      </c>
      <c r="H1" s="17" t="s">
        <v>631</v>
      </c>
      <c r="I1" s="17" t="s">
        <v>922</v>
      </c>
    </row>
    <row r="2">
      <c r="A2" s="18" t="s">
        <v>923</v>
      </c>
      <c r="B2" s="19" t="s">
        <v>35</v>
      </c>
      <c r="C2" s="18" t="s">
        <v>924</v>
      </c>
      <c r="D2" s="18" t="s">
        <v>925</v>
      </c>
      <c r="E2" s="18" t="s">
        <v>138</v>
      </c>
      <c r="F2" s="19" t="s">
        <v>118</v>
      </c>
      <c r="G2" s="19" t="s">
        <v>110</v>
      </c>
      <c r="H2" s="18" t="s">
        <v>164</v>
      </c>
      <c r="I2" s="18" t="s">
        <v>926</v>
      </c>
    </row>
    <row r="3">
      <c r="A3" s="20" t="s">
        <v>923</v>
      </c>
      <c r="B3" s="21" t="s">
        <v>35</v>
      </c>
      <c r="C3" s="20" t="s">
        <v>927</v>
      </c>
      <c r="D3" s="20" t="s">
        <v>928</v>
      </c>
      <c r="E3" s="20" t="s">
        <v>929</v>
      </c>
      <c r="F3" s="21" t="s">
        <v>930</v>
      </c>
      <c r="G3" s="21" t="s">
        <v>930</v>
      </c>
      <c r="H3" s="20" t="s">
        <v>931</v>
      </c>
      <c r="I3" s="20" t="s">
        <v>932</v>
      </c>
    </row>
    <row r="4">
      <c r="A4" s="18" t="s">
        <v>933</v>
      </c>
      <c r="B4" s="19" t="s">
        <v>41</v>
      </c>
      <c r="C4" s="18" t="s">
        <v>934</v>
      </c>
      <c r="D4" s="18" t="s">
        <v>935</v>
      </c>
      <c r="E4" s="18" t="s">
        <v>319</v>
      </c>
      <c r="F4" s="19" t="s">
        <v>118</v>
      </c>
      <c r="G4" s="19" t="s">
        <v>110</v>
      </c>
      <c r="H4" s="18" t="s">
        <v>323</v>
      </c>
      <c r="I4" s="18" t="s">
        <v>936</v>
      </c>
    </row>
    <row r="5">
      <c r="A5" s="20" t="s">
        <v>933</v>
      </c>
      <c r="B5" s="21" t="s">
        <v>41</v>
      </c>
      <c r="C5" s="20" t="s">
        <v>934</v>
      </c>
      <c r="D5" s="20" t="s">
        <v>937</v>
      </c>
      <c r="E5" s="20" t="s">
        <v>437</v>
      </c>
      <c r="F5" s="21" t="s">
        <v>118</v>
      </c>
      <c r="G5" s="21" t="s">
        <v>110</v>
      </c>
      <c r="H5" s="20" t="s">
        <v>441</v>
      </c>
      <c r="I5" s="20" t="s">
        <v>936</v>
      </c>
    </row>
    <row r="6">
      <c r="A6" s="18" t="s">
        <v>938</v>
      </c>
      <c r="B6" s="19" t="s">
        <v>41</v>
      </c>
      <c r="C6" s="18" t="s">
        <v>934</v>
      </c>
      <c r="D6" s="18" t="s">
        <v>939</v>
      </c>
      <c r="E6" s="18" t="s">
        <v>127</v>
      </c>
      <c r="F6" s="19" t="s">
        <v>118</v>
      </c>
      <c r="G6" s="19" t="s">
        <v>110</v>
      </c>
      <c r="H6" s="18" t="s">
        <v>395</v>
      </c>
      <c r="I6" s="18" t="s">
        <v>936</v>
      </c>
    </row>
    <row r="7">
      <c r="A7" s="20" t="s">
        <v>938</v>
      </c>
      <c r="B7" s="21" t="s">
        <v>41</v>
      </c>
      <c r="C7" s="20" t="s">
        <v>934</v>
      </c>
      <c r="D7" s="20" t="s">
        <v>940</v>
      </c>
      <c r="E7" s="20" t="s">
        <v>420</v>
      </c>
      <c r="F7" s="21" t="s">
        <v>118</v>
      </c>
      <c r="G7" s="21" t="s">
        <v>110</v>
      </c>
      <c r="H7" s="20" t="s">
        <v>423</v>
      </c>
      <c r="I7" s="20" t="s">
        <v>936</v>
      </c>
    </row>
    <row r="8">
      <c r="A8" s="18" t="s">
        <v>941</v>
      </c>
      <c r="B8" s="19" t="s">
        <v>41</v>
      </c>
      <c r="C8" s="18" t="s">
        <v>934</v>
      </c>
      <c r="D8" s="18" t="s">
        <v>942</v>
      </c>
      <c r="E8" s="18" t="s">
        <v>370</v>
      </c>
      <c r="F8" s="19" t="s">
        <v>118</v>
      </c>
      <c r="G8" s="19" t="s">
        <v>110</v>
      </c>
      <c r="H8" s="18" t="s">
        <v>373</v>
      </c>
      <c r="I8" s="18" t="s">
        <v>936</v>
      </c>
    </row>
    <row r="9">
      <c r="A9" s="20" t="s">
        <v>941</v>
      </c>
      <c r="B9" s="21" t="s">
        <v>41</v>
      </c>
      <c r="C9" s="20" t="s">
        <v>934</v>
      </c>
      <c r="D9" s="20" t="s">
        <v>943</v>
      </c>
      <c r="E9" s="20" t="s">
        <v>299</v>
      </c>
      <c r="F9" s="21" t="s">
        <v>118</v>
      </c>
      <c r="G9" s="21" t="s">
        <v>110</v>
      </c>
      <c r="H9" s="20" t="s">
        <v>298</v>
      </c>
      <c r="I9" s="20" t="s">
        <v>944</v>
      </c>
    </row>
    <row r="10">
      <c r="A10" s="18" t="s">
        <v>941</v>
      </c>
      <c r="B10" s="19" t="s">
        <v>35</v>
      </c>
      <c r="C10" s="18" t="s">
        <v>945</v>
      </c>
      <c r="D10" s="18" t="s">
        <v>946</v>
      </c>
      <c r="E10" s="18" t="s">
        <v>240</v>
      </c>
      <c r="F10" s="19" t="s">
        <v>118</v>
      </c>
      <c r="G10" s="19" t="s">
        <v>110</v>
      </c>
      <c r="H10" s="18" t="s">
        <v>237</v>
      </c>
      <c r="I10" s="18" t="s">
        <v>947</v>
      </c>
    </row>
    <row r="11">
      <c r="A11" s="20" t="s">
        <v>948</v>
      </c>
      <c r="B11" s="21" t="s">
        <v>41</v>
      </c>
      <c r="C11" s="20" t="s">
        <v>949</v>
      </c>
      <c r="D11" s="20" t="s">
        <v>950</v>
      </c>
      <c r="E11" s="20" t="s">
        <v>251</v>
      </c>
      <c r="F11" s="21" t="s">
        <v>118</v>
      </c>
      <c r="G11" s="21" t="s">
        <v>110</v>
      </c>
      <c r="H11" s="20" t="s">
        <v>255</v>
      </c>
      <c r="I11" s="20" t="s">
        <v>951</v>
      </c>
    </row>
    <row r="12">
      <c r="A12" s="18" t="s">
        <v>952</v>
      </c>
      <c r="B12" s="19" t="s">
        <v>41</v>
      </c>
      <c r="C12" s="18" t="s">
        <v>953</v>
      </c>
      <c r="D12" s="18" t="s">
        <v>954</v>
      </c>
      <c r="E12" s="18" t="s">
        <v>136</v>
      </c>
      <c r="F12" s="19" t="s">
        <v>118</v>
      </c>
      <c r="G12" s="19" t="s">
        <v>110</v>
      </c>
      <c r="H12" s="18" t="s">
        <v>197</v>
      </c>
      <c r="I12" s="18" t="s">
        <v>955</v>
      </c>
    </row>
    <row r="13">
      <c r="A13" s="20" t="s">
        <v>952</v>
      </c>
      <c r="B13" s="21" t="s">
        <v>41</v>
      </c>
      <c r="C13" s="20" t="s">
        <v>956</v>
      </c>
      <c r="D13" s="20" t="s">
        <v>957</v>
      </c>
      <c r="E13" s="20" t="s">
        <v>282</v>
      </c>
      <c r="F13" s="21" t="s">
        <v>118</v>
      </c>
      <c r="G13" s="21" t="s">
        <v>110</v>
      </c>
      <c r="H13" s="20" t="s">
        <v>286</v>
      </c>
      <c r="I13" s="20" t="s">
        <v>958</v>
      </c>
    </row>
    <row r="14">
      <c r="A14" s="18" t="s">
        <v>959</v>
      </c>
      <c r="B14" s="19" t="s">
        <v>41</v>
      </c>
      <c r="C14" s="18" t="s">
        <v>960</v>
      </c>
      <c r="D14" s="18" t="s">
        <v>961</v>
      </c>
      <c r="E14" s="18" t="s">
        <v>337</v>
      </c>
      <c r="F14" s="19" t="s">
        <v>118</v>
      </c>
      <c r="G14" s="19" t="s">
        <v>110</v>
      </c>
      <c r="H14" s="18" t="s">
        <v>340</v>
      </c>
      <c r="I14" s="18" t="s">
        <v>962</v>
      </c>
    </row>
    <row r="15">
      <c r="A15" s="20" t="s">
        <v>963</v>
      </c>
      <c r="B15" s="21" t="s">
        <v>41</v>
      </c>
      <c r="C15" s="20" t="s">
        <v>956</v>
      </c>
      <c r="D15" s="20" t="s">
        <v>964</v>
      </c>
      <c r="E15" s="20" t="s">
        <v>267</v>
      </c>
      <c r="F15" s="21" t="s">
        <v>118</v>
      </c>
      <c r="G15" s="21" t="s">
        <v>110</v>
      </c>
      <c r="H15" s="20" t="s">
        <v>271</v>
      </c>
      <c r="I15" s="20" t="s">
        <v>965</v>
      </c>
    </row>
    <row r="16">
      <c r="A16" s="18" t="s">
        <v>966</v>
      </c>
      <c r="B16" s="19" t="s">
        <v>41</v>
      </c>
      <c r="C16" s="18" t="s">
        <v>953</v>
      </c>
      <c r="D16" s="18" t="s">
        <v>967</v>
      </c>
      <c r="E16" s="18" t="s">
        <v>205</v>
      </c>
      <c r="F16" s="19" t="s">
        <v>118</v>
      </c>
      <c r="G16" s="19" t="s">
        <v>110</v>
      </c>
      <c r="H16" s="18" t="s">
        <v>209</v>
      </c>
      <c r="I16" s="18" t="s">
        <v>968</v>
      </c>
    </row>
    <row r="17">
      <c r="A17" s="20" t="s">
        <v>966</v>
      </c>
      <c r="B17" s="21" t="s">
        <v>41</v>
      </c>
      <c r="C17" s="20" t="s">
        <v>953</v>
      </c>
      <c r="D17" s="20" t="s">
        <v>969</v>
      </c>
      <c r="E17" s="20" t="s">
        <v>213</v>
      </c>
      <c r="F17" s="21" t="s">
        <v>118</v>
      </c>
      <c r="G17" s="21" t="s">
        <v>110</v>
      </c>
      <c r="H17" s="20" t="s">
        <v>217</v>
      </c>
      <c r="I17" s="20" t="s">
        <v>968</v>
      </c>
    </row>
    <row r="18">
      <c r="A18" s="18" t="s">
        <v>970</v>
      </c>
      <c r="B18" s="19" t="s">
        <v>41</v>
      </c>
      <c r="C18" s="18" t="s">
        <v>949</v>
      </c>
      <c r="D18" s="18" t="s">
        <v>971</v>
      </c>
      <c r="E18" s="18" t="s">
        <v>459</v>
      </c>
      <c r="F18" s="19" t="s">
        <v>118</v>
      </c>
      <c r="G18" s="19" t="s">
        <v>110</v>
      </c>
      <c r="H18" s="18" t="s">
        <v>463</v>
      </c>
      <c r="I18" s="18" t="s">
        <v>972</v>
      </c>
    </row>
    <row r="19">
      <c r="A19" s="20" t="s">
        <v>973</v>
      </c>
      <c r="B19" s="21" t="s">
        <v>41</v>
      </c>
      <c r="C19" s="20" t="s">
        <v>953</v>
      </c>
      <c r="D19" s="20" t="s">
        <v>974</v>
      </c>
      <c r="E19" s="20" t="s">
        <v>220</v>
      </c>
      <c r="F19" s="21" t="s">
        <v>118</v>
      </c>
      <c r="G19" s="21" t="s">
        <v>110</v>
      </c>
      <c r="H19" s="20" t="s">
        <v>224</v>
      </c>
      <c r="I19" s="20" t="s">
        <v>968</v>
      </c>
    </row>
    <row r="20">
      <c r="A20" s="18" t="s">
        <v>973</v>
      </c>
      <c r="B20" s="19" t="s">
        <v>41</v>
      </c>
      <c r="C20" s="18" t="s">
        <v>953</v>
      </c>
      <c r="D20" s="18" t="s">
        <v>975</v>
      </c>
      <c r="E20" s="18" t="s">
        <v>228</v>
      </c>
      <c r="F20" s="19" t="s">
        <v>118</v>
      </c>
      <c r="G20" s="19" t="s">
        <v>110</v>
      </c>
      <c r="H20" s="18" t="s">
        <v>231</v>
      </c>
      <c r="I20" s="18" t="s">
        <v>968</v>
      </c>
    </row>
    <row r="21" ht="15.75" customHeight="1">
      <c r="A21" s="20" t="s">
        <v>976</v>
      </c>
      <c r="B21" s="21" t="s">
        <v>67</v>
      </c>
      <c r="C21" s="20" t="s">
        <v>960</v>
      </c>
      <c r="D21" s="20" t="s">
        <v>977</v>
      </c>
      <c r="E21" s="20" t="s">
        <v>489</v>
      </c>
      <c r="F21" s="21" t="s">
        <v>116</v>
      </c>
      <c r="G21" s="21" t="s">
        <v>108</v>
      </c>
      <c r="H21" s="20" t="s">
        <v>488</v>
      </c>
      <c r="I21" s="20" t="s">
        <v>978</v>
      </c>
    </row>
    <row r="22" ht="15.75" customHeight="1">
      <c r="A22" s="18" t="s">
        <v>979</v>
      </c>
      <c r="B22" s="19" t="s">
        <v>67</v>
      </c>
      <c r="C22" s="18" t="s">
        <v>956</v>
      </c>
      <c r="D22" s="18" t="s">
        <v>980</v>
      </c>
      <c r="E22" s="18" t="s">
        <v>494</v>
      </c>
      <c r="F22" s="19" t="s">
        <v>116</v>
      </c>
      <c r="G22" s="19" t="s">
        <v>108</v>
      </c>
      <c r="H22" s="18" t="s">
        <v>498</v>
      </c>
      <c r="I22" s="18" t="s">
        <v>981</v>
      </c>
    </row>
    <row r="23" ht="15.75" customHeight="1">
      <c r="A23" s="20" t="s">
        <v>982</v>
      </c>
      <c r="B23" s="21" t="s">
        <v>41</v>
      </c>
      <c r="C23" s="20" t="s">
        <v>983</v>
      </c>
      <c r="D23" s="20" t="s">
        <v>984</v>
      </c>
      <c r="E23" s="20" t="s">
        <v>509</v>
      </c>
      <c r="F23" s="21" t="s">
        <v>118</v>
      </c>
      <c r="G23" s="21" t="s">
        <v>110</v>
      </c>
      <c r="H23" s="20" t="s">
        <v>513</v>
      </c>
      <c r="I23" s="20" t="s">
        <v>985</v>
      </c>
    </row>
    <row r="24" ht="15.75" customHeight="1">
      <c r="A24" s="18" t="s">
        <v>986</v>
      </c>
      <c r="B24" s="19" t="s">
        <v>67</v>
      </c>
      <c r="C24" s="18" t="s">
        <v>983</v>
      </c>
      <c r="D24" s="18" t="s">
        <v>987</v>
      </c>
      <c r="E24" s="18" t="s">
        <v>516</v>
      </c>
      <c r="F24" s="19" t="s">
        <v>118</v>
      </c>
      <c r="G24" s="19" t="s">
        <v>110</v>
      </c>
      <c r="H24" s="18" t="s">
        <v>519</v>
      </c>
      <c r="I24" s="18" t="s">
        <v>985</v>
      </c>
    </row>
    <row r="25" ht="15.75" customHeight="1">
      <c r="A25" s="20" t="s">
        <v>986</v>
      </c>
      <c r="B25" s="21" t="s">
        <v>98</v>
      </c>
      <c r="C25" s="20" t="s">
        <v>949</v>
      </c>
      <c r="D25" s="20" t="s">
        <v>988</v>
      </c>
      <c r="E25" s="20" t="s">
        <v>242</v>
      </c>
      <c r="F25" s="21" t="s">
        <v>112</v>
      </c>
      <c r="G25" s="21" t="s">
        <v>106</v>
      </c>
      <c r="H25" s="20" t="s">
        <v>245</v>
      </c>
      <c r="I25" s="20" t="s">
        <v>989</v>
      </c>
    </row>
    <row r="26" ht="15.75" customHeight="1">
      <c r="A26" s="18" t="s">
        <v>990</v>
      </c>
      <c r="B26" s="19" t="s">
        <v>67</v>
      </c>
      <c r="C26" s="18" t="s">
        <v>991</v>
      </c>
      <c r="D26" s="18" t="s">
        <v>992</v>
      </c>
      <c r="E26" s="18" t="s">
        <v>449</v>
      </c>
      <c r="F26" s="19" t="s">
        <v>116</v>
      </c>
      <c r="G26" s="19" t="s">
        <v>108</v>
      </c>
      <c r="H26" s="18" t="s">
        <v>451</v>
      </c>
      <c r="I26" s="18" t="s">
        <v>985</v>
      </c>
    </row>
    <row r="27" ht="15.75" customHeight="1">
      <c r="A27" s="20" t="s">
        <v>993</v>
      </c>
      <c r="B27" s="21" t="s">
        <v>67</v>
      </c>
      <c r="C27" s="20" t="s">
        <v>991</v>
      </c>
      <c r="D27" s="20" t="s">
        <v>994</v>
      </c>
      <c r="E27" s="20" t="s">
        <v>348</v>
      </c>
      <c r="F27" s="21" t="s">
        <v>116</v>
      </c>
      <c r="G27" s="21" t="s">
        <v>108</v>
      </c>
      <c r="H27" s="20" t="s">
        <v>351</v>
      </c>
      <c r="I27" s="20" t="s">
        <v>985</v>
      </c>
    </row>
    <row r="28" ht="15.75" customHeight="1">
      <c r="A28" s="18" t="s">
        <v>995</v>
      </c>
      <c r="B28" s="19" t="s">
        <v>67</v>
      </c>
      <c r="C28" s="18" t="s">
        <v>991</v>
      </c>
      <c r="D28" s="18" t="s">
        <v>996</v>
      </c>
      <c r="E28" s="18" t="s">
        <v>429</v>
      </c>
      <c r="F28" s="19" t="s">
        <v>116</v>
      </c>
      <c r="G28" s="19" t="s">
        <v>108</v>
      </c>
      <c r="H28" s="18" t="s">
        <v>431</v>
      </c>
      <c r="I28" s="18" t="s">
        <v>985</v>
      </c>
    </row>
    <row r="29" ht="15.75" customHeight="1">
      <c r="A29" s="20" t="s">
        <v>997</v>
      </c>
      <c r="B29" s="21" t="s">
        <v>67</v>
      </c>
      <c r="C29" s="20" t="s">
        <v>991</v>
      </c>
      <c r="D29" s="20" t="s">
        <v>998</v>
      </c>
      <c r="E29" s="20" t="s">
        <v>405</v>
      </c>
      <c r="F29" s="21" t="s">
        <v>116</v>
      </c>
      <c r="G29" s="21" t="s">
        <v>108</v>
      </c>
      <c r="H29" s="20" t="s">
        <v>408</v>
      </c>
      <c r="I29" s="20" t="s">
        <v>985</v>
      </c>
    </row>
    <row r="30" ht="15.75" customHeight="1">
      <c r="A30" s="18" t="s">
        <v>999</v>
      </c>
      <c r="B30" s="19" t="s">
        <v>67</v>
      </c>
      <c r="C30" s="18" t="s">
        <v>991</v>
      </c>
      <c r="D30" s="18" t="s">
        <v>1000</v>
      </c>
      <c r="E30" s="18" t="s">
        <v>359</v>
      </c>
      <c r="F30" s="19" t="s">
        <v>112</v>
      </c>
      <c r="G30" s="19" t="s">
        <v>106</v>
      </c>
      <c r="H30" s="18" t="s">
        <v>362</v>
      </c>
      <c r="I30" s="18" t="s">
        <v>985</v>
      </c>
    </row>
    <row r="31" ht="15.75" customHeight="1">
      <c r="A31" s="20" t="s">
        <v>1001</v>
      </c>
      <c r="B31" s="21" t="s">
        <v>67</v>
      </c>
      <c r="C31" s="20" t="s">
        <v>991</v>
      </c>
      <c r="D31" s="20" t="s">
        <v>1002</v>
      </c>
      <c r="E31" s="20" t="s">
        <v>383</v>
      </c>
      <c r="F31" s="21" t="s">
        <v>112</v>
      </c>
      <c r="G31" s="21" t="s">
        <v>106</v>
      </c>
      <c r="H31" s="20" t="s">
        <v>385</v>
      </c>
      <c r="I31" s="20" t="s">
        <v>985</v>
      </c>
    </row>
    <row r="32" ht="15.75" customHeight="1">
      <c r="A32" s="18" t="s">
        <v>1003</v>
      </c>
      <c r="B32" s="19" t="s">
        <v>67</v>
      </c>
      <c r="C32" s="18" t="s">
        <v>991</v>
      </c>
      <c r="D32" s="18" t="s">
        <v>1004</v>
      </c>
      <c r="E32" s="18" t="s">
        <v>308</v>
      </c>
      <c r="F32" s="19" t="s">
        <v>112</v>
      </c>
      <c r="G32" s="19" t="s">
        <v>106</v>
      </c>
      <c r="H32" s="18" t="s">
        <v>311</v>
      </c>
      <c r="I32" s="18" t="s">
        <v>985</v>
      </c>
    </row>
    <row r="33" ht="15.75" customHeight="1">
      <c r="A33" s="20" t="s">
        <v>1005</v>
      </c>
      <c r="B33" s="21" t="s">
        <v>98</v>
      </c>
      <c r="C33" s="20" t="s">
        <v>991</v>
      </c>
      <c r="D33" s="20" t="s">
        <v>1006</v>
      </c>
      <c r="E33" s="20" t="s">
        <v>414</v>
      </c>
      <c r="F33" s="21" t="s">
        <v>112</v>
      </c>
      <c r="G33" s="21" t="s">
        <v>106</v>
      </c>
      <c r="H33" s="20" t="s">
        <v>416</v>
      </c>
      <c r="I33" s="20" t="s">
        <v>985</v>
      </c>
    </row>
    <row r="34" ht="15.75" customHeight="1">
      <c r="A34" s="18" t="s">
        <v>1007</v>
      </c>
      <c r="B34" s="19" t="s">
        <v>98</v>
      </c>
      <c r="C34" s="18" t="s">
        <v>991</v>
      </c>
      <c r="D34" s="18" t="s">
        <v>1008</v>
      </c>
      <c r="E34" s="18" t="s">
        <v>504</v>
      </c>
      <c r="F34" s="19" t="s">
        <v>112</v>
      </c>
      <c r="G34" s="19" t="s">
        <v>106</v>
      </c>
      <c r="H34" s="18" t="s">
        <v>506</v>
      </c>
      <c r="I34" s="18" t="s">
        <v>985</v>
      </c>
    </row>
    <row r="35" ht="15.75" customHeight="1">
      <c r="A35" s="20" t="s">
        <v>1009</v>
      </c>
      <c r="B35" s="21" t="s">
        <v>67</v>
      </c>
      <c r="C35" s="20" t="s">
        <v>956</v>
      </c>
      <c r="D35" s="20" t="s">
        <v>1010</v>
      </c>
      <c r="E35" s="20" t="s">
        <v>470</v>
      </c>
      <c r="F35" s="21" t="s">
        <v>118</v>
      </c>
      <c r="G35" s="21" t="s">
        <v>110</v>
      </c>
      <c r="H35" s="20" t="s">
        <v>474</v>
      </c>
      <c r="I35" s="20" t="s">
        <v>1011</v>
      </c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</row>
  </sheetData>
  <conditionalFormatting sqref="B2:B35">
    <cfRule type="cellIs" dxfId="3" priority="1" operator="equal">
      <formula>"Critical"</formula>
    </cfRule>
  </conditionalFormatting>
  <conditionalFormatting sqref="B2:B35">
    <cfRule type="cellIs" dxfId="4" priority="2" operator="equal">
      <formula>"High"</formula>
    </cfRule>
  </conditionalFormatting>
  <conditionalFormatting sqref="B2:B35">
    <cfRule type="cellIs" dxfId="5" priority="3" operator="equal">
      <formula>"Medium"</formula>
    </cfRule>
  </conditionalFormatting>
  <conditionalFormatting sqref="B2:B35">
    <cfRule type="cellIs" dxfId="6" priority="4" operator="equal">
      <formula>"Low"</formula>
    </cfRule>
  </conditionalFormatting>
  <conditionalFormatting sqref="B2:B35">
    <cfRule type="cellIs" dxfId="7" priority="5" operator="equal">
      <formula>"Optional"</formula>
    </cfRule>
  </conditionalFormatting>
  <conditionalFormatting sqref="G2:G35">
    <cfRule type="cellIs" dxfId="0" priority="6" operator="equal">
      <formula>"TOFU"</formula>
    </cfRule>
  </conditionalFormatting>
  <conditionalFormatting sqref="G2:G35">
    <cfRule type="cellIs" dxfId="1" priority="7" operator="equal">
      <formula>"MOFU"</formula>
    </cfRule>
  </conditionalFormatting>
  <conditionalFormatting sqref="G2:G35">
    <cfRule type="cellIs" dxfId="2" priority="8" operator="equal">
      <formula>"BOFU"</formula>
    </cfRule>
  </conditionalFormatting>
  <conditionalFormatting sqref="F2:F35">
    <cfRule type="cellIs" dxfId="8" priority="9" operator="equal">
      <formula>"Informational"</formula>
    </cfRule>
  </conditionalFormatting>
  <conditionalFormatting sqref="F2:F35">
    <cfRule type="cellIs" dxfId="9" priority="10" operator="equal">
      <formula>"Navigational"</formula>
    </cfRule>
  </conditionalFormatting>
  <conditionalFormatting sqref="F2:F35">
    <cfRule type="cellIs" dxfId="10" priority="11" operator="equal">
      <formula>"Commercial"</formula>
    </cfRule>
  </conditionalFormatting>
  <conditionalFormatting sqref="F2:F35">
    <cfRule type="cellIs" dxfId="11" priority="12" operator="equal">
      <formula>"Transactional"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1.57"/>
    <col customWidth="1" min="2" max="2" width="13.0"/>
    <col customWidth="1" min="3" max="3" width="7.29"/>
    <col customWidth="1" min="4" max="4" width="33.86"/>
    <col customWidth="1" min="5" max="5" width="61.29"/>
    <col customWidth="1" min="6" max="6" width="63.57"/>
    <col customWidth="1" min="7" max="26" width="8.71"/>
  </cols>
  <sheetData>
    <row r="1">
      <c r="A1" s="17" t="s">
        <v>121</v>
      </c>
      <c r="B1" s="17" t="s">
        <v>527</v>
      </c>
      <c r="C1" s="17" t="s">
        <v>146</v>
      </c>
      <c r="D1" s="17" t="s">
        <v>636</v>
      </c>
      <c r="E1" s="17" t="s">
        <v>1012</v>
      </c>
      <c r="F1" s="17" t="s">
        <v>156</v>
      </c>
    </row>
    <row r="2">
      <c r="A2" s="18" t="s">
        <v>126</v>
      </c>
      <c r="B2" s="19" t="s">
        <v>118</v>
      </c>
      <c r="C2" s="19" t="s">
        <v>110</v>
      </c>
      <c r="D2" s="18" t="s">
        <v>1013</v>
      </c>
      <c r="E2" s="18" t="s">
        <v>1014</v>
      </c>
      <c r="F2" s="18" t="s">
        <v>1015</v>
      </c>
    </row>
    <row r="3">
      <c r="A3" s="20" t="s">
        <v>193</v>
      </c>
      <c r="B3" s="21" t="s">
        <v>118</v>
      </c>
      <c r="C3" s="21" t="s">
        <v>110</v>
      </c>
      <c r="D3" s="20" t="s">
        <v>1016</v>
      </c>
      <c r="E3" s="20" t="s">
        <v>1017</v>
      </c>
      <c r="F3" s="20" t="s">
        <v>1018</v>
      </c>
    </row>
    <row r="4">
      <c r="A4" s="18" t="s">
        <v>326</v>
      </c>
      <c r="B4" s="19" t="s">
        <v>118</v>
      </c>
      <c r="C4" s="19" t="s">
        <v>110</v>
      </c>
      <c r="D4" s="18" t="s">
        <v>1019</v>
      </c>
      <c r="E4" s="18" t="s">
        <v>1020</v>
      </c>
      <c r="F4" s="18" t="s">
        <v>1021</v>
      </c>
    </row>
    <row r="5">
      <c r="A5" s="20" t="s">
        <v>333</v>
      </c>
      <c r="B5" s="21" t="s">
        <v>118</v>
      </c>
      <c r="C5" s="21" t="s">
        <v>110</v>
      </c>
      <c r="D5" s="20" t="s">
        <v>1022</v>
      </c>
      <c r="E5" s="20" t="s">
        <v>1023</v>
      </c>
      <c r="F5" s="20" t="s">
        <v>1024</v>
      </c>
    </row>
    <row r="6">
      <c r="A6" s="18" t="s">
        <v>299</v>
      </c>
      <c r="B6" s="19" t="s">
        <v>118</v>
      </c>
      <c r="C6" s="19" t="s">
        <v>110</v>
      </c>
      <c r="D6" s="18" t="s">
        <v>1025</v>
      </c>
      <c r="E6" s="18" t="s">
        <v>1026</v>
      </c>
      <c r="F6" s="18" t="s">
        <v>1027</v>
      </c>
    </row>
    <row r="7">
      <c r="A7" s="20" t="s">
        <v>370</v>
      </c>
      <c r="B7" s="21" t="s">
        <v>118</v>
      </c>
      <c r="C7" s="21" t="s">
        <v>110</v>
      </c>
      <c r="D7" s="20" t="s">
        <v>1028</v>
      </c>
      <c r="E7" s="20" t="s">
        <v>1029</v>
      </c>
      <c r="F7" s="20" t="s">
        <v>1030</v>
      </c>
    </row>
    <row r="8">
      <c r="A8" s="18" t="s">
        <v>376</v>
      </c>
      <c r="B8" s="19" t="s">
        <v>118</v>
      </c>
      <c r="C8" s="19" t="s">
        <v>110</v>
      </c>
      <c r="D8" s="18" t="s">
        <v>1031</v>
      </c>
      <c r="E8" s="18" t="s">
        <v>1032</v>
      </c>
      <c r="F8" s="18" t="s">
        <v>1033</v>
      </c>
    </row>
    <row r="9">
      <c r="A9" s="20" t="s">
        <v>499</v>
      </c>
      <c r="B9" s="21" t="s">
        <v>116</v>
      </c>
      <c r="C9" s="21" t="s">
        <v>108</v>
      </c>
      <c r="D9" s="20" t="s">
        <v>1034</v>
      </c>
      <c r="E9" s="20" t="s">
        <v>1035</v>
      </c>
      <c r="F9" s="20" t="s">
        <v>1036</v>
      </c>
    </row>
    <row r="10">
      <c r="A10" s="18" t="s">
        <v>213</v>
      </c>
      <c r="B10" s="19" t="s">
        <v>118</v>
      </c>
      <c r="C10" s="19" t="s">
        <v>110</v>
      </c>
      <c r="D10" s="18" t="s">
        <v>1037</v>
      </c>
      <c r="E10" s="18" t="s">
        <v>1038</v>
      </c>
      <c r="F10" s="18" t="s">
        <v>1039</v>
      </c>
    </row>
    <row r="11">
      <c r="A11" s="20" t="s">
        <v>228</v>
      </c>
      <c r="B11" s="21" t="s">
        <v>118</v>
      </c>
      <c r="C11" s="21" t="s">
        <v>110</v>
      </c>
      <c r="D11" s="20" t="s">
        <v>1037</v>
      </c>
      <c r="E11" s="20" t="s">
        <v>1040</v>
      </c>
      <c r="F11" s="20" t="s">
        <v>1041</v>
      </c>
    </row>
    <row r="12">
      <c r="A12" s="18" t="s">
        <v>205</v>
      </c>
      <c r="B12" s="19" t="s">
        <v>118</v>
      </c>
      <c r="C12" s="19" t="s">
        <v>110</v>
      </c>
      <c r="D12" s="18" t="s">
        <v>1042</v>
      </c>
      <c r="E12" s="18" t="s">
        <v>1043</v>
      </c>
      <c r="F12" s="18" t="s">
        <v>1044</v>
      </c>
    </row>
    <row r="13">
      <c r="A13" s="20" t="s">
        <v>181</v>
      </c>
      <c r="B13" s="21" t="s">
        <v>114</v>
      </c>
      <c r="C13" s="21" t="s">
        <v>110</v>
      </c>
      <c r="D13" s="20" t="s">
        <v>1045</v>
      </c>
      <c r="E13" s="20" t="s">
        <v>1046</v>
      </c>
      <c r="F13" s="20" t="s">
        <v>1047</v>
      </c>
    </row>
    <row r="14">
      <c r="A14" s="18" t="s">
        <v>128</v>
      </c>
      <c r="B14" s="19" t="s">
        <v>118</v>
      </c>
      <c r="C14" s="19" t="s">
        <v>110</v>
      </c>
      <c r="D14" s="18" t="s">
        <v>1048</v>
      </c>
      <c r="E14" s="18" t="s">
        <v>1049</v>
      </c>
      <c r="F14" s="18" t="s">
        <v>1050</v>
      </c>
    </row>
    <row r="15">
      <c r="A15" s="20" t="s">
        <v>261</v>
      </c>
      <c r="B15" s="21" t="s">
        <v>118</v>
      </c>
      <c r="C15" s="21" t="s">
        <v>110</v>
      </c>
      <c r="D15" s="20" t="s">
        <v>1051</v>
      </c>
      <c r="E15" s="20" t="s">
        <v>1052</v>
      </c>
      <c r="F15" s="20" t="s">
        <v>1053</v>
      </c>
    </row>
    <row r="16">
      <c r="A16" s="18" t="s">
        <v>401</v>
      </c>
      <c r="B16" s="19" t="s">
        <v>118</v>
      </c>
      <c r="C16" s="19" t="s">
        <v>110</v>
      </c>
      <c r="D16" s="18" t="s">
        <v>1054</v>
      </c>
      <c r="E16" s="18" t="s">
        <v>1055</v>
      </c>
      <c r="F16" s="18" t="s">
        <v>1056</v>
      </c>
    </row>
    <row r="17">
      <c r="A17" s="8"/>
      <c r="B17" s="8"/>
      <c r="C17" s="8"/>
      <c r="D17" s="8"/>
      <c r="E17" s="8"/>
      <c r="F17" s="8"/>
    </row>
    <row r="18">
      <c r="A18" s="8"/>
      <c r="B18" s="8"/>
      <c r="C18" s="8"/>
      <c r="D18" s="8"/>
      <c r="E18" s="8"/>
      <c r="F18" s="8"/>
    </row>
    <row r="19">
      <c r="A19" s="8"/>
      <c r="B19" s="8"/>
      <c r="C19" s="8"/>
      <c r="D19" s="8"/>
      <c r="E19" s="8"/>
      <c r="F19" s="8"/>
    </row>
    <row r="20">
      <c r="A20" s="8"/>
      <c r="B20" s="8"/>
      <c r="C20" s="8"/>
      <c r="D20" s="8"/>
      <c r="E20" s="8"/>
      <c r="F20" s="8"/>
    </row>
    <row r="21" ht="15.75" customHeight="1">
      <c r="A21" s="8"/>
      <c r="B21" s="8"/>
      <c r="C21" s="8"/>
      <c r="D21" s="8"/>
      <c r="E21" s="8"/>
      <c r="F21" s="8"/>
    </row>
    <row r="22" ht="15.75" customHeight="1">
      <c r="A22" s="8"/>
      <c r="B22" s="8"/>
      <c r="C22" s="8"/>
      <c r="D22" s="8"/>
      <c r="E22" s="8"/>
      <c r="F22" s="8"/>
    </row>
    <row r="23" ht="15.75" customHeight="1">
      <c r="A23" s="8"/>
      <c r="B23" s="8"/>
      <c r="C23" s="8"/>
      <c r="D23" s="8"/>
      <c r="E23" s="8"/>
      <c r="F23" s="8"/>
    </row>
    <row r="24" ht="15.75" customHeight="1">
      <c r="A24" s="8"/>
      <c r="B24" s="8"/>
      <c r="C24" s="8"/>
      <c r="D24" s="8"/>
      <c r="E24" s="8"/>
      <c r="F24" s="8"/>
    </row>
    <row r="25" ht="15.75" customHeight="1">
      <c r="A25" s="8"/>
      <c r="B25" s="8"/>
      <c r="C25" s="8"/>
      <c r="D25" s="8"/>
      <c r="E25" s="8"/>
      <c r="F25" s="8"/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conditionalFormatting sqref="C2:C16">
    <cfRule type="cellIs" dxfId="0" priority="1" operator="equal">
      <formula>"TOFU"</formula>
    </cfRule>
  </conditionalFormatting>
  <conditionalFormatting sqref="C2:C16">
    <cfRule type="cellIs" dxfId="1" priority="2" operator="equal">
      <formula>"MOFU"</formula>
    </cfRule>
  </conditionalFormatting>
  <conditionalFormatting sqref="C2:C16">
    <cfRule type="cellIs" dxfId="2" priority="3" operator="equal">
      <formula>"BOFU"</formula>
    </cfRule>
  </conditionalFormatting>
  <conditionalFormatting sqref="B2:B16">
    <cfRule type="cellIs" dxfId="8" priority="4" operator="equal">
      <formula>"Informational"</formula>
    </cfRule>
  </conditionalFormatting>
  <conditionalFormatting sqref="B2:B16">
    <cfRule type="cellIs" dxfId="9" priority="5" operator="equal">
      <formula>"Navigational"</formula>
    </cfRule>
  </conditionalFormatting>
  <conditionalFormatting sqref="B2:B16">
    <cfRule type="cellIs" dxfId="10" priority="6" operator="equal">
      <formula>"Commercial"</formula>
    </cfRule>
  </conditionalFormatting>
  <conditionalFormatting sqref="B2:B16">
    <cfRule type="cellIs" dxfId="11" priority="7" operator="equal">
      <formula>"Transactional"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5.14"/>
    <col customWidth="1" min="2" max="2" width="9.57"/>
    <col customWidth="1" min="3" max="3" width="8.57"/>
    <col customWidth="1" min="4" max="4" width="11.57"/>
    <col customWidth="1" min="5" max="5" width="8.86"/>
    <col customWidth="1" min="6" max="6" width="11.29"/>
    <col customWidth="1" min="7" max="7" width="11.43"/>
    <col customWidth="1" min="8" max="8" width="11.14"/>
    <col customWidth="1" min="9" max="9" width="13.29"/>
    <col customWidth="1" min="10" max="10" width="9.14"/>
    <col customWidth="1" min="11" max="11" width="3.0"/>
    <col customWidth="1" min="12" max="12" width="26.0"/>
    <col customWidth="1" min="13" max="13" width="12.0"/>
    <col customWidth="1" min="14" max="14" width="60.0"/>
    <col customWidth="1" min="15" max="26" width="8.71"/>
  </cols>
  <sheetData>
    <row r="1">
      <c r="A1" s="17" t="s">
        <v>121</v>
      </c>
      <c r="B1" s="17" t="s">
        <v>155</v>
      </c>
      <c r="C1" s="17" t="s">
        <v>1057</v>
      </c>
      <c r="D1" s="17" t="s">
        <v>1058</v>
      </c>
      <c r="E1" s="17" t="s">
        <v>1059</v>
      </c>
      <c r="F1" s="17" t="s">
        <v>1060</v>
      </c>
      <c r="G1" s="17" t="s">
        <v>1061</v>
      </c>
      <c r="H1" s="17" t="s">
        <v>1062</v>
      </c>
      <c r="I1" s="17" t="s">
        <v>1063</v>
      </c>
      <c r="J1" s="17" t="s">
        <v>125</v>
      </c>
      <c r="K1" s="8"/>
      <c r="L1" s="23" t="s">
        <v>1064</v>
      </c>
      <c r="M1" s="23" t="s">
        <v>1065</v>
      </c>
      <c r="N1" s="23" t="s">
        <v>1066</v>
      </c>
    </row>
    <row r="2">
      <c r="A2" s="52" t="str">
        <f>'Keyword Master Database'!A2</f>
        <v>dentist in tampa</v>
      </c>
      <c r="B2" s="53">
        <v>5.0</v>
      </c>
      <c r="C2" s="54">
        <f>IF('Keyword Master Database'!H2&gt;=1000,5,IF('Keyword Master Database'!H2&gt;=500,4,IF('Keyword Master Database'!H2&gt;=200,3,IF('Keyword Master Database'!H2&gt;=80,2,1))))</f>
        <v>5</v>
      </c>
      <c r="D2" s="54">
        <f>IF('Keyword Master Database'!I2&lt;=20,5,IF('Keyword Master Database'!I2&lt;=35,4,IF('Keyword Master Database'!I2&lt;=50,3,IF('Keyword Master Database'!I2&lt;=65,2,1))))</f>
        <v>2</v>
      </c>
      <c r="E2" s="54">
        <f>IF('Keyword Master Database'!E2="Transactional",5,IF('Keyword Master Database'!E2="Commercial",4,IF('Keyword Master Database'!E2="Navigational",3,2)))</f>
        <v>5</v>
      </c>
      <c r="F2" s="53">
        <v>5.0</v>
      </c>
      <c r="G2" s="53">
        <v>5.0</v>
      </c>
      <c r="H2" s="55">
        <f t="shared" ref="H2:H224" si="1">B2*$M$2+C2*$M$3+D2*$M$4+E2*$M$5+F2*$M$6+G2*$M$7</f>
        <v>4.4</v>
      </c>
      <c r="I2" s="56">
        <f t="shared" ref="I2:I224" si="2">ROUND(H2*20,0)</f>
        <v>88</v>
      </c>
      <c r="J2" s="54" t="str">
        <f t="shared" ref="J2:J224" si="3">IF(I2&gt;=$M$11,"Critical",IF(I2&gt;=$M$12,"High",IF(I2&gt;=$M$13,"Medium",IF(I2&gt;=$M$14,"Low","Optional"))))</f>
        <v>High</v>
      </c>
      <c r="K2" s="8"/>
      <c r="L2" s="57" t="s">
        <v>155</v>
      </c>
      <c r="M2" s="58">
        <v>0.25</v>
      </c>
      <c r="N2" s="59" t="s">
        <v>1067</v>
      </c>
    </row>
    <row r="3">
      <c r="A3" s="52" t="str">
        <f>'Keyword Master Database'!A3</f>
        <v>tampa dentist</v>
      </c>
      <c r="B3" s="53">
        <v>5.0</v>
      </c>
      <c r="C3" s="54">
        <f>IF('Keyword Master Database'!H3&gt;=1000,5,IF('Keyword Master Database'!H3&gt;=500,4,IF('Keyword Master Database'!H3&gt;=200,3,IF('Keyword Master Database'!H3&gt;=80,2,1))))</f>
        <v>5</v>
      </c>
      <c r="D3" s="54">
        <f>IF('Keyword Master Database'!I3&lt;=20,5,IF('Keyword Master Database'!I3&lt;=35,4,IF('Keyword Master Database'!I3&lt;=50,3,IF('Keyword Master Database'!I3&lt;=65,2,1))))</f>
        <v>2</v>
      </c>
      <c r="E3" s="54">
        <f>IF('Keyword Master Database'!E3="Transactional",5,IF('Keyword Master Database'!E3="Commercial",4,IF('Keyword Master Database'!E3="Navigational",3,2)))</f>
        <v>5</v>
      </c>
      <c r="F3" s="53">
        <v>5.0</v>
      </c>
      <c r="G3" s="53">
        <v>5.0</v>
      </c>
      <c r="H3" s="55">
        <f t="shared" si="1"/>
        <v>4.4</v>
      </c>
      <c r="I3" s="56">
        <f t="shared" si="2"/>
        <v>88</v>
      </c>
      <c r="J3" s="54" t="str">
        <f t="shared" si="3"/>
        <v>High</v>
      </c>
      <c r="K3" s="8"/>
      <c r="L3" s="57" t="s">
        <v>1057</v>
      </c>
      <c r="M3" s="58">
        <v>0.15</v>
      </c>
      <c r="N3" s="59" t="s">
        <v>1068</v>
      </c>
    </row>
    <row r="4">
      <c r="A4" s="52" t="str">
        <f>'Keyword Master Database'!A4</f>
        <v>dentist tampa fl</v>
      </c>
      <c r="B4" s="53">
        <v>5.0</v>
      </c>
      <c r="C4" s="54">
        <f>IF('Keyword Master Database'!H4&gt;=1000,5,IF('Keyword Master Database'!H4&gt;=500,4,IF('Keyword Master Database'!H4&gt;=200,3,IF('Keyword Master Database'!H4&gt;=80,2,1))))</f>
        <v>5</v>
      </c>
      <c r="D4" s="54">
        <f>IF('Keyword Master Database'!I4&lt;=20,5,IF('Keyword Master Database'!I4&lt;=35,4,IF('Keyword Master Database'!I4&lt;=50,3,IF('Keyword Master Database'!I4&lt;=65,2,1))))</f>
        <v>2</v>
      </c>
      <c r="E4" s="54">
        <f>IF('Keyword Master Database'!E4="Transactional",5,IF('Keyword Master Database'!E4="Commercial",4,IF('Keyword Master Database'!E4="Navigational",3,2)))</f>
        <v>5</v>
      </c>
      <c r="F4" s="53">
        <v>5.0</v>
      </c>
      <c r="G4" s="53">
        <v>5.0</v>
      </c>
      <c r="H4" s="55">
        <f t="shared" si="1"/>
        <v>4.4</v>
      </c>
      <c r="I4" s="56">
        <f t="shared" si="2"/>
        <v>88</v>
      </c>
      <c r="J4" s="54" t="str">
        <f t="shared" si="3"/>
        <v>High</v>
      </c>
      <c r="K4" s="8"/>
      <c r="L4" s="57" t="s">
        <v>1058</v>
      </c>
      <c r="M4" s="58">
        <v>0.2</v>
      </c>
      <c r="N4" s="59" t="s">
        <v>1069</v>
      </c>
    </row>
    <row r="5">
      <c r="A5" s="52" t="str">
        <f>'Keyword Master Database'!A5</f>
        <v>dentists in tampa fl</v>
      </c>
      <c r="B5" s="53">
        <v>5.0</v>
      </c>
      <c r="C5" s="54">
        <f>IF('Keyword Master Database'!H5&gt;=1000,5,IF('Keyword Master Database'!H5&gt;=500,4,IF('Keyword Master Database'!H5&gt;=200,3,IF('Keyword Master Database'!H5&gt;=80,2,1))))</f>
        <v>5</v>
      </c>
      <c r="D5" s="54">
        <f>IF('Keyword Master Database'!I5&lt;=20,5,IF('Keyword Master Database'!I5&lt;=35,4,IF('Keyword Master Database'!I5&lt;=50,3,IF('Keyword Master Database'!I5&lt;=65,2,1))))</f>
        <v>2</v>
      </c>
      <c r="E5" s="54">
        <f>IF('Keyword Master Database'!E5="Transactional",5,IF('Keyword Master Database'!E5="Commercial",4,IF('Keyword Master Database'!E5="Navigational",3,2)))</f>
        <v>5</v>
      </c>
      <c r="F5" s="53">
        <v>5.0</v>
      </c>
      <c r="G5" s="53">
        <v>5.0</v>
      </c>
      <c r="H5" s="55">
        <f t="shared" si="1"/>
        <v>4.4</v>
      </c>
      <c r="I5" s="56">
        <f t="shared" si="2"/>
        <v>88</v>
      </c>
      <c r="J5" s="54" t="str">
        <f t="shared" si="3"/>
        <v>High</v>
      </c>
      <c r="K5" s="8"/>
      <c r="L5" s="57" t="s">
        <v>1059</v>
      </c>
      <c r="M5" s="58">
        <v>0.15</v>
      </c>
      <c r="N5" s="59" t="s">
        <v>1070</v>
      </c>
    </row>
    <row r="6">
      <c r="A6" s="52" t="str">
        <f>'Keyword Master Database'!A6</f>
        <v>family dentist tampa</v>
      </c>
      <c r="B6" s="53">
        <v>5.0</v>
      </c>
      <c r="C6" s="54">
        <f>IF('Keyword Master Database'!H6&gt;=1000,5,IF('Keyword Master Database'!H6&gt;=500,4,IF('Keyword Master Database'!H6&gt;=200,3,IF('Keyword Master Database'!H6&gt;=80,2,1))))</f>
        <v>5</v>
      </c>
      <c r="D6" s="54">
        <f>IF('Keyword Master Database'!I6&lt;=20,5,IF('Keyword Master Database'!I6&lt;=35,4,IF('Keyword Master Database'!I6&lt;=50,3,IF('Keyword Master Database'!I6&lt;=65,2,1))))</f>
        <v>2</v>
      </c>
      <c r="E6" s="54">
        <f>IF('Keyword Master Database'!E6="Transactional",5,IF('Keyword Master Database'!E6="Commercial",4,IF('Keyword Master Database'!E6="Navigational",3,2)))</f>
        <v>5</v>
      </c>
      <c r="F6" s="53">
        <v>5.0</v>
      </c>
      <c r="G6" s="53">
        <v>5.0</v>
      </c>
      <c r="H6" s="55">
        <f t="shared" si="1"/>
        <v>4.4</v>
      </c>
      <c r="I6" s="56">
        <f t="shared" si="2"/>
        <v>88</v>
      </c>
      <c r="J6" s="54" t="str">
        <f t="shared" si="3"/>
        <v>High</v>
      </c>
      <c r="K6" s="8"/>
      <c r="L6" s="57" t="s">
        <v>1060</v>
      </c>
      <c r="M6" s="58">
        <v>0.15</v>
      </c>
      <c r="N6" s="59" t="s">
        <v>1071</v>
      </c>
    </row>
    <row r="7">
      <c r="A7" s="52" t="str">
        <f>'Keyword Master Database'!A7</f>
        <v>general dentist tampa</v>
      </c>
      <c r="B7" s="53">
        <v>5.0</v>
      </c>
      <c r="C7" s="54">
        <f>IF('Keyword Master Database'!H7&gt;=1000,5,IF('Keyword Master Database'!H7&gt;=500,4,IF('Keyword Master Database'!H7&gt;=200,3,IF('Keyword Master Database'!H7&gt;=80,2,1))))</f>
        <v>4</v>
      </c>
      <c r="D7" s="54">
        <f>IF('Keyword Master Database'!I7&lt;=20,5,IF('Keyword Master Database'!I7&lt;=35,4,IF('Keyword Master Database'!I7&lt;=50,3,IF('Keyword Master Database'!I7&lt;=65,2,1))))</f>
        <v>3</v>
      </c>
      <c r="E7" s="54">
        <f>IF('Keyword Master Database'!E7="Transactional",5,IF('Keyword Master Database'!E7="Commercial",4,IF('Keyword Master Database'!E7="Navigational",3,2)))</f>
        <v>5</v>
      </c>
      <c r="F7" s="53">
        <v>5.0</v>
      </c>
      <c r="G7" s="53">
        <v>5.0</v>
      </c>
      <c r="H7" s="55">
        <f t="shared" si="1"/>
        <v>4.45</v>
      </c>
      <c r="I7" s="56">
        <f t="shared" si="2"/>
        <v>89</v>
      </c>
      <c r="J7" s="54" t="str">
        <f t="shared" si="3"/>
        <v>High</v>
      </c>
      <c r="K7" s="8"/>
      <c r="L7" s="57" t="s">
        <v>1061</v>
      </c>
      <c r="M7" s="58">
        <v>0.1</v>
      </c>
      <c r="N7" s="59" t="s">
        <v>1072</v>
      </c>
    </row>
    <row r="8">
      <c r="A8" s="52" t="str">
        <f>'Keyword Master Database'!A8</f>
        <v>dental office tampa</v>
      </c>
      <c r="B8" s="53">
        <v>5.0</v>
      </c>
      <c r="C8" s="54">
        <f>IF('Keyword Master Database'!H8&gt;=1000,5,IF('Keyword Master Database'!H8&gt;=500,4,IF('Keyword Master Database'!H8&gt;=200,3,IF('Keyword Master Database'!H8&gt;=80,2,1))))</f>
        <v>4</v>
      </c>
      <c r="D8" s="54">
        <f>IF('Keyword Master Database'!I8&lt;=20,5,IF('Keyword Master Database'!I8&lt;=35,4,IF('Keyword Master Database'!I8&lt;=50,3,IF('Keyword Master Database'!I8&lt;=65,2,1))))</f>
        <v>2</v>
      </c>
      <c r="E8" s="54">
        <f>IF('Keyword Master Database'!E8="Transactional",5,IF('Keyword Master Database'!E8="Commercial",4,IF('Keyword Master Database'!E8="Navigational",3,2)))</f>
        <v>5</v>
      </c>
      <c r="F8" s="53">
        <v>5.0</v>
      </c>
      <c r="G8" s="53">
        <v>5.0</v>
      </c>
      <c r="H8" s="55">
        <f t="shared" si="1"/>
        <v>4.25</v>
      </c>
      <c r="I8" s="56">
        <f t="shared" si="2"/>
        <v>85</v>
      </c>
      <c r="J8" s="54" t="str">
        <f t="shared" si="3"/>
        <v>High</v>
      </c>
      <c r="K8" s="8"/>
      <c r="L8" s="60" t="s">
        <v>1073</v>
      </c>
      <c r="M8" s="61">
        <f>SUM(M2:M7)</f>
        <v>1</v>
      </c>
      <c r="N8" s="8"/>
    </row>
    <row r="9">
      <c r="A9" s="52" t="str">
        <f>'Keyword Master Database'!A9</f>
        <v>dentist near me</v>
      </c>
      <c r="B9" s="53">
        <v>5.0</v>
      </c>
      <c r="C9" s="54">
        <f>IF('Keyword Master Database'!H9&gt;=1000,5,IF('Keyword Master Database'!H9&gt;=500,4,IF('Keyword Master Database'!H9&gt;=200,3,IF('Keyword Master Database'!H9&gt;=80,2,1))))</f>
        <v>5</v>
      </c>
      <c r="D9" s="54">
        <f>IF('Keyword Master Database'!I9&lt;=20,5,IF('Keyword Master Database'!I9&lt;=35,4,IF('Keyword Master Database'!I9&lt;=50,3,IF('Keyword Master Database'!I9&lt;=65,2,1))))</f>
        <v>1</v>
      </c>
      <c r="E9" s="54">
        <f>IF('Keyword Master Database'!E9="Transactional",5,IF('Keyword Master Database'!E9="Commercial",4,IF('Keyword Master Database'!E9="Navigational",3,2)))</f>
        <v>5</v>
      </c>
      <c r="F9" s="53">
        <v>5.0</v>
      </c>
      <c r="G9" s="53">
        <v>5.0</v>
      </c>
      <c r="H9" s="55">
        <f t="shared" si="1"/>
        <v>4.2</v>
      </c>
      <c r="I9" s="56">
        <f t="shared" si="2"/>
        <v>84</v>
      </c>
      <c r="J9" s="54" t="str">
        <f t="shared" si="3"/>
        <v>High</v>
      </c>
      <c r="K9" s="8"/>
      <c r="L9" s="8"/>
      <c r="M9" s="8"/>
      <c r="N9" s="8"/>
    </row>
    <row r="10">
      <c r="A10" s="52" t="str">
        <f>'Keyword Master Database'!A10</f>
        <v>best dentist in tampa</v>
      </c>
      <c r="B10" s="53">
        <v>5.0</v>
      </c>
      <c r="C10" s="54">
        <f>IF('Keyword Master Database'!H10&gt;=1000,5,IF('Keyword Master Database'!H10&gt;=500,4,IF('Keyword Master Database'!H10&gt;=200,3,IF('Keyword Master Database'!H10&gt;=80,2,1))))</f>
        <v>5</v>
      </c>
      <c r="D10" s="54">
        <f>IF('Keyword Master Database'!I10&lt;=20,5,IF('Keyword Master Database'!I10&lt;=35,4,IF('Keyword Master Database'!I10&lt;=50,3,IF('Keyword Master Database'!I10&lt;=65,2,1))))</f>
        <v>2</v>
      </c>
      <c r="E10" s="54">
        <f>IF('Keyword Master Database'!E10="Transactional",5,IF('Keyword Master Database'!E10="Commercial",4,IF('Keyword Master Database'!E10="Navigational",3,2)))</f>
        <v>4</v>
      </c>
      <c r="F10" s="53">
        <v>3.0</v>
      </c>
      <c r="G10" s="53">
        <v>5.0</v>
      </c>
      <c r="H10" s="55">
        <f t="shared" si="1"/>
        <v>3.95</v>
      </c>
      <c r="I10" s="56">
        <f t="shared" si="2"/>
        <v>79</v>
      </c>
      <c r="J10" s="54" t="str">
        <f t="shared" si="3"/>
        <v>High</v>
      </c>
      <c r="K10" s="8"/>
      <c r="L10" s="62" t="s">
        <v>125</v>
      </c>
      <c r="M10" s="62" t="s">
        <v>1074</v>
      </c>
      <c r="N10" s="8"/>
    </row>
    <row r="11">
      <c r="A11" s="52" t="str">
        <f>'Keyword Master Database'!A11</f>
        <v>top rated dentist tampa</v>
      </c>
      <c r="B11" s="53">
        <v>5.0</v>
      </c>
      <c r="C11" s="54">
        <f>IF('Keyword Master Database'!H11&gt;=1000,5,IF('Keyword Master Database'!H11&gt;=500,4,IF('Keyword Master Database'!H11&gt;=200,3,IF('Keyword Master Database'!H11&gt;=80,2,1))))</f>
        <v>3</v>
      </c>
      <c r="D11" s="54">
        <f>IF('Keyword Master Database'!I11&lt;=20,5,IF('Keyword Master Database'!I11&lt;=35,4,IF('Keyword Master Database'!I11&lt;=50,3,IF('Keyword Master Database'!I11&lt;=65,2,1))))</f>
        <v>2</v>
      </c>
      <c r="E11" s="54">
        <f>IF('Keyword Master Database'!E11="Transactional",5,IF('Keyword Master Database'!E11="Commercial",4,IF('Keyword Master Database'!E11="Navigational",3,2)))</f>
        <v>4</v>
      </c>
      <c r="F11" s="53">
        <v>3.0</v>
      </c>
      <c r="G11" s="53">
        <v>5.0</v>
      </c>
      <c r="H11" s="55">
        <f t="shared" si="1"/>
        <v>3.65</v>
      </c>
      <c r="I11" s="56">
        <f t="shared" si="2"/>
        <v>73</v>
      </c>
      <c r="J11" s="54" t="str">
        <f t="shared" si="3"/>
        <v>Medium</v>
      </c>
      <c r="K11" s="8"/>
      <c r="L11" s="63" t="s">
        <v>35</v>
      </c>
      <c r="M11" s="64">
        <v>90.0</v>
      </c>
      <c r="N11" s="8"/>
    </row>
    <row r="12">
      <c r="A12" s="52" t="str">
        <f>'Keyword Master Database'!A12</f>
        <v>dentist reviews tampa</v>
      </c>
      <c r="B12" s="53">
        <v>5.0</v>
      </c>
      <c r="C12" s="54">
        <f>IF('Keyword Master Database'!H12&gt;=1000,5,IF('Keyword Master Database'!H12&gt;=500,4,IF('Keyword Master Database'!H12&gt;=200,3,IF('Keyword Master Database'!H12&gt;=80,2,1))))</f>
        <v>3</v>
      </c>
      <c r="D12" s="54">
        <f>IF('Keyword Master Database'!I12&lt;=20,5,IF('Keyword Master Database'!I12&lt;=35,4,IF('Keyword Master Database'!I12&lt;=50,3,IF('Keyword Master Database'!I12&lt;=65,2,1))))</f>
        <v>3</v>
      </c>
      <c r="E12" s="54">
        <f>IF('Keyword Master Database'!E12="Transactional",5,IF('Keyword Master Database'!E12="Commercial",4,IF('Keyword Master Database'!E12="Navigational",3,2)))</f>
        <v>4</v>
      </c>
      <c r="F12" s="53">
        <v>3.0</v>
      </c>
      <c r="G12" s="53">
        <v>5.0</v>
      </c>
      <c r="H12" s="55">
        <f t="shared" si="1"/>
        <v>3.85</v>
      </c>
      <c r="I12" s="56">
        <f t="shared" si="2"/>
        <v>77</v>
      </c>
      <c r="J12" s="54" t="str">
        <f t="shared" si="3"/>
        <v>High</v>
      </c>
      <c r="K12" s="8"/>
      <c r="L12" s="63" t="s">
        <v>41</v>
      </c>
      <c r="M12" s="64">
        <v>75.0</v>
      </c>
      <c r="N12" s="8"/>
    </row>
    <row r="13">
      <c r="A13" s="52" t="str">
        <f>'Keyword Master Database'!A13</f>
        <v>dentist accepting new patients tampa</v>
      </c>
      <c r="B13" s="53">
        <v>5.0</v>
      </c>
      <c r="C13" s="54">
        <f>IF('Keyword Master Database'!H13&gt;=1000,5,IF('Keyword Master Database'!H13&gt;=500,4,IF('Keyword Master Database'!H13&gt;=200,3,IF('Keyword Master Database'!H13&gt;=80,2,1))))</f>
        <v>4</v>
      </c>
      <c r="D13" s="54">
        <f>IF('Keyword Master Database'!I13&lt;=20,5,IF('Keyword Master Database'!I13&lt;=35,4,IF('Keyword Master Database'!I13&lt;=50,3,IF('Keyword Master Database'!I13&lt;=65,2,1))))</f>
        <v>3</v>
      </c>
      <c r="E13" s="54">
        <f>IF('Keyword Master Database'!E13="Transactional",5,IF('Keyword Master Database'!E13="Commercial",4,IF('Keyword Master Database'!E13="Navigational",3,2)))</f>
        <v>5</v>
      </c>
      <c r="F13" s="53">
        <v>5.0</v>
      </c>
      <c r="G13" s="53">
        <v>5.0</v>
      </c>
      <c r="H13" s="55">
        <f t="shared" si="1"/>
        <v>4.45</v>
      </c>
      <c r="I13" s="56">
        <f t="shared" si="2"/>
        <v>89</v>
      </c>
      <c r="J13" s="54" t="str">
        <f t="shared" si="3"/>
        <v>High</v>
      </c>
      <c r="K13" s="8"/>
      <c r="L13" s="63" t="s">
        <v>67</v>
      </c>
      <c r="M13" s="64">
        <v>60.0</v>
      </c>
      <c r="N13" s="8"/>
    </row>
    <row r="14">
      <c r="A14" s="52" t="str">
        <f>'Keyword Master Database'!A14</f>
        <v>comprehensive dentistry tampa</v>
      </c>
      <c r="B14" s="53">
        <v>5.0</v>
      </c>
      <c r="C14" s="54">
        <f>IF('Keyword Master Database'!H14&gt;=1000,5,IF('Keyword Master Database'!H14&gt;=500,4,IF('Keyword Master Database'!H14&gt;=200,3,IF('Keyword Master Database'!H14&gt;=80,2,1))))</f>
        <v>2</v>
      </c>
      <c r="D14" s="54">
        <f>IF('Keyword Master Database'!I14&lt;=20,5,IF('Keyword Master Database'!I14&lt;=35,4,IF('Keyword Master Database'!I14&lt;=50,3,IF('Keyword Master Database'!I14&lt;=65,2,1))))</f>
        <v>4</v>
      </c>
      <c r="E14" s="54">
        <f>IF('Keyword Master Database'!E14="Transactional",5,IF('Keyword Master Database'!E14="Commercial",4,IF('Keyword Master Database'!E14="Navigational",3,2)))</f>
        <v>4</v>
      </c>
      <c r="F14" s="53">
        <v>3.0</v>
      </c>
      <c r="G14" s="53">
        <v>5.0</v>
      </c>
      <c r="H14" s="55">
        <f t="shared" si="1"/>
        <v>3.9</v>
      </c>
      <c r="I14" s="56">
        <f t="shared" si="2"/>
        <v>78</v>
      </c>
      <c r="J14" s="54" t="str">
        <f t="shared" si="3"/>
        <v>High</v>
      </c>
      <c r="K14" s="8"/>
      <c r="L14" s="63" t="s">
        <v>98</v>
      </c>
      <c r="M14" s="64">
        <v>40.0</v>
      </c>
      <c r="N14" s="8"/>
    </row>
    <row r="15">
      <c r="A15" s="52" t="str">
        <f>'Keyword Master Database'!A15</f>
        <v>dentist open now tampa</v>
      </c>
      <c r="B15" s="53">
        <v>5.0</v>
      </c>
      <c r="C15" s="54">
        <f>IF('Keyword Master Database'!H15&gt;=1000,5,IF('Keyword Master Database'!H15&gt;=500,4,IF('Keyword Master Database'!H15&gt;=200,3,IF('Keyword Master Database'!H15&gt;=80,2,1))))</f>
        <v>4</v>
      </c>
      <c r="D15" s="54">
        <f>IF('Keyword Master Database'!I15&lt;=20,5,IF('Keyword Master Database'!I15&lt;=35,4,IF('Keyword Master Database'!I15&lt;=50,3,IF('Keyword Master Database'!I15&lt;=65,2,1))))</f>
        <v>3</v>
      </c>
      <c r="E15" s="54">
        <f>IF('Keyword Master Database'!E15="Transactional",5,IF('Keyword Master Database'!E15="Commercial",4,IF('Keyword Master Database'!E15="Navigational",3,2)))</f>
        <v>5</v>
      </c>
      <c r="F15" s="53">
        <v>5.0</v>
      </c>
      <c r="G15" s="53">
        <v>5.0</v>
      </c>
      <c r="H15" s="55">
        <f t="shared" si="1"/>
        <v>4.45</v>
      </c>
      <c r="I15" s="56">
        <f t="shared" si="2"/>
        <v>89</v>
      </c>
      <c r="J15" s="54" t="str">
        <f t="shared" si="3"/>
        <v>High</v>
      </c>
      <c r="K15" s="8"/>
      <c r="L15" s="63" t="s">
        <v>1075</v>
      </c>
      <c r="M15" s="64">
        <v>0.0</v>
      </c>
      <c r="N15" s="8"/>
    </row>
    <row r="16">
      <c r="A16" s="52" t="str">
        <f>'Keyword Master Database'!A16</f>
        <v>dental office of tampa</v>
      </c>
      <c r="B16" s="53">
        <v>3.0</v>
      </c>
      <c r="C16" s="54">
        <f>IF('Keyword Master Database'!H16&gt;=1000,5,IF('Keyword Master Database'!H16&gt;=500,4,IF('Keyword Master Database'!H16&gt;=200,3,IF('Keyword Master Database'!H16&gt;=80,2,1))))</f>
        <v>3</v>
      </c>
      <c r="D16" s="54">
        <f>IF('Keyword Master Database'!I16&lt;=20,5,IF('Keyword Master Database'!I16&lt;=35,4,IF('Keyword Master Database'!I16&lt;=50,3,IF('Keyword Master Database'!I16&lt;=65,2,1))))</f>
        <v>5</v>
      </c>
      <c r="E16" s="54">
        <f>IF('Keyword Master Database'!E16="Transactional",5,IF('Keyword Master Database'!E16="Commercial",4,IF('Keyword Master Database'!E16="Navigational",3,2)))</f>
        <v>3</v>
      </c>
      <c r="F16" s="53">
        <v>4.0</v>
      </c>
      <c r="G16" s="53">
        <v>3.0</v>
      </c>
      <c r="H16" s="55">
        <f t="shared" si="1"/>
        <v>3.55</v>
      </c>
      <c r="I16" s="56">
        <f t="shared" si="2"/>
        <v>71</v>
      </c>
      <c r="J16" s="54" t="str">
        <f t="shared" si="3"/>
        <v>Medium</v>
      </c>
      <c r="K16" s="8"/>
      <c r="L16" s="8"/>
      <c r="M16" s="8"/>
      <c r="N16" s="8"/>
    </row>
    <row r="17">
      <c r="A17" s="65" t="str">
        <f>'Keyword Master Database'!A17</f>
        <v>dentalofficeoftampa.com</v>
      </c>
      <c r="B17" s="53">
        <v>3.0</v>
      </c>
      <c r="C17" s="54">
        <f>IF('Keyword Master Database'!H17&gt;=1000,5,IF('Keyword Master Database'!H17&gt;=500,4,IF('Keyword Master Database'!H17&gt;=200,3,IF('Keyword Master Database'!H17&gt;=80,2,1))))</f>
        <v>1</v>
      </c>
      <c r="D17" s="54">
        <f>IF('Keyword Master Database'!I17&lt;=20,5,IF('Keyword Master Database'!I17&lt;=35,4,IF('Keyword Master Database'!I17&lt;=50,3,IF('Keyword Master Database'!I17&lt;=65,2,1))))</f>
        <v>5</v>
      </c>
      <c r="E17" s="54">
        <f>IF('Keyword Master Database'!E17="Transactional",5,IF('Keyword Master Database'!E17="Commercial",4,IF('Keyword Master Database'!E17="Navigational",3,2)))</f>
        <v>3</v>
      </c>
      <c r="F17" s="53">
        <v>4.0</v>
      </c>
      <c r="G17" s="53">
        <v>3.0</v>
      </c>
      <c r="H17" s="55">
        <f t="shared" si="1"/>
        <v>3.25</v>
      </c>
      <c r="I17" s="56">
        <f t="shared" si="2"/>
        <v>65</v>
      </c>
      <c r="J17" s="54" t="str">
        <f t="shared" si="3"/>
        <v>Medium</v>
      </c>
      <c r="K17" s="8"/>
      <c r="L17" s="8"/>
      <c r="M17" s="8"/>
      <c r="N17" s="8"/>
    </row>
    <row r="18">
      <c r="A18" s="52" t="str">
        <f>'Keyword Master Database'!A18</f>
        <v>dental office of tampa moran rd</v>
      </c>
      <c r="B18" s="53">
        <v>3.0</v>
      </c>
      <c r="C18" s="54">
        <f>IF('Keyword Master Database'!H18&gt;=1000,5,IF('Keyword Master Database'!H18&gt;=500,4,IF('Keyword Master Database'!H18&gt;=200,3,IF('Keyword Master Database'!H18&gt;=80,2,1))))</f>
        <v>1</v>
      </c>
      <c r="D18" s="54">
        <f>IF('Keyword Master Database'!I18&lt;=20,5,IF('Keyword Master Database'!I18&lt;=35,4,IF('Keyword Master Database'!I18&lt;=50,3,IF('Keyword Master Database'!I18&lt;=65,2,1))))</f>
        <v>5</v>
      </c>
      <c r="E18" s="54">
        <f>IF('Keyword Master Database'!E18="Transactional",5,IF('Keyword Master Database'!E18="Commercial",4,IF('Keyword Master Database'!E18="Navigational",3,2)))</f>
        <v>3</v>
      </c>
      <c r="F18" s="53">
        <v>4.0</v>
      </c>
      <c r="G18" s="53">
        <v>3.0</v>
      </c>
      <c r="H18" s="55">
        <f t="shared" si="1"/>
        <v>3.25</v>
      </c>
      <c r="I18" s="56">
        <f t="shared" si="2"/>
        <v>65</v>
      </c>
      <c r="J18" s="54" t="str">
        <f t="shared" si="3"/>
        <v>Medium</v>
      </c>
      <c r="K18" s="8"/>
      <c r="L18" s="8"/>
      <c r="M18" s="8"/>
      <c r="N18" s="8"/>
    </row>
    <row r="19">
      <c r="A19" s="52" t="str">
        <f>'Keyword Master Database'!A19</f>
        <v>dr jackson dentist tampa</v>
      </c>
      <c r="B19" s="53">
        <v>3.0</v>
      </c>
      <c r="C19" s="54">
        <f>IF('Keyword Master Database'!H19&gt;=1000,5,IF('Keyword Master Database'!H19&gt;=500,4,IF('Keyword Master Database'!H19&gt;=200,3,IF('Keyword Master Database'!H19&gt;=80,2,1))))</f>
        <v>2</v>
      </c>
      <c r="D19" s="54">
        <f>IF('Keyword Master Database'!I19&lt;=20,5,IF('Keyword Master Database'!I19&lt;=35,4,IF('Keyword Master Database'!I19&lt;=50,3,IF('Keyword Master Database'!I19&lt;=65,2,1))))</f>
        <v>5</v>
      </c>
      <c r="E19" s="54">
        <f>IF('Keyword Master Database'!E19="Transactional",5,IF('Keyword Master Database'!E19="Commercial",4,IF('Keyword Master Database'!E19="Navigational",3,2)))</f>
        <v>3</v>
      </c>
      <c r="F19" s="53">
        <v>4.0</v>
      </c>
      <c r="G19" s="53">
        <v>3.0</v>
      </c>
      <c r="H19" s="55">
        <f t="shared" si="1"/>
        <v>3.4</v>
      </c>
      <c r="I19" s="56">
        <f t="shared" si="2"/>
        <v>68</v>
      </c>
      <c r="J19" s="54" t="str">
        <f t="shared" si="3"/>
        <v>Medium</v>
      </c>
      <c r="K19" s="8"/>
      <c r="L19" s="8"/>
      <c r="M19" s="8"/>
      <c r="N19" s="8"/>
    </row>
    <row r="20">
      <c r="A20" s="52" t="str">
        <f>'Keyword Master Database'!A20</f>
        <v>dental office of tampa reviews</v>
      </c>
      <c r="B20" s="53">
        <v>3.0</v>
      </c>
      <c r="C20" s="54">
        <f>IF('Keyword Master Database'!H20&gt;=1000,5,IF('Keyword Master Database'!H20&gt;=500,4,IF('Keyword Master Database'!H20&gt;=200,3,IF('Keyword Master Database'!H20&gt;=80,2,1))))</f>
        <v>1</v>
      </c>
      <c r="D20" s="54">
        <f>IF('Keyword Master Database'!I20&lt;=20,5,IF('Keyword Master Database'!I20&lt;=35,4,IF('Keyword Master Database'!I20&lt;=50,3,IF('Keyword Master Database'!I20&lt;=65,2,1))))</f>
        <v>5</v>
      </c>
      <c r="E20" s="54">
        <f>IF('Keyword Master Database'!E20="Transactional",5,IF('Keyword Master Database'!E20="Commercial",4,IF('Keyword Master Database'!E20="Navigational",3,2)))</f>
        <v>4</v>
      </c>
      <c r="F20" s="53">
        <v>3.0</v>
      </c>
      <c r="G20" s="53">
        <v>3.0</v>
      </c>
      <c r="H20" s="55">
        <f t="shared" si="1"/>
        <v>3.25</v>
      </c>
      <c r="I20" s="56">
        <f t="shared" si="2"/>
        <v>65</v>
      </c>
      <c r="J20" s="54" t="str">
        <f t="shared" si="3"/>
        <v>Medium</v>
      </c>
      <c r="K20" s="8"/>
      <c r="L20" s="8"/>
      <c r="M20" s="8"/>
      <c r="N20" s="8"/>
    </row>
    <row r="21" ht="15.75" customHeight="1">
      <c r="A21" s="52" t="str">
        <f>'Keyword Master Database'!A21</f>
        <v>dental office of tampa phone number</v>
      </c>
      <c r="B21" s="53">
        <v>3.0</v>
      </c>
      <c r="C21" s="54">
        <f>IF('Keyword Master Database'!H21&gt;=1000,5,IF('Keyword Master Database'!H21&gt;=500,4,IF('Keyword Master Database'!H21&gt;=200,3,IF('Keyword Master Database'!H21&gt;=80,2,1))))</f>
        <v>1</v>
      </c>
      <c r="D21" s="54">
        <f>IF('Keyword Master Database'!I21&lt;=20,5,IF('Keyword Master Database'!I21&lt;=35,4,IF('Keyword Master Database'!I21&lt;=50,3,IF('Keyword Master Database'!I21&lt;=65,2,1))))</f>
        <v>5</v>
      </c>
      <c r="E21" s="54">
        <f>IF('Keyword Master Database'!E21="Transactional",5,IF('Keyword Master Database'!E21="Commercial",4,IF('Keyword Master Database'!E21="Navigational",3,2)))</f>
        <v>3</v>
      </c>
      <c r="F21" s="53">
        <v>4.0</v>
      </c>
      <c r="G21" s="53">
        <v>3.0</v>
      </c>
      <c r="H21" s="55">
        <f t="shared" si="1"/>
        <v>3.25</v>
      </c>
      <c r="I21" s="56">
        <f t="shared" si="2"/>
        <v>65</v>
      </c>
      <c r="J21" s="54" t="str">
        <f t="shared" si="3"/>
        <v>Medium</v>
      </c>
      <c r="K21" s="8"/>
      <c r="L21" s="8"/>
      <c r="M21" s="8"/>
      <c r="N21" s="8"/>
    </row>
    <row r="22" ht="15.75" customHeight="1">
      <c r="A22" s="52" t="str">
        <f>'Keyword Master Database'!A22</f>
        <v>dentist 33618</v>
      </c>
      <c r="B22" s="53">
        <v>5.0</v>
      </c>
      <c r="C22" s="54">
        <f>IF('Keyword Master Database'!H22&gt;=1000,5,IF('Keyword Master Database'!H22&gt;=500,4,IF('Keyword Master Database'!H22&gt;=200,3,IF('Keyword Master Database'!H22&gt;=80,2,1))))</f>
        <v>2</v>
      </c>
      <c r="D22" s="54">
        <f>IF('Keyword Master Database'!I22&lt;=20,5,IF('Keyword Master Database'!I22&lt;=35,4,IF('Keyword Master Database'!I22&lt;=50,3,IF('Keyword Master Database'!I22&lt;=65,2,1))))</f>
        <v>4</v>
      </c>
      <c r="E22" s="54">
        <f>IF('Keyword Master Database'!E22="Transactional",5,IF('Keyword Master Database'!E22="Commercial",4,IF('Keyword Master Database'!E22="Navigational",3,2)))</f>
        <v>5</v>
      </c>
      <c r="F22" s="53">
        <v>5.0</v>
      </c>
      <c r="G22" s="53">
        <v>5.0</v>
      </c>
      <c r="H22" s="55">
        <f t="shared" si="1"/>
        <v>4.35</v>
      </c>
      <c r="I22" s="56">
        <f t="shared" si="2"/>
        <v>87</v>
      </c>
      <c r="J22" s="54" t="str">
        <f t="shared" si="3"/>
        <v>High</v>
      </c>
      <c r="K22" s="8"/>
      <c r="L22" s="8"/>
      <c r="M22" s="8"/>
      <c r="N22" s="8"/>
    </row>
    <row r="23" ht="15.75" customHeight="1">
      <c r="A23" s="52" t="str">
        <f>'Keyword Master Database'!A23</f>
        <v>dentist in north tampa</v>
      </c>
      <c r="B23" s="53">
        <v>5.0</v>
      </c>
      <c r="C23" s="54">
        <f>IF('Keyword Master Database'!H23&gt;=1000,5,IF('Keyword Master Database'!H23&gt;=500,4,IF('Keyword Master Database'!H23&gt;=200,3,IF('Keyword Master Database'!H23&gt;=80,2,1))))</f>
        <v>4</v>
      </c>
      <c r="D23" s="54">
        <f>IF('Keyword Master Database'!I23&lt;=20,5,IF('Keyword Master Database'!I23&lt;=35,4,IF('Keyword Master Database'!I23&lt;=50,3,IF('Keyword Master Database'!I23&lt;=65,2,1))))</f>
        <v>3</v>
      </c>
      <c r="E23" s="54">
        <f>IF('Keyword Master Database'!E23="Transactional",5,IF('Keyword Master Database'!E23="Commercial",4,IF('Keyword Master Database'!E23="Navigational",3,2)))</f>
        <v>5</v>
      </c>
      <c r="F23" s="53">
        <v>5.0</v>
      </c>
      <c r="G23" s="53">
        <v>5.0</v>
      </c>
      <c r="H23" s="55">
        <f t="shared" si="1"/>
        <v>4.45</v>
      </c>
      <c r="I23" s="56">
        <f t="shared" si="2"/>
        <v>89</v>
      </c>
      <c r="J23" s="54" t="str">
        <f t="shared" si="3"/>
        <v>High</v>
      </c>
      <c r="K23" s="8"/>
      <c r="L23" s="8"/>
      <c r="M23" s="8"/>
      <c r="N23" s="8"/>
    </row>
    <row r="24" ht="15.75" customHeight="1">
      <c r="A24" s="52" t="str">
        <f>'Keyword Master Database'!A24</f>
        <v>north tampa dentist</v>
      </c>
      <c r="B24" s="53">
        <v>5.0</v>
      </c>
      <c r="C24" s="54">
        <f>IF('Keyword Master Database'!H24&gt;=1000,5,IF('Keyword Master Database'!H24&gt;=500,4,IF('Keyword Master Database'!H24&gt;=200,3,IF('Keyword Master Database'!H24&gt;=80,2,1))))</f>
        <v>3</v>
      </c>
      <c r="D24" s="54">
        <f>IF('Keyword Master Database'!I24&lt;=20,5,IF('Keyword Master Database'!I24&lt;=35,4,IF('Keyword Master Database'!I24&lt;=50,3,IF('Keyword Master Database'!I24&lt;=65,2,1))))</f>
        <v>3</v>
      </c>
      <c r="E24" s="54">
        <f>IF('Keyword Master Database'!E24="Transactional",5,IF('Keyword Master Database'!E24="Commercial",4,IF('Keyword Master Database'!E24="Navigational",3,2)))</f>
        <v>5</v>
      </c>
      <c r="F24" s="53">
        <v>5.0</v>
      </c>
      <c r="G24" s="53">
        <v>5.0</v>
      </c>
      <c r="H24" s="55">
        <f t="shared" si="1"/>
        <v>4.3</v>
      </c>
      <c r="I24" s="56">
        <f t="shared" si="2"/>
        <v>86</v>
      </c>
      <c r="J24" s="54" t="str">
        <f t="shared" si="3"/>
        <v>High</v>
      </c>
      <c r="K24" s="8"/>
      <c r="L24" s="8"/>
      <c r="M24" s="8"/>
      <c r="N24" s="8"/>
    </row>
    <row r="25" ht="15.75" customHeight="1">
      <c r="A25" s="52" t="str">
        <f>'Keyword Master Database'!A25</f>
        <v>dentist 33624</v>
      </c>
      <c r="B25" s="53">
        <v>5.0</v>
      </c>
      <c r="C25" s="54">
        <f>IF('Keyword Master Database'!H25&gt;=1000,5,IF('Keyword Master Database'!H25&gt;=500,4,IF('Keyword Master Database'!H25&gt;=200,3,IF('Keyword Master Database'!H25&gt;=80,2,1))))</f>
        <v>2</v>
      </c>
      <c r="D25" s="54">
        <f>IF('Keyword Master Database'!I25&lt;=20,5,IF('Keyword Master Database'!I25&lt;=35,4,IF('Keyword Master Database'!I25&lt;=50,3,IF('Keyword Master Database'!I25&lt;=65,2,1))))</f>
        <v>4</v>
      </c>
      <c r="E25" s="54">
        <f>IF('Keyword Master Database'!E25="Transactional",5,IF('Keyword Master Database'!E25="Commercial",4,IF('Keyword Master Database'!E25="Navigational",3,2)))</f>
        <v>5</v>
      </c>
      <c r="F25" s="53">
        <v>5.0</v>
      </c>
      <c r="G25" s="53">
        <v>5.0</v>
      </c>
      <c r="H25" s="55">
        <f t="shared" si="1"/>
        <v>4.35</v>
      </c>
      <c r="I25" s="56">
        <f t="shared" si="2"/>
        <v>87</v>
      </c>
      <c r="J25" s="54" t="str">
        <f t="shared" si="3"/>
        <v>High</v>
      </c>
      <c r="K25" s="8"/>
      <c r="L25" s="8"/>
      <c r="M25" s="8"/>
      <c r="N25" s="8"/>
    </row>
    <row r="26" ht="15.75" customHeight="1">
      <c r="A26" s="52" t="str">
        <f>'Keyword Master Database'!A26</f>
        <v>dentist 33625</v>
      </c>
      <c r="B26" s="53">
        <v>5.0</v>
      </c>
      <c r="C26" s="54">
        <f>IF('Keyword Master Database'!H26&gt;=1000,5,IF('Keyword Master Database'!H26&gt;=500,4,IF('Keyword Master Database'!H26&gt;=200,3,IF('Keyword Master Database'!H26&gt;=80,2,1))))</f>
        <v>1</v>
      </c>
      <c r="D26" s="54">
        <f>IF('Keyword Master Database'!I26&lt;=20,5,IF('Keyword Master Database'!I26&lt;=35,4,IF('Keyword Master Database'!I26&lt;=50,3,IF('Keyword Master Database'!I26&lt;=65,2,1))))</f>
        <v>5</v>
      </c>
      <c r="E26" s="54">
        <f>IF('Keyword Master Database'!E26="Transactional",5,IF('Keyword Master Database'!E26="Commercial",4,IF('Keyword Master Database'!E26="Navigational",3,2)))</f>
        <v>5</v>
      </c>
      <c r="F26" s="53">
        <v>5.0</v>
      </c>
      <c r="G26" s="53">
        <v>5.0</v>
      </c>
      <c r="H26" s="55">
        <f t="shared" si="1"/>
        <v>4.4</v>
      </c>
      <c r="I26" s="56">
        <f t="shared" si="2"/>
        <v>88</v>
      </c>
      <c r="J26" s="54" t="str">
        <f t="shared" si="3"/>
        <v>High</v>
      </c>
      <c r="K26" s="8"/>
      <c r="L26" s="8"/>
      <c r="M26" s="8"/>
      <c r="N26" s="8"/>
    </row>
    <row r="27" ht="15.75" customHeight="1">
      <c r="A27" s="52" t="str">
        <f>'Keyword Master Database'!A27</f>
        <v>dentist moran rd tampa</v>
      </c>
      <c r="B27" s="53">
        <v>5.0</v>
      </c>
      <c r="C27" s="54">
        <f>IF('Keyword Master Database'!H27&gt;=1000,5,IF('Keyword Master Database'!H27&gt;=500,4,IF('Keyword Master Database'!H27&gt;=200,3,IF('Keyword Master Database'!H27&gt;=80,2,1))))</f>
        <v>1</v>
      </c>
      <c r="D27" s="54">
        <f>IF('Keyword Master Database'!I27&lt;=20,5,IF('Keyword Master Database'!I27&lt;=35,4,IF('Keyword Master Database'!I27&lt;=50,3,IF('Keyword Master Database'!I27&lt;=65,2,1))))</f>
        <v>5</v>
      </c>
      <c r="E27" s="54">
        <f>IF('Keyword Master Database'!E27="Transactional",5,IF('Keyword Master Database'!E27="Commercial",4,IF('Keyword Master Database'!E27="Navigational",3,2)))</f>
        <v>5</v>
      </c>
      <c r="F27" s="53">
        <v>5.0</v>
      </c>
      <c r="G27" s="53">
        <v>5.0</v>
      </c>
      <c r="H27" s="55">
        <f t="shared" si="1"/>
        <v>4.4</v>
      </c>
      <c r="I27" s="56">
        <f t="shared" si="2"/>
        <v>88</v>
      </c>
      <c r="J27" s="54" t="str">
        <f t="shared" si="3"/>
        <v>High</v>
      </c>
      <c r="K27" s="8"/>
      <c r="L27" s="8"/>
      <c r="M27" s="8"/>
      <c r="N27" s="8"/>
    </row>
    <row r="28" ht="15.75" customHeight="1">
      <c r="A28" s="52" t="str">
        <f>'Keyword Master Database'!A28</f>
        <v>dentist near dale mabry tampa</v>
      </c>
      <c r="B28" s="53">
        <v>5.0</v>
      </c>
      <c r="C28" s="54">
        <f>IF('Keyword Master Database'!H28&gt;=1000,5,IF('Keyword Master Database'!H28&gt;=500,4,IF('Keyword Master Database'!H28&gt;=200,3,IF('Keyword Master Database'!H28&gt;=80,2,1))))</f>
        <v>2</v>
      </c>
      <c r="D28" s="54">
        <f>IF('Keyword Master Database'!I28&lt;=20,5,IF('Keyword Master Database'!I28&lt;=35,4,IF('Keyword Master Database'!I28&lt;=50,3,IF('Keyword Master Database'!I28&lt;=65,2,1))))</f>
        <v>4</v>
      </c>
      <c r="E28" s="54">
        <f>IF('Keyword Master Database'!E28="Transactional",5,IF('Keyword Master Database'!E28="Commercial",4,IF('Keyword Master Database'!E28="Navigational",3,2)))</f>
        <v>5</v>
      </c>
      <c r="F28" s="53">
        <v>5.0</v>
      </c>
      <c r="G28" s="53">
        <v>5.0</v>
      </c>
      <c r="H28" s="55">
        <f t="shared" si="1"/>
        <v>4.35</v>
      </c>
      <c r="I28" s="56">
        <f t="shared" si="2"/>
        <v>87</v>
      </c>
      <c r="J28" s="54" t="str">
        <f t="shared" si="3"/>
        <v>High</v>
      </c>
      <c r="K28" s="8"/>
      <c r="L28" s="8"/>
      <c r="M28" s="8"/>
      <c r="N28" s="8"/>
    </row>
    <row r="29" ht="15.75" customHeight="1">
      <c r="A29" s="52" t="str">
        <f>'Keyword Master Database'!A29</f>
        <v>dentist carrollwood tampa</v>
      </c>
      <c r="B29" s="53">
        <v>4.0</v>
      </c>
      <c r="C29" s="54">
        <f>IF('Keyword Master Database'!H29&gt;=1000,5,IF('Keyword Master Database'!H29&gt;=500,4,IF('Keyword Master Database'!H29&gt;=200,3,IF('Keyword Master Database'!H29&gt;=80,2,1))))</f>
        <v>3</v>
      </c>
      <c r="D29" s="54">
        <f>IF('Keyword Master Database'!I29&lt;=20,5,IF('Keyword Master Database'!I29&lt;=35,4,IF('Keyword Master Database'!I29&lt;=50,3,IF('Keyword Master Database'!I29&lt;=65,2,1))))</f>
        <v>3</v>
      </c>
      <c r="E29" s="54">
        <f>IF('Keyword Master Database'!E29="Transactional",5,IF('Keyword Master Database'!E29="Commercial",4,IF('Keyword Master Database'!E29="Navigational",3,2)))</f>
        <v>5</v>
      </c>
      <c r="F29" s="53">
        <v>5.0</v>
      </c>
      <c r="G29" s="53">
        <v>4.0</v>
      </c>
      <c r="H29" s="55">
        <f t="shared" si="1"/>
        <v>3.95</v>
      </c>
      <c r="I29" s="56">
        <f t="shared" si="2"/>
        <v>79</v>
      </c>
      <c r="J29" s="54" t="str">
        <f t="shared" si="3"/>
        <v>High</v>
      </c>
      <c r="K29" s="8"/>
      <c r="L29" s="8"/>
      <c r="M29" s="8"/>
      <c r="N29" s="8"/>
    </row>
    <row r="30" ht="15.75" customHeight="1">
      <c r="A30" s="52" t="str">
        <f>'Keyword Master Database'!A30</f>
        <v>carrollwood dentist</v>
      </c>
      <c r="B30" s="53">
        <v>4.0</v>
      </c>
      <c r="C30" s="54">
        <f>IF('Keyword Master Database'!H30&gt;=1000,5,IF('Keyword Master Database'!H30&gt;=500,4,IF('Keyword Master Database'!H30&gt;=200,3,IF('Keyword Master Database'!H30&gt;=80,2,1))))</f>
        <v>3</v>
      </c>
      <c r="D30" s="54">
        <f>IF('Keyword Master Database'!I30&lt;=20,5,IF('Keyword Master Database'!I30&lt;=35,4,IF('Keyword Master Database'!I30&lt;=50,3,IF('Keyword Master Database'!I30&lt;=65,2,1))))</f>
        <v>3</v>
      </c>
      <c r="E30" s="54">
        <f>IF('Keyword Master Database'!E30="Transactional",5,IF('Keyword Master Database'!E30="Commercial",4,IF('Keyword Master Database'!E30="Navigational",3,2)))</f>
        <v>5</v>
      </c>
      <c r="F30" s="53">
        <v>5.0</v>
      </c>
      <c r="G30" s="53">
        <v>4.0</v>
      </c>
      <c r="H30" s="55">
        <f t="shared" si="1"/>
        <v>3.95</v>
      </c>
      <c r="I30" s="56">
        <f t="shared" si="2"/>
        <v>79</v>
      </c>
      <c r="J30" s="54" t="str">
        <f t="shared" si="3"/>
        <v>High</v>
      </c>
      <c r="K30" s="8"/>
      <c r="L30" s="8"/>
      <c r="M30" s="8"/>
      <c r="N30" s="8"/>
    </row>
    <row r="31" ht="15.75" customHeight="1">
      <c r="A31" s="52" t="str">
        <f>'Keyword Master Database'!A31</f>
        <v>dentist in carrollwood fl</v>
      </c>
      <c r="B31" s="53">
        <v>4.0</v>
      </c>
      <c r="C31" s="54">
        <f>IF('Keyword Master Database'!H31&gt;=1000,5,IF('Keyword Master Database'!H31&gt;=500,4,IF('Keyword Master Database'!H31&gt;=200,3,IF('Keyword Master Database'!H31&gt;=80,2,1))))</f>
        <v>3</v>
      </c>
      <c r="D31" s="54">
        <f>IF('Keyword Master Database'!I31&lt;=20,5,IF('Keyword Master Database'!I31&lt;=35,4,IF('Keyword Master Database'!I31&lt;=50,3,IF('Keyword Master Database'!I31&lt;=65,2,1))))</f>
        <v>4</v>
      </c>
      <c r="E31" s="54">
        <f>IF('Keyword Master Database'!E31="Transactional",5,IF('Keyword Master Database'!E31="Commercial",4,IF('Keyword Master Database'!E31="Navigational",3,2)))</f>
        <v>5</v>
      </c>
      <c r="F31" s="53">
        <v>5.0</v>
      </c>
      <c r="G31" s="53">
        <v>4.0</v>
      </c>
      <c r="H31" s="55">
        <f t="shared" si="1"/>
        <v>4.15</v>
      </c>
      <c r="I31" s="56">
        <f t="shared" si="2"/>
        <v>83</v>
      </c>
      <c r="J31" s="54" t="str">
        <f t="shared" si="3"/>
        <v>High</v>
      </c>
      <c r="K31" s="8"/>
      <c r="L31" s="8"/>
      <c r="M31" s="8"/>
      <c r="N31" s="8"/>
    </row>
    <row r="32" ht="15.75" customHeight="1">
      <c r="A32" s="52" t="str">
        <f>'Keyword Master Database'!A32</f>
        <v>dental office carrollwood</v>
      </c>
      <c r="B32" s="53">
        <v>4.0</v>
      </c>
      <c r="C32" s="54">
        <f>IF('Keyword Master Database'!H32&gt;=1000,5,IF('Keyword Master Database'!H32&gt;=500,4,IF('Keyword Master Database'!H32&gt;=200,3,IF('Keyword Master Database'!H32&gt;=80,2,1))))</f>
        <v>1</v>
      </c>
      <c r="D32" s="54">
        <f>IF('Keyword Master Database'!I32&lt;=20,5,IF('Keyword Master Database'!I32&lt;=35,4,IF('Keyword Master Database'!I32&lt;=50,3,IF('Keyword Master Database'!I32&lt;=65,2,1))))</f>
        <v>4</v>
      </c>
      <c r="E32" s="54">
        <f>IF('Keyword Master Database'!E32="Transactional",5,IF('Keyword Master Database'!E32="Commercial",4,IF('Keyword Master Database'!E32="Navigational",3,2)))</f>
        <v>5</v>
      </c>
      <c r="F32" s="53">
        <v>5.0</v>
      </c>
      <c r="G32" s="53">
        <v>4.0</v>
      </c>
      <c r="H32" s="55">
        <f t="shared" si="1"/>
        <v>3.85</v>
      </c>
      <c r="I32" s="56">
        <f t="shared" si="2"/>
        <v>77</v>
      </c>
      <c r="J32" s="54" t="str">
        <f t="shared" si="3"/>
        <v>High</v>
      </c>
      <c r="K32" s="8"/>
      <c r="L32" s="8"/>
      <c r="M32" s="8"/>
      <c r="N32" s="8"/>
    </row>
    <row r="33" ht="15.75" customHeight="1">
      <c r="A33" s="52" t="str">
        <f>'Keyword Master Database'!A33</f>
        <v>dentist northdale tampa</v>
      </c>
      <c r="B33" s="53">
        <v>4.0</v>
      </c>
      <c r="C33" s="54">
        <f>IF('Keyword Master Database'!H33&gt;=1000,5,IF('Keyword Master Database'!H33&gt;=500,4,IF('Keyword Master Database'!H33&gt;=200,3,IF('Keyword Master Database'!H33&gt;=80,2,1))))</f>
        <v>3</v>
      </c>
      <c r="D33" s="54">
        <f>IF('Keyword Master Database'!I33&lt;=20,5,IF('Keyword Master Database'!I33&lt;=35,4,IF('Keyword Master Database'!I33&lt;=50,3,IF('Keyword Master Database'!I33&lt;=65,2,1))))</f>
        <v>4</v>
      </c>
      <c r="E33" s="54">
        <f>IF('Keyword Master Database'!E33="Transactional",5,IF('Keyword Master Database'!E33="Commercial",4,IF('Keyword Master Database'!E33="Navigational",3,2)))</f>
        <v>5</v>
      </c>
      <c r="F33" s="53">
        <v>5.0</v>
      </c>
      <c r="G33" s="53">
        <v>4.0</v>
      </c>
      <c r="H33" s="55">
        <f t="shared" si="1"/>
        <v>4.15</v>
      </c>
      <c r="I33" s="56">
        <f t="shared" si="2"/>
        <v>83</v>
      </c>
      <c r="J33" s="54" t="str">
        <f t="shared" si="3"/>
        <v>High</v>
      </c>
      <c r="K33" s="8"/>
      <c r="L33" s="8"/>
      <c r="M33" s="8"/>
      <c r="N33" s="8"/>
    </row>
    <row r="34" ht="15.75" customHeight="1">
      <c r="A34" s="52" t="str">
        <f>'Keyword Master Database'!A34</f>
        <v>northdale dentist</v>
      </c>
      <c r="B34" s="53">
        <v>4.0</v>
      </c>
      <c r="C34" s="54">
        <f>IF('Keyword Master Database'!H34&gt;=1000,5,IF('Keyword Master Database'!H34&gt;=500,4,IF('Keyword Master Database'!H34&gt;=200,3,IF('Keyword Master Database'!H34&gt;=80,2,1))))</f>
        <v>2</v>
      </c>
      <c r="D34" s="54">
        <f>IF('Keyword Master Database'!I34&lt;=20,5,IF('Keyword Master Database'!I34&lt;=35,4,IF('Keyword Master Database'!I34&lt;=50,3,IF('Keyword Master Database'!I34&lt;=65,2,1))))</f>
        <v>4</v>
      </c>
      <c r="E34" s="54">
        <f>IF('Keyword Master Database'!E34="Transactional",5,IF('Keyword Master Database'!E34="Commercial",4,IF('Keyword Master Database'!E34="Navigational",3,2)))</f>
        <v>5</v>
      </c>
      <c r="F34" s="53">
        <v>5.0</v>
      </c>
      <c r="G34" s="53">
        <v>4.0</v>
      </c>
      <c r="H34" s="55">
        <f t="shared" si="1"/>
        <v>4</v>
      </c>
      <c r="I34" s="56">
        <f t="shared" si="2"/>
        <v>80</v>
      </c>
      <c r="J34" s="54" t="str">
        <f t="shared" si="3"/>
        <v>High</v>
      </c>
      <c r="K34" s="8"/>
      <c r="L34" s="8"/>
      <c r="M34" s="8"/>
      <c r="N34" s="8"/>
    </row>
    <row r="35" ht="15.75" customHeight="1">
      <c r="A35" s="52" t="str">
        <f>'Keyword Master Database'!A35</f>
        <v>dentist in northdale fl</v>
      </c>
      <c r="B35" s="53">
        <v>4.0</v>
      </c>
      <c r="C35" s="54">
        <f>IF('Keyword Master Database'!H35&gt;=1000,5,IF('Keyword Master Database'!H35&gt;=500,4,IF('Keyword Master Database'!H35&gt;=200,3,IF('Keyword Master Database'!H35&gt;=80,2,1))))</f>
        <v>2</v>
      </c>
      <c r="D35" s="54">
        <f>IF('Keyword Master Database'!I35&lt;=20,5,IF('Keyword Master Database'!I35&lt;=35,4,IF('Keyword Master Database'!I35&lt;=50,3,IF('Keyword Master Database'!I35&lt;=65,2,1))))</f>
        <v>4</v>
      </c>
      <c r="E35" s="54">
        <f>IF('Keyword Master Database'!E35="Transactional",5,IF('Keyword Master Database'!E35="Commercial",4,IF('Keyword Master Database'!E35="Navigational",3,2)))</f>
        <v>5</v>
      </c>
      <c r="F35" s="53">
        <v>5.0</v>
      </c>
      <c r="G35" s="53">
        <v>4.0</v>
      </c>
      <c r="H35" s="55">
        <f t="shared" si="1"/>
        <v>4</v>
      </c>
      <c r="I35" s="56">
        <f t="shared" si="2"/>
        <v>80</v>
      </c>
      <c r="J35" s="54" t="str">
        <f t="shared" si="3"/>
        <v>High</v>
      </c>
      <c r="K35" s="8"/>
      <c r="L35" s="8"/>
      <c r="M35" s="8"/>
      <c r="N35" s="8"/>
    </row>
    <row r="36" ht="15.75" customHeight="1">
      <c r="A36" s="52" t="str">
        <f>'Keyword Master Database'!A36</f>
        <v>dentist lutz fl</v>
      </c>
      <c r="B36" s="53">
        <v>4.0</v>
      </c>
      <c r="C36" s="54">
        <f>IF('Keyword Master Database'!H36&gt;=1000,5,IF('Keyword Master Database'!H36&gt;=500,4,IF('Keyword Master Database'!H36&gt;=200,3,IF('Keyword Master Database'!H36&gt;=80,2,1))))</f>
        <v>5</v>
      </c>
      <c r="D36" s="54">
        <f>IF('Keyword Master Database'!I36&lt;=20,5,IF('Keyword Master Database'!I36&lt;=35,4,IF('Keyword Master Database'!I36&lt;=50,3,IF('Keyword Master Database'!I36&lt;=65,2,1))))</f>
        <v>3</v>
      </c>
      <c r="E36" s="54">
        <f>IF('Keyword Master Database'!E36="Transactional",5,IF('Keyword Master Database'!E36="Commercial",4,IF('Keyword Master Database'!E36="Navigational",3,2)))</f>
        <v>5</v>
      </c>
      <c r="F36" s="53">
        <v>5.0</v>
      </c>
      <c r="G36" s="53">
        <v>4.0</v>
      </c>
      <c r="H36" s="55">
        <f t="shared" si="1"/>
        <v>4.25</v>
      </c>
      <c r="I36" s="56">
        <f t="shared" si="2"/>
        <v>85</v>
      </c>
      <c r="J36" s="54" t="str">
        <f t="shared" si="3"/>
        <v>High</v>
      </c>
      <c r="K36" s="8"/>
      <c r="L36" s="8"/>
      <c r="M36" s="8"/>
      <c r="N36" s="8"/>
    </row>
    <row r="37" ht="15.75" customHeight="1">
      <c r="A37" s="52" t="str">
        <f>'Keyword Master Database'!A37</f>
        <v>lutz dentist</v>
      </c>
      <c r="B37" s="53">
        <v>4.0</v>
      </c>
      <c r="C37" s="54">
        <f>IF('Keyword Master Database'!H37&gt;=1000,5,IF('Keyword Master Database'!H37&gt;=500,4,IF('Keyword Master Database'!H37&gt;=200,3,IF('Keyword Master Database'!H37&gt;=80,2,1))))</f>
        <v>3</v>
      </c>
      <c r="D37" s="54">
        <f>IF('Keyword Master Database'!I37&lt;=20,5,IF('Keyword Master Database'!I37&lt;=35,4,IF('Keyword Master Database'!I37&lt;=50,3,IF('Keyword Master Database'!I37&lt;=65,2,1))))</f>
        <v>3</v>
      </c>
      <c r="E37" s="54">
        <f>IF('Keyword Master Database'!E37="Transactional",5,IF('Keyword Master Database'!E37="Commercial",4,IF('Keyword Master Database'!E37="Navigational",3,2)))</f>
        <v>5</v>
      </c>
      <c r="F37" s="53">
        <v>5.0</v>
      </c>
      <c r="G37" s="53">
        <v>4.0</v>
      </c>
      <c r="H37" s="55">
        <f t="shared" si="1"/>
        <v>3.95</v>
      </c>
      <c r="I37" s="56">
        <f t="shared" si="2"/>
        <v>79</v>
      </c>
      <c r="J37" s="54" t="str">
        <f t="shared" si="3"/>
        <v>High</v>
      </c>
      <c r="K37" s="8"/>
      <c r="L37" s="8"/>
      <c r="M37" s="8"/>
      <c r="N37" s="8"/>
    </row>
    <row r="38" ht="15.75" customHeight="1">
      <c r="A38" s="52" t="str">
        <f>'Keyword Master Database'!A38</f>
        <v>dentist in lutz florida</v>
      </c>
      <c r="B38" s="53">
        <v>4.0</v>
      </c>
      <c r="C38" s="54">
        <f>IF('Keyword Master Database'!H38&gt;=1000,5,IF('Keyword Master Database'!H38&gt;=500,4,IF('Keyword Master Database'!H38&gt;=200,3,IF('Keyword Master Database'!H38&gt;=80,2,1))))</f>
        <v>3</v>
      </c>
      <c r="D38" s="54">
        <f>IF('Keyword Master Database'!I38&lt;=20,5,IF('Keyword Master Database'!I38&lt;=35,4,IF('Keyword Master Database'!I38&lt;=50,3,IF('Keyword Master Database'!I38&lt;=65,2,1))))</f>
        <v>3</v>
      </c>
      <c r="E38" s="54">
        <f>IF('Keyword Master Database'!E38="Transactional",5,IF('Keyword Master Database'!E38="Commercial",4,IF('Keyword Master Database'!E38="Navigational",3,2)))</f>
        <v>5</v>
      </c>
      <c r="F38" s="53">
        <v>5.0</v>
      </c>
      <c r="G38" s="53">
        <v>4.0</v>
      </c>
      <c r="H38" s="55">
        <f t="shared" si="1"/>
        <v>3.95</v>
      </c>
      <c r="I38" s="56">
        <f t="shared" si="2"/>
        <v>79</v>
      </c>
      <c r="J38" s="54" t="str">
        <f t="shared" si="3"/>
        <v>High</v>
      </c>
      <c r="K38" s="8"/>
      <c r="L38" s="8"/>
      <c r="M38" s="8"/>
      <c r="N38" s="8"/>
    </row>
    <row r="39" ht="15.75" customHeight="1">
      <c r="A39" s="52" t="str">
        <f>'Keyword Master Database'!A39</f>
        <v>dentist citrus park tampa</v>
      </c>
      <c r="B39" s="53">
        <v>4.0</v>
      </c>
      <c r="C39" s="54">
        <f>IF('Keyword Master Database'!H39&gt;=1000,5,IF('Keyword Master Database'!H39&gt;=500,4,IF('Keyword Master Database'!H39&gt;=200,3,IF('Keyword Master Database'!H39&gt;=80,2,1))))</f>
        <v>3</v>
      </c>
      <c r="D39" s="54">
        <f>IF('Keyword Master Database'!I39&lt;=20,5,IF('Keyword Master Database'!I39&lt;=35,4,IF('Keyword Master Database'!I39&lt;=50,3,IF('Keyword Master Database'!I39&lt;=65,2,1))))</f>
        <v>4</v>
      </c>
      <c r="E39" s="54">
        <f>IF('Keyword Master Database'!E39="Transactional",5,IF('Keyword Master Database'!E39="Commercial",4,IF('Keyword Master Database'!E39="Navigational",3,2)))</f>
        <v>5</v>
      </c>
      <c r="F39" s="53">
        <v>5.0</v>
      </c>
      <c r="G39" s="53">
        <v>4.0</v>
      </c>
      <c r="H39" s="55">
        <f t="shared" si="1"/>
        <v>4.15</v>
      </c>
      <c r="I39" s="56">
        <f t="shared" si="2"/>
        <v>83</v>
      </c>
      <c r="J39" s="54" t="str">
        <f t="shared" si="3"/>
        <v>High</v>
      </c>
      <c r="K39" s="8"/>
      <c r="L39" s="8"/>
      <c r="M39" s="8"/>
      <c r="N39" s="8"/>
    </row>
    <row r="40" ht="15.75" customHeight="1">
      <c r="A40" s="52" t="str">
        <f>'Keyword Master Database'!A40</f>
        <v>citrus park dentist</v>
      </c>
      <c r="B40" s="53">
        <v>4.0</v>
      </c>
      <c r="C40" s="54">
        <f>IF('Keyword Master Database'!H40&gt;=1000,5,IF('Keyword Master Database'!H40&gt;=500,4,IF('Keyword Master Database'!H40&gt;=200,3,IF('Keyword Master Database'!H40&gt;=80,2,1))))</f>
        <v>2</v>
      </c>
      <c r="D40" s="54">
        <f>IF('Keyword Master Database'!I40&lt;=20,5,IF('Keyword Master Database'!I40&lt;=35,4,IF('Keyword Master Database'!I40&lt;=50,3,IF('Keyword Master Database'!I40&lt;=65,2,1))))</f>
        <v>4</v>
      </c>
      <c r="E40" s="54">
        <f>IF('Keyword Master Database'!E40="Transactional",5,IF('Keyword Master Database'!E40="Commercial",4,IF('Keyword Master Database'!E40="Navigational",3,2)))</f>
        <v>5</v>
      </c>
      <c r="F40" s="53">
        <v>5.0</v>
      </c>
      <c r="G40" s="53">
        <v>4.0</v>
      </c>
      <c r="H40" s="55">
        <f t="shared" si="1"/>
        <v>4</v>
      </c>
      <c r="I40" s="56">
        <f t="shared" si="2"/>
        <v>80</v>
      </c>
      <c r="J40" s="54" t="str">
        <f t="shared" si="3"/>
        <v>High</v>
      </c>
      <c r="K40" s="8"/>
      <c r="L40" s="8"/>
      <c r="M40" s="8"/>
      <c r="N40" s="8"/>
    </row>
    <row r="41" ht="15.75" customHeight="1">
      <c r="A41" s="52" t="str">
        <f>'Keyword Master Database'!A41</f>
        <v>dentist citrus park fl</v>
      </c>
      <c r="B41" s="53">
        <v>4.0</v>
      </c>
      <c r="C41" s="54">
        <f>IF('Keyword Master Database'!H41&gt;=1000,5,IF('Keyword Master Database'!H41&gt;=500,4,IF('Keyword Master Database'!H41&gt;=200,3,IF('Keyword Master Database'!H41&gt;=80,2,1))))</f>
        <v>2</v>
      </c>
      <c r="D41" s="54">
        <f>IF('Keyword Master Database'!I41&lt;=20,5,IF('Keyword Master Database'!I41&lt;=35,4,IF('Keyword Master Database'!I41&lt;=50,3,IF('Keyword Master Database'!I41&lt;=65,2,1))))</f>
        <v>4</v>
      </c>
      <c r="E41" s="54">
        <f>IF('Keyword Master Database'!E41="Transactional",5,IF('Keyword Master Database'!E41="Commercial",4,IF('Keyword Master Database'!E41="Navigational",3,2)))</f>
        <v>5</v>
      </c>
      <c r="F41" s="53">
        <v>5.0</v>
      </c>
      <c r="G41" s="53">
        <v>4.0</v>
      </c>
      <c r="H41" s="55">
        <f t="shared" si="1"/>
        <v>4</v>
      </c>
      <c r="I41" s="56">
        <f t="shared" si="2"/>
        <v>80</v>
      </c>
      <c r="J41" s="54" t="str">
        <f t="shared" si="3"/>
        <v>High</v>
      </c>
      <c r="K41" s="8"/>
      <c r="L41" s="8"/>
      <c r="M41" s="8"/>
      <c r="N41" s="8"/>
    </row>
    <row r="42" ht="15.75" customHeight="1">
      <c r="A42" s="52" t="str">
        <f>'Keyword Master Database'!A42</f>
        <v>free teeth cleaning tampa</v>
      </c>
      <c r="B42" s="53">
        <v>5.0</v>
      </c>
      <c r="C42" s="54">
        <f>IF('Keyword Master Database'!H42&gt;=1000,5,IF('Keyword Master Database'!H42&gt;=500,4,IF('Keyword Master Database'!H42&gt;=200,3,IF('Keyword Master Database'!H42&gt;=80,2,1))))</f>
        <v>3</v>
      </c>
      <c r="D42" s="54">
        <f>IF('Keyword Master Database'!I42&lt;=20,5,IF('Keyword Master Database'!I42&lt;=35,4,IF('Keyword Master Database'!I42&lt;=50,3,IF('Keyword Master Database'!I42&lt;=65,2,1))))</f>
        <v>5</v>
      </c>
      <c r="E42" s="54">
        <f>IF('Keyword Master Database'!E42="Transactional",5,IF('Keyword Master Database'!E42="Commercial",4,IF('Keyword Master Database'!E42="Navigational",3,2)))</f>
        <v>5</v>
      </c>
      <c r="F42" s="53">
        <v>5.0</v>
      </c>
      <c r="G42" s="53">
        <v>5.0</v>
      </c>
      <c r="H42" s="55">
        <f t="shared" si="1"/>
        <v>4.7</v>
      </c>
      <c r="I42" s="56">
        <f t="shared" si="2"/>
        <v>94</v>
      </c>
      <c r="J42" s="54" t="str">
        <f t="shared" si="3"/>
        <v>Critical</v>
      </c>
      <c r="K42" s="8"/>
      <c r="L42" s="8"/>
      <c r="M42" s="8"/>
      <c r="N42" s="8"/>
    </row>
    <row r="43" ht="15.75" customHeight="1">
      <c r="A43" s="52" t="str">
        <f>'Keyword Master Database'!A43</f>
        <v>free dental cleaning near me</v>
      </c>
      <c r="B43" s="53">
        <v>5.0</v>
      </c>
      <c r="C43" s="54">
        <f>IF('Keyword Master Database'!H43&gt;=1000,5,IF('Keyword Master Database'!H43&gt;=500,4,IF('Keyword Master Database'!H43&gt;=200,3,IF('Keyword Master Database'!H43&gt;=80,2,1))))</f>
        <v>3</v>
      </c>
      <c r="D43" s="54">
        <f>IF('Keyword Master Database'!I43&lt;=20,5,IF('Keyword Master Database'!I43&lt;=35,4,IF('Keyword Master Database'!I43&lt;=50,3,IF('Keyword Master Database'!I43&lt;=65,2,1))))</f>
        <v>4</v>
      </c>
      <c r="E43" s="54">
        <f>IF('Keyword Master Database'!E43="Transactional",5,IF('Keyword Master Database'!E43="Commercial",4,IF('Keyword Master Database'!E43="Navigational",3,2)))</f>
        <v>5</v>
      </c>
      <c r="F43" s="53">
        <v>5.0</v>
      </c>
      <c r="G43" s="53">
        <v>5.0</v>
      </c>
      <c r="H43" s="55">
        <f t="shared" si="1"/>
        <v>4.5</v>
      </c>
      <c r="I43" s="56">
        <f t="shared" si="2"/>
        <v>90</v>
      </c>
      <c r="J43" s="54" t="str">
        <f t="shared" si="3"/>
        <v>Critical</v>
      </c>
      <c r="K43" s="8"/>
      <c r="L43" s="8"/>
      <c r="M43" s="8"/>
      <c r="N43" s="8"/>
    </row>
    <row r="44" ht="15.75" customHeight="1">
      <c r="A44" s="52" t="str">
        <f>'Keyword Master Database'!A44</f>
        <v>free dental exam and x-rays tampa</v>
      </c>
      <c r="B44" s="53">
        <v>5.0</v>
      </c>
      <c r="C44" s="54">
        <f>IF('Keyword Master Database'!H44&gt;=1000,5,IF('Keyword Master Database'!H44&gt;=500,4,IF('Keyword Master Database'!H44&gt;=200,3,IF('Keyword Master Database'!H44&gt;=80,2,1))))</f>
        <v>2</v>
      </c>
      <c r="D44" s="54">
        <f>IF('Keyword Master Database'!I44&lt;=20,5,IF('Keyword Master Database'!I44&lt;=35,4,IF('Keyword Master Database'!I44&lt;=50,3,IF('Keyword Master Database'!I44&lt;=65,2,1))))</f>
        <v>5</v>
      </c>
      <c r="E44" s="54">
        <f>IF('Keyword Master Database'!E44="Transactional",5,IF('Keyword Master Database'!E44="Commercial",4,IF('Keyword Master Database'!E44="Navigational",3,2)))</f>
        <v>5</v>
      </c>
      <c r="F44" s="53">
        <v>5.0</v>
      </c>
      <c r="G44" s="53">
        <v>5.0</v>
      </c>
      <c r="H44" s="55">
        <f t="shared" si="1"/>
        <v>4.55</v>
      </c>
      <c r="I44" s="56">
        <f t="shared" si="2"/>
        <v>91</v>
      </c>
      <c r="J44" s="54" t="str">
        <f t="shared" si="3"/>
        <v>Critical</v>
      </c>
      <c r="K44" s="8"/>
      <c r="L44" s="8"/>
      <c r="M44" s="8"/>
      <c r="N44" s="8"/>
    </row>
    <row r="45" ht="15.75" customHeight="1">
      <c r="A45" s="52" t="str">
        <f>'Keyword Master Database'!A45</f>
        <v>new patient dentist tampa</v>
      </c>
      <c r="B45" s="53">
        <v>5.0</v>
      </c>
      <c r="C45" s="54">
        <f>IF('Keyword Master Database'!H45&gt;=1000,5,IF('Keyword Master Database'!H45&gt;=500,4,IF('Keyword Master Database'!H45&gt;=200,3,IF('Keyword Master Database'!H45&gt;=80,2,1))))</f>
        <v>3</v>
      </c>
      <c r="D45" s="54">
        <f>IF('Keyword Master Database'!I45&lt;=20,5,IF('Keyword Master Database'!I45&lt;=35,4,IF('Keyword Master Database'!I45&lt;=50,3,IF('Keyword Master Database'!I45&lt;=65,2,1))))</f>
        <v>3</v>
      </c>
      <c r="E45" s="54">
        <f>IF('Keyword Master Database'!E45="Transactional",5,IF('Keyword Master Database'!E45="Commercial",4,IF('Keyword Master Database'!E45="Navigational",3,2)))</f>
        <v>5</v>
      </c>
      <c r="F45" s="53">
        <v>5.0</v>
      </c>
      <c r="G45" s="53">
        <v>5.0</v>
      </c>
      <c r="H45" s="55">
        <f t="shared" si="1"/>
        <v>4.3</v>
      </c>
      <c r="I45" s="56">
        <f t="shared" si="2"/>
        <v>86</v>
      </c>
      <c r="J45" s="54" t="str">
        <f t="shared" si="3"/>
        <v>High</v>
      </c>
      <c r="K45" s="8"/>
      <c r="L45" s="8"/>
      <c r="M45" s="8"/>
      <c r="N45" s="8"/>
    </row>
    <row r="46" ht="15.75" customHeight="1">
      <c r="A46" s="52" t="str">
        <f>'Keyword Master Database'!A46</f>
        <v>new patient dental special tampa</v>
      </c>
      <c r="B46" s="53">
        <v>5.0</v>
      </c>
      <c r="C46" s="54">
        <f>IF('Keyword Master Database'!H46&gt;=1000,5,IF('Keyword Master Database'!H46&gt;=500,4,IF('Keyword Master Database'!H46&gt;=200,3,IF('Keyword Master Database'!H46&gt;=80,2,1))))</f>
        <v>2</v>
      </c>
      <c r="D46" s="54">
        <f>IF('Keyword Master Database'!I46&lt;=20,5,IF('Keyword Master Database'!I46&lt;=35,4,IF('Keyword Master Database'!I46&lt;=50,3,IF('Keyword Master Database'!I46&lt;=65,2,1))))</f>
        <v>5</v>
      </c>
      <c r="E46" s="54">
        <f>IF('Keyword Master Database'!E46="Transactional",5,IF('Keyword Master Database'!E46="Commercial",4,IF('Keyword Master Database'!E46="Navigational",3,2)))</f>
        <v>5</v>
      </c>
      <c r="F46" s="53">
        <v>5.0</v>
      </c>
      <c r="G46" s="53">
        <v>5.0</v>
      </c>
      <c r="H46" s="55">
        <f t="shared" si="1"/>
        <v>4.55</v>
      </c>
      <c r="I46" s="56">
        <f t="shared" si="2"/>
        <v>91</v>
      </c>
      <c r="J46" s="54" t="str">
        <f t="shared" si="3"/>
        <v>Critical</v>
      </c>
      <c r="K46" s="8"/>
      <c r="L46" s="8"/>
      <c r="M46" s="8"/>
      <c r="N46" s="8"/>
    </row>
    <row r="47" ht="15.75" customHeight="1">
      <c r="A47" s="52" t="str">
        <f>'Keyword Master Database'!A47</f>
        <v>book dentist appointment online tampa</v>
      </c>
      <c r="B47" s="53">
        <v>5.0</v>
      </c>
      <c r="C47" s="54">
        <f>IF('Keyword Master Database'!H47&gt;=1000,5,IF('Keyword Master Database'!H47&gt;=500,4,IF('Keyword Master Database'!H47&gt;=200,3,IF('Keyword Master Database'!H47&gt;=80,2,1))))</f>
        <v>2</v>
      </c>
      <c r="D47" s="54">
        <f>IF('Keyword Master Database'!I47&lt;=20,5,IF('Keyword Master Database'!I47&lt;=35,4,IF('Keyword Master Database'!I47&lt;=50,3,IF('Keyword Master Database'!I47&lt;=65,2,1))))</f>
        <v>5</v>
      </c>
      <c r="E47" s="54">
        <f>IF('Keyword Master Database'!E47="Transactional",5,IF('Keyword Master Database'!E47="Commercial",4,IF('Keyword Master Database'!E47="Navigational",3,2)))</f>
        <v>5</v>
      </c>
      <c r="F47" s="53">
        <v>5.0</v>
      </c>
      <c r="G47" s="53">
        <v>5.0</v>
      </c>
      <c r="H47" s="55">
        <f t="shared" si="1"/>
        <v>4.55</v>
      </c>
      <c r="I47" s="56">
        <f t="shared" si="2"/>
        <v>91</v>
      </c>
      <c r="J47" s="54" t="str">
        <f t="shared" si="3"/>
        <v>Critical</v>
      </c>
      <c r="K47" s="8"/>
      <c r="L47" s="8"/>
      <c r="M47" s="8"/>
      <c r="N47" s="8"/>
    </row>
    <row r="48" ht="15.75" customHeight="1">
      <c r="A48" s="52" t="str">
        <f>'Keyword Master Database'!A48</f>
        <v>dentist new patient offer</v>
      </c>
      <c r="B48" s="53">
        <v>5.0</v>
      </c>
      <c r="C48" s="54">
        <f>IF('Keyword Master Database'!H48&gt;=1000,5,IF('Keyword Master Database'!H48&gt;=500,4,IF('Keyword Master Database'!H48&gt;=200,3,IF('Keyword Master Database'!H48&gt;=80,2,1))))</f>
        <v>2</v>
      </c>
      <c r="D48" s="54">
        <f>IF('Keyword Master Database'!I48&lt;=20,5,IF('Keyword Master Database'!I48&lt;=35,4,IF('Keyword Master Database'!I48&lt;=50,3,IF('Keyword Master Database'!I48&lt;=65,2,1))))</f>
        <v>4</v>
      </c>
      <c r="E48" s="54">
        <f>IF('Keyword Master Database'!E48="Transactional",5,IF('Keyword Master Database'!E48="Commercial",4,IF('Keyword Master Database'!E48="Navigational",3,2)))</f>
        <v>5</v>
      </c>
      <c r="F48" s="53">
        <v>5.0</v>
      </c>
      <c r="G48" s="53">
        <v>5.0</v>
      </c>
      <c r="H48" s="55">
        <f t="shared" si="1"/>
        <v>4.35</v>
      </c>
      <c r="I48" s="56">
        <f t="shared" si="2"/>
        <v>87</v>
      </c>
      <c r="J48" s="54" t="str">
        <f t="shared" si="3"/>
        <v>High</v>
      </c>
      <c r="K48" s="8"/>
      <c r="L48" s="8"/>
      <c r="M48" s="8"/>
      <c r="N48" s="8"/>
    </row>
    <row r="49" ht="15.75" customHeight="1">
      <c r="A49" s="52" t="str">
        <f>'Keyword Master Database'!A49</f>
        <v>first dental visit what to expect</v>
      </c>
      <c r="B49" s="53">
        <v>3.0</v>
      </c>
      <c r="C49" s="54">
        <f>IF('Keyword Master Database'!H49&gt;=1000,5,IF('Keyword Master Database'!H49&gt;=500,4,IF('Keyword Master Database'!H49&gt;=200,3,IF('Keyword Master Database'!H49&gt;=80,2,1))))</f>
        <v>4</v>
      </c>
      <c r="D49" s="54">
        <f>IF('Keyword Master Database'!I49&lt;=20,5,IF('Keyword Master Database'!I49&lt;=35,4,IF('Keyword Master Database'!I49&lt;=50,3,IF('Keyword Master Database'!I49&lt;=65,2,1))))</f>
        <v>4</v>
      </c>
      <c r="E49" s="54">
        <f>IF('Keyword Master Database'!E49="Transactional",5,IF('Keyword Master Database'!E49="Commercial",4,IF('Keyword Master Database'!E49="Navigational",3,2)))</f>
        <v>2</v>
      </c>
      <c r="F49" s="53">
        <v>1.0</v>
      </c>
      <c r="G49" s="53">
        <v>3.0</v>
      </c>
      <c r="H49" s="55">
        <f t="shared" si="1"/>
        <v>2.9</v>
      </c>
      <c r="I49" s="56">
        <f t="shared" si="2"/>
        <v>58</v>
      </c>
      <c r="J49" s="54" t="str">
        <f t="shared" si="3"/>
        <v>Low</v>
      </c>
      <c r="K49" s="8"/>
      <c r="L49" s="8"/>
      <c r="M49" s="8"/>
      <c r="N49" s="8"/>
    </row>
    <row r="50" ht="15.75" customHeight="1">
      <c r="A50" s="52" t="str">
        <f>'Keyword Master Database'!A50</f>
        <v>what to expect at first dentist appointment adult</v>
      </c>
      <c r="B50" s="53">
        <v>3.0</v>
      </c>
      <c r="C50" s="54">
        <f>IF('Keyword Master Database'!H50&gt;=1000,5,IF('Keyword Master Database'!H50&gt;=500,4,IF('Keyword Master Database'!H50&gt;=200,3,IF('Keyword Master Database'!H50&gt;=80,2,1))))</f>
        <v>3</v>
      </c>
      <c r="D50" s="54">
        <f>IF('Keyword Master Database'!I50&lt;=20,5,IF('Keyword Master Database'!I50&lt;=35,4,IF('Keyword Master Database'!I50&lt;=50,3,IF('Keyword Master Database'!I50&lt;=65,2,1))))</f>
        <v>4</v>
      </c>
      <c r="E50" s="54">
        <f>IF('Keyword Master Database'!E50="Transactional",5,IF('Keyword Master Database'!E50="Commercial",4,IF('Keyword Master Database'!E50="Navigational",3,2)))</f>
        <v>2</v>
      </c>
      <c r="F50" s="53">
        <v>1.0</v>
      </c>
      <c r="G50" s="53">
        <v>3.0</v>
      </c>
      <c r="H50" s="55">
        <f t="shared" si="1"/>
        <v>2.75</v>
      </c>
      <c r="I50" s="56">
        <f t="shared" si="2"/>
        <v>55</v>
      </c>
      <c r="J50" s="54" t="str">
        <f t="shared" si="3"/>
        <v>Low</v>
      </c>
      <c r="K50" s="8"/>
      <c r="L50" s="8"/>
      <c r="M50" s="8"/>
      <c r="N50" s="8"/>
    </row>
    <row r="51" ht="15.75" customHeight="1">
      <c r="A51" s="52" t="str">
        <f>'Keyword Master Database'!A51</f>
        <v>haven't been to the dentist in years</v>
      </c>
      <c r="B51" s="53">
        <v>3.0</v>
      </c>
      <c r="C51" s="54">
        <f>IF('Keyword Master Database'!H51&gt;=1000,5,IF('Keyword Master Database'!H51&gt;=500,4,IF('Keyword Master Database'!H51&gt;=200,3,IF('Keyword Master Database'!H51&gt;=80,2,1))))</f>
        <v>3</v>
      </c>
      <c r="D51" s="54">
        <f>IF('Keyword Master Database'!I51&lt;=20,5,IF('Keyword Master Database'!I51&lt;=35,4,IF('Keyword Master Database'!I51&lt;=50,3,IF('Keyword Master Database'!I51&lt;=65,2,1))))</f>
        <v>4</v>
      </c>
      <c r="E51" s="54">
        <f>IF('Keyword Master Database'!E51="Transactional",5,IF('Keyword Master Database'!E51="Commercial",4,IF('Keyword Master Database'!E51="Navigational",3,2)))</f>
        <v>2</v>
      </c>
      <c r="F51" s="53">
        <v>1.0</v>
      </c>
      <c r="G51" s="53">
        <v>3.0</v>
      </c>
      <c r="H51" s="55">
        <f t="shared" si="1"/>
        <v>2.75</v>
      </c>
      <c r="I51" s="56">
        <f t="shared" si="2"/>
        <v>55</v>
      </c>
      <c r="J51" s="54" t="str">
        <f t="shared" si="3"/>
        <v>Low</v>
      </c>
      <c r="K51" s="8"/>
      <c r="L51" s="8"/>
      <c r="M51" s="8"/>
      <c r="N51" s="8"/>
    </row>
    <row r="52" ht="15.75" customHeight="1">
      <c r="A52" s="52" t="str">
        <f>'Keyword Master Database'!A52</f>
        <v>dentist after years of not going</v>
      </c>
      <c r="B52" s="53">
        <v>3.0</v>
      </c>
      <c r="C52" s="54">
        <f>IF('Keyword Master Database'!H52&gt;=1000,5,IF('Keyword Master Database'!H52&gt;=500,4,IF('Keyword Master Database'!H52&gt;=200,3,IF('Keyword Master Database'!H52&gt;=80,2,1))))</f>
        <v>2</v>
      </c>
      <c r="D52" s="54">
        <f>IF('Keyword Master Database'!I52&lt;=20,5,IF('Keyword Master Database'!I52&lt;=35,4,IF('Keyword Master Database'!I52&lt;=50,3,IF('Keyword Master Database'!I52&lt;=65,2,1))))</f>
        <v>5</v>
      </c>
      <c r="E52" s="54">
        <f>IF('Keyword Master Database'!E52="Transactional",5,IF('Keyword Master Database'!E52="Commercial",4,IF('Keyword Master Database'!E52="Navigational",3,2)))</f>
        <v>2</v>
      </c>
      <c r="F52" s="53">
        <v>1.0</v>
      </c>
      <c r="G52" s="53">
        <v>3.0</v>
      </c>
      <c r="H52" s="55">
        <f t="shared" si="1"/>
        <v>2.8</v>
      </c>
      <c r="I52" s="56">
        <f t="shared" si="2"/>
        <v>56</v>
      </c>
      <c r="J52" s="54" t="str">
        <f t="shared" si="3"/>
        <v>Low</v>
      </c>
      <c r="K52" s="8"/>
      <c r="L52" s="8"/>
      <c r="M52" s="8"/>
      <c r="N52" s="8"/>
    </row>
    <row r="53" ht="15.75" customHeight="1">
      <c r="A53" s="52" t="str">
        <f>'Keyword Master Database'!A53</f>
        <v>what happens at a dental exam and x-ray</v>
      </c>
      <c r="B53" s="53">
        <v>3.0</v>
      </c>
      <c r="C53" s="54">
        <f>IF('Keyword Master Database'!H53&gt;=1000,5,IF('Keyword Master Database'!H53&gt;=500,4,IF('Keyword Master Database'!H53&gt;=200,3,IF('Keyword Master Database'!H53&gt;=80,2,1))))</f>
        <v>3</v>
      </c>
      <c r="D53" s="54">
        <f>IF('Keyword Master Database'!I53&lt;=20,5,IF('Keyword Master Database'!I53&lt;=35,4,IF('Keyword Master Database'!I53&lt;=50,3,IF('Keyword Master Database'!I53&lt;=65,2,1))))</f>
        <v>4</v>
      </c>
      <c r="E53" s="54">
        <f>IF('Keyword Master Database'!E53="Transactional",5,IF('Keyword Master Database'!E53="Commercial",4,IF('Keyword Master Database'!E53="Navigational",3,2)))</f>
        <v>2</v>
      </c>
      <c r="F53" s="53">
        <v>1.0</v>
      </c>
      <c r="G53" s="53">
        <v>3.0</v>
      </c>
      <c r="H53" s="55">
        <f t="shared" si="1"/>
        <v>2.75</v>
      </c>
      <c r="I53" s="56">
        <f t="shared" si="2"/>
        <v>55</v>
      </c>
      <c r="J53" s="54" t="str">
        <f t="shared" si="3"/>
        <v>Low</v>
      </c>
      <c r="K53" s="8"/>
      <c r="L53" s="8"/>
      <c r="M53" s="8"/>
      <c r="N53" s="8"/>
    </row>
    <row r="54" ht="15.75" customHeight="1">
      <c r="A54" s="52" t="str">
        <f>'Keyword Master Database'!A54</f>
        <v>dentist that accepts insurance tampa</v>
      </c>
      <c r="B54" s="53">
        <v>4.0</v>
      </c>
      <c r="C54" s="54">
        <f>IF('Keyword Master Database'!H54&gt;=1000,5,IF('Keyword Master Database'!H54&gt;=500,4,IF('Keyword Master Database'!H54&gt;=200,3,IF('Keyword Master Database'!H54&gt;=80,2,1))))</f>
        <v>4</v>
      </c>
      <c r="D54" s="54">
        <f>IF('Keyword Master Database'!I54&lt;=20,5,IF('Keyword Master Database'!I54&lt;=35,4,IF('Keyword Master Database'!I54&lt;=50,3,IF('Keyword Master Database'!I54&lt;=65,2,1))))</f>
        <v>3</v>
      </c>
      <c r="E54" s="54">
        <f>IF('Keyword Master Database'!E54="Transactional",5,IF('Keyword Master Database'!E54="Commercial",4,IF('Keyword Master Database'!E54="Navigational",3,2)))</f>
        <v>5</v>
      </c>
      <c r="F54" s="53">
        <v>5.0</v>
      </c>
      <c r="G54" s="53">
        <v>4.0</v>
      </c>
      <c r="H54" s="55">
        <f t="shared" si="1"/>
        <v>4.1</v>
      </c>
      <c r="I54" s="56">
        <f t="shared" si="2"/>
        <v>82</v>
      </c>
      <c r="J54" s="54" t="str">
        <f t="shared" si="3"/>
        <v>High</v>
      </c>
      <c r="K54" s="8"/>
      <c r="L54" s="8"/>
      <c r="M54" s="8"/>
      <c r="N54" s="8"/>
    </row>
    <row r="55" ht="15.75" customHeight="1">
      <c r="A55" s="52" t="str">
        <f>'Keyword Master Database'!A55</f>
        <v>affordable dentist tampa</v>
      </c>
      <c r="B55" s="53">
        <v>4.0</v>
      </c>
      <c r="C55" s="54">
        <f>IF('Keyword Master Database'!H55&gt;=1000,5,IF('Keyword Master Database'!H55&gt;=500,4,IF('Keyword Master Database'!H55&gt;=200,3,IF('Keyword Master Database'!H55&gt;=80,2,1))))</f>
        <v>4</v>
      </c>
      <c r="D55" s="54">
        <f>IF('Keyword Master Database'!I55&lt;=20,5,IF('Keyword Master Database'!I55&lt;=35,4,IF('Keyword Master Database'!I55&lt;=50,3,IF('Keyword Master Database'!I55&lt;=65,2,1))))</f>
        <v>3</v>
      </c>
      <c r="E55" s="54">
        <f>IF('Keyword Master Database'!E55="Transactional",5,IF('Keyword Master Database'!E55="Commercial",4,IF('Keyword Master Database'!E55="Navigational",3,2)))</f>
        <v>4</v>
      </c>
      <c r="F55" s="53">
        <v>3.0</v>
      </c>
      <c r="G55" s="53">
        <v>4.0</v>
      </c>
      <c r="H55" s="55">
        <f t="shared" si="1"/>
        <v>3.65</v>
      </c>
      <c r="I55" s="56">
        <f t="shared" si="2"/>
        <v>73</v>
      </c>
      <c r="J55" s="54" t="str">
        <f t="shared" si="3"/>
        <v>Medium</v>
      </c>
      <c r="K55" s="8"/>
      <c r="L55" s="8"/>
      <c r="M55" s="8"/>
      <c r="N55" s="8"/>
    </row>
    <row r="56" ht="15.75" customHeight="1">
      <c r="A56" s="52" t="str">
        <f>'Keyword Master Database'!A56</f>
        <v>low cost dentist tampa</v>
      </c>
      <c r="B56" s="53">
        <v>4.0</v>
      </c>
      <c r="C56" s="54">
        <f>IF('Keyword Master Database'!H56&gt;=1000,5,IF('Keyword Master Database'!H56&gt;=500,4,IF('Keyword Master Database'!H56&gt;=200,3,IF('Keyword Master Database'!H56&gt;=80,2,1))))</f>
        <v>3</v>
      </c>
      <c r="D56" s="54">
        <f>IF('Keyword Master Database'!I56&lt;=20,5,IF('Keyword Master Database'!I56&lt;=35,4,IF('Keyword Master Database'!I56&lt;=50,3,IF('Keyword Master Database'!I56&lt;=65,2,1))))</f>
        <v>3</v>
      </c>
      <c r="E56" s="54">
        <f>IF('Keyword Master Database'!E56="Transactional",5,IF('Keyword Master Database'!E56="Commercial",4,IF('Keyword Master Database'!E56="Navigational",3,2)))</f>
        <v>4</v>
      </c>
      <c r="F56" s="53">
        <v>3.0</v>
      </c>
      <c r="G56" s="53">
        <v>4.0</v>
      </c>
      <c r="H56" s="55">
        <f t="shared" si="1"/>
        <v>3.5</v>
      </c>
      <c r="I56" s="56">
        <f t="shared" si="2"/>
        <v>70</v>
      </c>
      <c r="J56" s="54" t="str">
        <f t="shared" si="3"/>
        <v>Medium</v>
      </c>
      <c r="K56" s="8"/>
      <c r="L56" s="8"/>
      <c r="M56" s="8"/>
      <c r="N56" s="8"/>
    </row>
    <row r="57" ht="15.75" customHeight="1">
      <c r="A57" s="52" t="str">
        <f>'Keyword Master Database'!A57</f>
        <v>cheap dentist in tampa</v>
      </c>
      <c r="B57" s="53">
        <v>4.0</v>
      </c>
      <c r="C57" s="54">
        <f>IF('Keyword Master Database'!H57&gt;=1000,5,IF('Keyword Master Database'!H57&gt;=500,4,IF('Keyword Master Database'!H57&gt;=200,3,IF('Keyword Master Database'!H57&gt;=80,2,1))))</f>
        <v>3</v>
      </c>
      <c r="D57" s="54">
        <f>IF('Keyword Master Database'!I57&lt;=20,5,IF('Keyword Master Database'!I57&lt;=35,4,IF('Keyword Master Database'!I57&lt;=50,3,IF('Keyword Master Database'!I57&lt;=65,2,1))))</f>
        <v>3</v>
      </c>
      <c r="E57" s="54">
        <f>IF('Keyword Master Database'!E57="Transactional",5,IF('Keyword Master Database'!E57="Commercial",4,IF('Keyword Master Database'!E57="Navigational",3,2)))</f>
        <v>4</v>
      </c>
      <c r="F57" s="53">
        <v>3.0</v>
      </c>
      <c r="G57" s="53">
        <v>4.0</v>
      </c>
      <c r="H57" s="55">
        <f t="shared" si="1"/>
        <v>3.5</v>
      </c>
      <c r="I57" s="56">
        <f t="shared" si="2"/>
        <v>70</v>
      </c>
      <c r="J57" s="54" t="str">
        <f t="shared" si="3"/>
        <v>Medium</v>
      </c>
      <c r="K57" s="8"/>
      <c r="L57" s="8"/>
      <c r="M57" s="8"/>
      <c r="N57" s="8"/>
    </row>
    <row r="58" ht="15.75" customHeight="1">
      <c r="A58" s="52" t="str">
        <f>'Keyword Master Database'!A58</f>
        <v>dentist no insurance tampa</v>
      </c>
      <c r="B58" s="53">
        <v>4.0</v>
      </c>
      <c r="C58" s="54">
        <f>IF('Keyword Master Database'!H58&gt;=1000,5,IF('Keyword Master Database'!H58&gt;=500,4,IF('Keyword Master Database'!H58&gt;=200,3,IF('Keyword Master Database'!H58&gt;=80,2,1))))</f>
        <v>2</v>
      </c>
      <c r="D58" s="54">
        <f>IF('Keyword Master Database'!I58&lt;=20,5,IF('Keyword Master Database'!I58&lt;=35,4,IF('Keyword Master Database'!I58&lt;=50,3,IF('Keyword Master Database'!I58&lt;=65,2,1))))</f>
        <v>4</v>
      </c>
      <c r="E58" s="54">
        <f>IF('Keyword Master Database'!E58="Transactional",5,IF('Keyword Master Database'!E58="Commercial",4,IF('Keyword Master Database'!E58="Navigational",3,2)))</f>
        <v>5</v>
      </c>
      <c r="F58" s="53">
        <v>5.0</v>
      </c>
      <c r="G58" s="53">
        <v>4.0</v>
      </c>
      <c r="H58" s="55">
        <f t="shared" si="1"/>
        <v>4</v>
      </c>
      <c r="I58" s="56">
        <f t="shared" si="2"/>
        <v>80</v>
      </c>
      <c r="J58" s="54" t="str">
        <f t="shared" si="3"/>
        <v>High</v>
      </c>
      <c r="K58" s="8"/>
      <c r="L58" s="8"/>
      <c r="M58" s="8"/>
      <c r="N58" s="8"/>
    </row>
    <row r="59" ht="15.75" customHeight="1">
      <c r="A59" s="52" t="str">
        <f>'Keyword Master Database'!A59</f>
        <v>dentist payment plans tampa</v>
      </c>
      <c r="B59" s="53">
        <v>4.0</v>
      </c>
      <c r="C59" s="54">
        <f>IF('Keyword Master Database'!H59&gt;=1000,5,IF('Keyword Master Database'!H59&gt;=500,4,IF('Keyword Master Database'!H59&gt;=200,3,IF('Keyword Master Database'!H59&gt;=80,2,1))))</f>
        <v>2</v>
      </c>
      <c r="D59" s="54">
        <f>IF('Keyword Master Database'!I59&lt;=20,5,IF('Keyword Master Database'!I59&lt;=35,4,IF('Keyword Master Database'!I59&lt;=50,3,IF('Keyword Master Database'!I59&lt;=65,2,1))))</f>
        <v>4</v>
      </c>
      <c r="E59" s="54">
        <f>IF('Keyword Master Database'!E59="Transactional",5,IF('Keyword Master Database'!E59="Commercial",4,IF('Keyword Master Database'!E59="Navigational",3,2)))</f>
        <v>5</v>
      </c>
      <c r="F59" s="53">
        <v>5.0</v>
      </c>
      <c r="G59" s="53">
        <v>4.0</v>
      </c>
      <c r="H59" s="55">
        <f t="shared" si="1"/>
        <v>4</v>
      </c>
      <c r="I59" s="56">
        <f t="shared" si="2"/>
        <v>80</v>
      </c>
      <c r="J59" s="54" t="str">
        <f t="shared" si="3"/>
        <v>High</v>
      </c>
      <c r="K59" s="8"/>
      <c r="L59" s="8"/>
      <c r="M59" s="8"/>
      <c r="N59" s="8"/>
    </row>
    <row r="60" ht="15.75" customHeight="1">
      <c r="A60" s="52" t="str">
        <f>'Keyword Master Database'!A60</f>
        <v>dental financing tampa</v>
      </c>
      <c r="B60" s="53">
        <v>4.0</v>
      </c>
      <c r="C60" s="54">
        <f>IF('Keyword Master Database'!H60&gt;=1000,5,IF('Keyword Master Database'!H60&gt;=500,4,IF('Keyword Master Database'!H60&gt;=200,3,IF('Keyword Master Database'!H60&gt;=80,2,1))))</f>
        <v>1</v>
      </c>
      <c r="D60" s="54">
        <f>IF('Keyword Master Database'!I60&lt;=20,5,IF('Keyword Master Database'!I60&lt;=35,4,IF('Keyword Master Database'!I60&lt;=50,3,IF('Keyword Master Database'!I60&lt;=65,2,1))))</f>
        <v>4</v>
      </c>
      <c r="E60" s="54">
        <f>IF('Keyword Master Database'!E60="Transactional",5,IF('Keyword Master Database'!E60="Commercial",4,IF('Keyword Master Database'!E60="Navigational",3,2)))</f>
        <v>4</v>
      </c>
      <c r="F60" s="53">
        <v>3.0</v>
      </c>
      <c r="G60" s="53">
        <v>4.0</v>
      </c>
      <c r="H60" s="55">
        <f t="shared" si="1"/>
        <v>3.4</v>
      </c>
      <c r="I60" s="56">
        <f t="shared" si="2"/>
        <v>68</v>
      </c>
      <c r="J60" s="54" t="str">
        <f t="shared" si="3"/>
        <v>Medium</v>
      </c>
      <c r="K60" s="8"/>
      <c r="L60" s="8"/>
      <c r="M60" s="8"/>
      <c r="N60" s="8"/>
    </row>
    <row r="61" ht="15.75" customHeight="1">
      <c r="A61" s="52" t="str">
        <f>'Keyword Master Database'!A61</f>
        <v>delta dental dentist tampa</v>
      </c>
      <c r="B61" s="53">
        <v>4.0</v>
      </c>
      <c r="C61" s="54">
        <f>IF('Keyword Master Database'!H61&gt;=1000,5,IF('Keyword Master Database'!H61&gt;=500,4,IF('Keyword Master Database'!H61&gt;=200,3,IF('Keyword Master Database'!H61&gt;=80,2,1))))</f>
        <v>3</v>
      </c>
      <c r="D61" s="54">
        <f>IF('Keyword Master Database'!I61&lt;=20,5,IF('Keyword Master Database'!I61&lt;=35,4,IF('Keyword Master Database'!I61&lt;=50,3,IF('Keyword Master Database'!I61&lt;=65,2,1))))</f>
        <v>3</v>
      </c>
      <c r="E61" s="54">
        <f>IF('Keyword Master Database'!E61="Transactional",5,IF('Keyword Master Database'!E61="Commercial",4,IF('Keyword Master Database'!E61="Navigational",3,2)))</f>
        <v>5</v>
      </c>
      <c r="F61" s="53">
        <v>5.0</v>
      </c>
      <c r="G61" s="53">
        <v>4.0</v>
      </c>
      <c r="H61" s="55">
        <f t="shared" si="1"/>
        <v>3.95</v>
      </c>
      <c r="I61" s="56">
        <f t="shared" si="2"/>
        <v>79</v>
      </c>
      <c r="J61" s="54" t="str">
        <f t="shared" si="3"/>
        <v>High</v>
      </c>
      <c r="K61" s="8"/>
      <c r="L61" s="8"/>
      <c r="M61" s="8"/>
      <c r="N61" s="8"/>
    </row>
    <row r="62" ht="15.75" customHeight="1">
      <c r="A62" s="52" t="str">
        <f>'Keyword Master Database'!A62</f>
        <v>cigna dentist tampa</v>
      </c>
      <c r="B62" s="53">
        <v>4.0</v>
      </c>
      <c r="C62" s="54">
        <f>IF('Keyword Master Database'!H62&gt;=1000,5,IF('Keyword Master Database'!H62&gt;=500,4,IF('Keyword Master Database'!H62&gt;=200,3,IF('Keyword Master Database'!H62&gt;=80,2,1))))</f>
        <v>2</v>
      </c>
      <c r="D62" s="54">
        <f>IF('Keyword Master Database'!I62&lt;=20,5,IF('Keyword Master Database'!I62&lt;=35,4,IF('Keyword Master Database'!I62&lt;=50,3,IF('Keyword Master Database'!I62&lt;=65,2,1))))</f>
        <v>4</v>
      </c>
      <c r="E62" s="54">
        <f>IF('Keyword Master Database'!E62="Transactional",5,IF('Keyword Master Database'!E62="Commercial",4,IF('Keyword Master Database'!E62="Navigational",3,2)))</f>
        <v>5</v>
      </c>
      <c r="F62" s="53">
        <v>5.0</v>
      </c>
      <c r="G62" s="53">
        <v>4.0</v>
      </c>
      <c r="H62" s="55">
        <f t="shared" si="1"/>
        <v>4</v>
      </c>
      <c r="I62" s="56">
        <f t="shared" si="2"/>
        <v>80</v>
      </c>
      <c r="J62" s="54" t="str">
        <f t="shared" si="3"/>
        <v>High</v>
      </c>
      <c r="K62" s="8"/>
      <c r="L62" s="8"/>
      <c r="M62" s="8"/>
      <c r="N62" s="8"/>
    </row>
    <row r="63" ht="15.75" customHeight="1">
      <c r="A63" s="52" t="str">
        <f>'Keyword Master Database'!A63</f>
        <v>emergency dentist tampa</v>
      </c>
      <c r="B63" s="53">
        <v>4.0</v>
      </c>
      <c r="C63" s="54">
        <f>IF('Keyword Master Database'!H63&gt;=1000,5,IF('Keyword Master Database'!H63&gt;=500,4,IF('Keyword Master Database'!H63&gt;=200,3,IF('Keyword Master Database'!H63&gt;=80,2,1))))</f>
        <v>5</v>
      </c>
      <c r="D63" s="54">
        <f>IF('Keyword Master Database'!I63&lt;=20,5,IF('Keyword Master Database'!I63&lt;=35,4,IF('Keyword Master Database'!I63&lt;=50,3,IF('Keyword Master Database'!I63&lt;=65,2,1))))</f>
        <v>2</v>
      </c>
      <c r="E63" s="54">
        <f>IF('Keyword Master Database'!E63="Transactional",5,IF('Keyword Master Database'!E63="Commercial",4,IF('Keyword Master Database'!E63="Navigational",3,2)))</f>
        <v>5</v>
      </c>
      <c r="F63" s="53">
        <v>5.0</v>
      </c>
      <c r="G63" s="53">
        <v>4.0</v>
      </c>
      <c r="H63" s="55">
        <f t="shared" si="1"/>
        <v>4.05</v>
      </c>
      <c r="I63" s="56">
        <f t="shared" si="2"/>
        <v>81</v>
      </c>
      <c r="J63" s="54" t="str">
        <f t="shared" si="3"/>
        <v>High</v>
      </c>
      <c r="K63" s="8"/>
      <c r="L63" s="8"/>
      <c r="M63" s="8"/>
      <c r="N63" s="8"/>
    </row>
    <row r="64" ht="15.75" customHeight="1">
      <c r="A64" s="52" t="str">
        <f>'Keyword Master Database'!A64</f>
        <v>emergency dentist near me</v>
      </c>
      <c r="B64" s="53">
        <v>4.0</v>
      </c>
      <c r="C64" s="54">
        <f>IF('Keyword Master Database'!H64&gt;=1000,5,IF('Keyword Master Database'!H64&gt;=500,4,IF('Keyword Master Database'!H64&gt;=200,3,IF('Keyword Master Database'!H64&gt;=80,2,1))))</f>
        <v>5</v>
      </c>
      <c r="D64" s="54">
        <f>IF('Keyword Master Database'!I64&lt;=20,5,IF('Keyword Master Database'!I64&lt;=35,4,IF('Keyword Master Database'!I64&lt;=50,3,IF('Keyword Master Database'!I64&lt;=65,2,1))))</f>
        <v>1</v>
      </c>
      <c r="E64" s="54">
        <f>IF('Keyword Master Database'!E64="Transactional",5,IF('Keyword Master Database'!E64="Commercial",4,IF('Keyword Master Database'!E64="Navigational",3,2)))</f>
        <v>5</v>
      </c>
      <c r="F64" s="53">
        <v>5.0</v>
      </c>
      <c r="G64" s="53">
        <v>4.0</v>
      </c>
      <c r="H64" s="55">
        <f t="shared" si="1"/>
        <v>3.85</v>
      </c>
      <c r="I64" s="56">
        <f t="shared" si="2"/>
        <v>77</v>
      </c>
      <c r="J64" s="54" t="str">
        <f t="shared" si="3"/>
        <v>High</v>
      </c>
      <c r="K64" s="8"/>
      <c r="L64" s="8"/>
      <c r="M64" s="8"/>
      <c r="N64" s="8"/>
    </row>
    <row r="65" ht="15.75" customHeight="1">
      <c r="A65" s="52" t="str">
        <f>'Keyword Master Database'!A65</f>
        <v>24 hour emergency dentist tampa</v>
      </c>
      <c r="B65" s="53">
        <v>4.0</v>
      </c>
      <c r="C65" s="54">
        <f>IF('Keyword Master Database'!H65&gt;=1000,5,IF('Keyword Master Database'!H65&gt;=500,4,IF('Keyword Master Database'!H65&gt;=200,3,IF('Keyword Master Database'!H65&gt;=80,2,1))))</f>
        <v>4</v>
      </c>
      <c r="D65" s="54">
        <f>IF('Keyword Master Database'!I65&lt;=20,5,IF('Keyword Master Database'!I65&lt;=35,4,IF('Keyword Master Database'!I65&lt;=50,3,IF('Keyword Master Database'!I65&lt;=65,2,1))))</f>
        <v>2</v>
      </c>
      <c r="E65" s="54">
        <f>IF('Keyword Master Database'!E65="Transactional",5,IF('Keyword Master Database'!E65="Commercial",4,IF('Keyword Master Database'!E65="Navigational",3,2)))</f>
        <v>5</v>
      </c>
      <c r="F65" s="53">
        <v>5.0</v>
      </c>
      <c r="G65" s="53">
        <v>4.0</v>
      </c>
      <c r="H65" s="55">
        <f t="shared" si="1"/>
        <v>3.9</v>
      </c>
      <c r="I65" s="56">
        <f t="shared" si="2"/>
        <v>78</v>
      </c>
      <c r="J65" s="54" t="str">
        <f t="shared" si="3"/>
        <v>High</v>
      </c>
      <c r="K65" s="8"/>
      <c r="L65" s="8"/>
      <c r="M65" s="8"/>
      <c r="N65" s="8"/>
    </row>
    <row r="66" ht="15.75" customHeight="1">
      <c r="A66" s="52" t="str">
        <f>'Keyword Master Database'!A66</f>
        <v>emergency dental care tampa</v>
      </c>
      <c r="B66" s="53">
        <v>4.0</v>
      </c>
      <c r="C66" s="54">
        <f>IF('Keyword Master Database'!H66&gt;=1000,5,IF('Keyword Master Database'!H66&gt;=500,4,IF('Keyword Master Database'!H66&gt;=200,3,IF('Keyword Master Database'!H66&gt;=80,2,1))))</f>
        <v>3</v>
      </c>
      <c r="D66" s="54">
        <f>IF('Keyword Master Database'!I66&lt;=20,5,IF('Keyword Master Database'!I66&lt;=35,4,IF('Keyword Master Database'!I66&lt;=50,3,IF('Keyword Master Database'!I66&lt;=65,2,1))))</f>
        <v>3</v>
      </c>
      <c r="E66" s="54">
        <f>IF('Keyword Master Database'!E66="Transactional",5,IF('Keyword Master Database'!E66="Commercial",4,IF('Keyword Master Database'!E66="Navigational",3,2)))</f>
        <v>5</v>
      </c>
      <c r="F66" s="53">
        <v>5.0</v>
      </c>
      <c r="G66" s="53">
        <v>4.0</v>
      </c>
      <c r="H66" s="55">
        <f t="shared" si="1"/>
        <v>3.95</v>
      </c>
      <c r="I66" s="56">
        <f t="shared" si="2"/>
        <v>79</v>
      </c>
      <c r="J66" s="54" t="str">
        <f t="shared" si="3"/>
        <v>High</v>
      </c>
      <c r="K66" s="8"/>
      <c r="L66" s="8"/>
      <c r="M66" s="8"/>
      <c r="N66" s="8"/>
    </row>
    <row r="67" ht="15.75" customHeight="1">
      <c r="A67" s="52" t="str">
        <f>'Keyword Master Database'!A67</f>
        <v>same day dentist appointment tampa</v>
      </c>
      <c r="B67" s="53">
        <v>4.0</v>
      </c>
      <c r="C67" s="54">
        <f>IF('Keyword Master Database'!H67&gt;=1000,5,IF('Keyword Master Database'!H67&gt;=500,4,IF('Keyword Master Database'!H67&gt;=200,3,IF('Keyword Master Database'!H67&gt;=80,2,1))))</f>
        <v>3</v>
      </c>
      <c r="D67" s="54">
        <f>IF('Keyword Master Database'!I67&lt;=20,5,IF('Keyword Master Database'!I67&lt;=35,4,IF('Keyword Master Database'!I67&lt;=50,3,IF('Keyword Master Database'!I67&lt;=65,2,1))))</f>
        <v>3</v>
      </c>
      <c r="E67" s="54">
        <f>IF('Keyword Master Database'!E67="Transactional",5,IF('Keyword Master Database'!E67="Commercial",4,IF('Keyword Master Database'!E67="Navigational",3,2)))</f>
        <v>5</v>
      </c>
      <c r="F67" s="53">
        <v>5.0</v>
      </c>
      <c r="G67" s="53">
        <v>4.0</v>
      </c>
      <c r="H67" s="55">
        <f t="shared" si="1"/>
        <v>3.95</v>
      </c>
      <c r="I67" s="56">
        <f t="shared" si="2"/>
        <v>79</v>
      </c>
      <c r="J67" s="54" t="str">
        <f t="shared" si="3"/>
        <v>High</v>
      </c>
      <c r="K67" s="8"/>
      <c r="L67" s="8"/>
      <c r="M67" s="8"/>
      <c r="N67" s="8"/>
    </row>
    <row r="68" ht="15.75" customHeight="1">
      <c r="A68" s="52" t="str">
        <f>'Keyword Master Database'!A68</f>
        <v>broken tooth dentist tampa</v>
      </c>
      <c r="B68" s="53">
        <v>4.0</v>
      </c>
      <c r="C68" s="54">
        <f>IF('Keyword Master Database'!H68&gt;=1000,5,IF('Keyword Master Database'!H68&gt;=500,4,IF('Keyword Master Database'!H68&gt;=200,3,IF('Keyword Master Database'!H68&gt;=80,2,1))))</f>
        <v>3</v>
      </c>
      <c r="D68" s="54">
        <f>IF('Keyword Master Database'!I68&lt;=20,5,IF('Keyword Master Database'!I68&lt;=35,4,IF('Keyword Master Database'!I68&lt;=50,3,IF('Keyword Master Database'!I68&lt;=65,2,1))))</f>
        <v>4</v>
      </c>
      <c r="E68" s="54">
        <f>IF('Keyword Master Database'!E68="Transactional",5,IF('Keyword Master Database'!E68="Commercial",4,IF('Keyword Master Database'!E68="Navigational",3,2)))</f>
        <v>5</v>
      </c>
      <c r="F68" s="53">
        <v>5.0</v>
      </c>
      <c r="G68" s="53">
        <v>4.0</v>
      </c>
      <c r="H68" s="55">
        <f t="shared" si="1"/>
        <v>4.15</v>
      </c>
      <c r="I68" s="56">
        <f t="shared" si="2"/>
        <v>83</v>
      </c>
      <c r="J68" s="54" t="str">
        <f t="shared" si="3"/>
        <v>High</v>
      </c>
      <c r="K68" s="8"/>
      <c r="L68" s="8"/>
      <c r="M68" s="8"/>
      <c r="N68" s="8"/>
    </row>
    <row r="69" ht="15.75" customHeight="1">
      <c r="A69" s="52" t="str">
        <f>'Keyword Master Database'!A69</f>
        <v>tooth pain dentist tampa</v>
      </c>
      <c r="B69" s="53">
        <v>4.0</v>
      </c>
      <c r="C69" s="54">
        <f>IF('Keyword Master Database'!H69&gt;=1000,5,IF('Keyword Master Database'!H69&gt;=500,4,IF('Keyword Master Database'!H69&gt;=200,3,IF('Keyword Master Database'!H69&gt;=80,2,1))))</f>
        <v>3</v>
      </c>
      <c r="D69" s="54">
        <f>IF('Keyword Master Database'!I69&lt;=20,5,IF('Keyword Master Database'!I69&lt;=35,4,IF('Keyword Master Database'!I69&lt;=50,3,IF('Keyword Master Database'!I69&lt;=65,2,1))))</f>
        <v>3</v>
      </c>
      <c r="E69" s="54">
        <f>IF('Keyword Master Database'!E69="Transactional",5,IF('Keyword Master Database'!E69="Commercial",4,IF('Keyword Master Database'!E69="Navigational",3,2)))</f>
        <v>5</v>
      </c>
      <c r="F69" s="53">
        <v>5.0</v>
      </c>
      <c r="G69" s="53">
        <v>4.0</v>
      </c>
      <c r="H69" s="55">
        <f t="shared" si="1"/>
        <v>3.95</v>
      </c>
      <c r="I69" s="56">
        <f t="shared" si="2"/>
        <v>79</v>
      </c>
      <c r="J69" s="54" t="str">
        <f t="shared" si="3"/>
        <v>High</v>
      </c>
      <c r="K69" s="8"/>
      <c r="L69" s="8"/>
      <c r="M69" s="8"/>
      <c r="N69" s="8"/>
    </row>
    <row r="70" ht="15.75" customHeight="1">
      <c r="A70" s="52" t="str">
        <f>'Keyword Master Database'!A70</f>
        <v>chipped tooth repair tampa</v>
      </c>
      <c r="B70" s="53">
        <v>4.0</v>
      </c>
      <c r="C70" s="54">
        <f>IF('Keyword Master Database'!H70&gt;=1000,5,IF('Keyword Master Database'!H70&gt;=500,4,IF('Keyword Master Database'!H70&gt;=200,3,IF('Keyword Master Database'!H70&gt;=80,2,1))))</f>
        <v>2</v>
      </c>
      <c r="D70" s="54">
        <f>IF('Keyword Master Database'!I70&lt;=20,5,IF('Keyword Master Database'!I70&lt;=35,4,IF('Keyword Master Database'!I70&lt;=50,3,IF('Keyword Master Database'!I70&lt;=65,2,1))))</f>
        <v>4</v>
      </c>
      <c r="E70" s="54">
        <f>IF('Keyword Master Database'!E70="Transactional",5,IF('Keyword Master Database'!E70="Commercial",4,IF('Keyword Master Database'!E70="Navigational",3,2)))</f>
        <v>5</v>
      </c>
      <c r="F70" s="53">
        <v>5.0</v>
      </c>
      <c r="G70" s="53">
        <v>4.0</v>
      </c>
      <c r="H70" s="55">
        <f t="shared" si="1"/>
        <v>4</v>
      </c>
      <c r="I70" s="56">
        <f t="shared" si="2"/>
        <v>80</v>
      </c>
      <c r="J70" s="54" t="str">
        <f t="shared" si="3"/>
        <v>High</v>
      </c>
      <c r="K70" s="8"/>
      <c r="L70" s="8"/>
      <c r="M70" s="8"/>
      <c r="N70" s="8"/>
    </row>
    <row r="71" ht="15.75" customHeight="1">
      <c r="A71" s="52" t="str">
        <f>'Keyword Master Database'!A71</f>
        <v>toothache relief what to do</v>
      </c>
      <c r="B71" s="53">
        <v>3.0</v>
      </c>
      <c r="C71" s="54">
        <f>IF('Keyword Master Database'!H71&gt;=1000,5,IF('Keyword Master Database'!H71&gt;=500,4,IF('Keyword Master Database'!H71&gt;=200,3,IF('Keyword Master Database'!H71&gt;=80,2,1))))</f>
        <v>5</v>
      </c>
      <c r="D71" s="54">
        <f>IF('Keyword Master Database'!I71&lt;=20,5,IF('Keyword Master Database'!I71&lt;=35,4,IF('Keyword Master Database'!I71&lt;=50,3,IF('Keyword Master Database'!I71&lt;=65,2,1))))</f>
        <v>3</v>
      </c>
      <c r="E71" s="54">
        <f>IF('Keyword Master Database'!E71="Transactional",5,IF('Keyword Master Database'!E71="Commercial",4,IF('Keyword Master Database'!E71="Navigational",3,2)))</f>
        <v>2</v>
      </c>
      <c r="F71" s="53">
        <v>1.0</v>
      </c>
      <c r="G71" s="53">
        <v>4.0</v>
      </c>
      <c r="H71" s="55">
        <f t="shared" si="1"/>
        <v>2.95</v>
      </c>
      <c r="I71" s="56">
        <f t="shared" si="2"/>
        <v>59</v>
      </c>
      <c r="J71" s="54" t="str">
        <f t="shared" si="3"/>
        <v>Low</v>
      </c>
      <c r="K71" s="8"/>
      <c r="L71" s="8"/>
      <c r="M71" s="8"/>
      <c r="N71" s="8"/>
    </row>
    <row r="72" ht="15.75" customHeight="1">
      <c r="A72" s="52" t="str">
        <f>'Keyword Master Database'!A72</f>
        <v>teeth cleaning tampa</v>
      </c>
      <c r="B72" s="53">
        <v>4.0</v>
      </c>
      <c r="C72" s="54">
        <f>IF('Keyword Master Database'!H72&gt;=1000,5,IF('Keyword Master Database'!H72&gt;=500,4,IF('Keyword Master Database'!H72&gt;=200,3,IF('Keyword Master Database'!H72&gt;=80,2,1))))</f>
        <v>4</v>
      </c>
      <c r="D72" s="54">
        <f>IF('Keyword Master Database'!I72&lt;=20,5,IF('Keyword Master Database'!I72&lt;=35,4,IF('Keyword Master Database'!I72&lt;=50,3,IF('Keyword Master Database'!I72&lt;=65,2,1))))</f>
        <v>3</v>
      </c>
      <c r="E72" s="54">
        <f>IF('Keyword Master Database'!E72="Transactional",5,IF('Keyword Master Database'!E72="Commercial",4,IF('Keyword Master Database'!E72="Navigational",3,2)))</f>
        <v>5</v>
      </c>
      <c r="F72" s="53">
        <v>5.0</v>
      </c>
      <c r="G72" s="53">
        <v>4.0</v>
      </c>
      <c r="H72" s="55">
        <f t="shared" si="1"/>
        <v>4.1</v>
      </c>
      <c r="I72" s="56">
        <f t="shared" si="2"/>
        <v>82</v>
      </c>
      <c r="J72" s="54" t="str">
        <f t="shared" si="3"/>
        <v>High</v>
      </c>
      <c r="K72" s="8"/>
      <c r="L72" s="8"/>
      <c r="M72" s="8"/>
      <c r="N72" s="8"/>
    </row>
    <row r="73" ht="15.75" customHeight="1">
      <c r="A73" s="52" t="str">
        <f>'Keyword Master Database'!A73</f>
        <v>dental cleaning tampa</v>
      </c>
      <c r="B73" s="53">
        <v>4.0</v>
      </c>
      <c r="C73" s="54">
        <f>IF('Keyword Master Database'!H73&gt;=1000,5,IF('Keyword Master Database'!H73&gt;=500,4,IF('Keyword Master Database'!H73&gt;=200,3,IF('Keyword Master Database'!H73&gt;=80,2,1))))</f>
        <v>4</v>
      </c>
      <c r="D73" s="54">
        <f>IF('Keyword Master Database'!I73&lt;=20,5,IF('Keyword Master Database'!I73&lt;=35,4,IF('Keyword Master Database'!I73&lt;=50,3,IF('Keyword Master Database'!I73&lt;=65,2,1))))</f>
        <v>3</v>
      </c>
      <c r="E73" s="54">
        <f>IF('Keyword Master Database'!E73="Transactional",5,IF('Keyword Master Database'!E73="Commercial",4,IF('Keyword Master Database'!E73="Navigational",3,2)))</f>
        <v>5</v>
      </c>
      <c r="F73" s="53">
        <v>5.0</v>
      </c>
      <c r="G73" s="53">
        <v>4.0</v>
      </c>
      <c r="H73" s="55">
        <f t="shared" si="1"/>
        <v>4.1</v>
      </c>
      <c r="I73" s="56">
        <f t="shared" si="2"/>
        <v>82</v>
      </c>
      <c r="J73" s="54" t="str">
        <f t="shared" si="3"/>
        <v>High</v>
      </c>
      <c r="K73" s="8"/>
      <c r="L73" s="8"/>
      <c r="M73" s="8"/>
      <c r="N73" s="8"/>
    </row>
    <row r="74" ht="15.75" customHeight="1">
      <c r="A74" s="52" t="str">
        <f>'Keyword Master Database'!A74</f>
        <v>dental cleaning near me</v>
      </c>
      <c r="B74" s="53">
        <v>4.0</v>
      </c>
      <c r="C74" s="54">
        <f>IF('Keyword Master Database'!H74&gt;=1000,5,IF('Keyword Master Database'!H74&gt;=500,4,IF('Keyword Master Database'!H74&gt;=200,3,IF('Keyword Master Database'!H74&gt;=80,2,1))))</f>
        <v>5</v>
      </c>
      <c r="D74" s="54">
        <f>IF('Keyword Master Database'!I74&lt;=20,5,IF('Keyword Master Database'!I74&lt;=35,4,IF('Keyword Master Database'!I74&lt;=50,3,IF('Keyword Master Database'!I74&lt;=65,2,1))))</f>
        <v>1</v>
      </c>
      <c r="E74" s="54">
        <f>IF('Keyword Master Database'!E74="Transactional",5,IF('Keyword Master Database'!E74="Commercial",4,IF('Keyword Master Database'!E74="Navigational",3,2)))</f>
        <v>5</v>
      </c>
      <c r="F74" s="53">
        <v>5.0</v>
      </c>
      <c r="G74" s="53">
        <v>4.0</v>
      </c>
      <c r="H74" s="55">
        <f t="shared" si="1"/>
        <v>3.85</v>
      </c>
      <c r="I74" s="56">
        <f t="shared" si="2"/>
        <v>77</v>
      </c>
      <c r="J74" s="54" t="str">
        <f t="shared" si="3"/>
        <v>High</v>
      </c>
      <c r="K74" s="8"/>
      <c r="L74" s="8"/>
      <c r="M74" s="8"/>
      <c r="N74" s="8"/>
    </row>
    <row r="75" ht="15.75" customHeight="1">
      <c r="A75" s="52" t="str">
        <f>'Keyword Master Database'!A75</f>
        <v>deep cleaning teeth tampa</v>
      </c>
      <c r="B75" s="53">
        <v>4.0</v>
      </c>
      <c r="C75" s="54">
        <f>IF('Keyword Master Database'!H75&gt;=1000,5,IF('Keyword Master Database'!H75&gt;=500,4,IF('Keyword Master Database'!H75&gt;=200,3,IF('Keyword Master Database'!H75&gt;=80,2,1))))</f>
        <v>3</v>
      </c>
      <c r="D75" s="54">
        <f>IF('Keyword Master Database'!I75&lt;=20,5,IF('Keyword Master Database'!I75&lt;=35,4,IF('Keyword Master Database'!I75&lt;=50,3,IF('Keyword Master Database'!I75&lt;=65,2,1))))</f>
        <v>4</v>
      </c>
      <c r="E75" s="54">
        <f>IF('Keyword Master Database'!E75="Transactional",5,IF('Keyword Master Database'!E75="Commercial",4,IF('Keyword Master Database'!E75="Navigational",3,2)))</f>
        <v>5</v>
      </c>
      <c r="F75" s="53">
        <v>5.0</v>
      </c>
      <c r="G75" s="53">
        <v>4.0</v>
      </c>
      <c r="H75" s="55">
        <f t="shared" si="1"/>
        <v>4.15</v>
      </c>
      <c r="I75" s="56">
        <f t="shared" si="2"/>
        <v>83</v>
      </c>
      <c r="J75" s="54" t="str">
        <f t="shared" si="3"/>
        <v>High</v>
      </c>
      <c r="K75" s="8"/>
      <c r="L75" s="8"/>
      <c r="M75" s="8"/>
      <c r="N75" s="8"/>
    </row>
    <row r="76" ht="15.75" customHeight="1">
      <c r="A76" s="52" t="str">
        <f>'Keyword Master Database'!A76</f>
        <v>dental checkup tampa</v>
      </c>
      <c r="B76" s="53">
        <v>4.0</v>
      </c>
      <c r="C76" s="54">
        <f>IF('Keyword Master Database'!H76&gt;=1000,5,IF('Keyword Master Database'!H76&gt;=500,4,IF('Keyword Master Database'!H76&gt;=200,3,IF('Keyword Master Database'!H76&gt;=80,2,1))))</f>
        <v>3</v>
      </c>
      <c r="D76" s="54">
        <f>IF('Keyword Master Database'!I76&lt;=20,5,IF('Keyword Master Database'!I76&lt;=35,4,IF('Keyword Master Database'!I76&lt;=50,3,IF('Keyword Master Database'!I76&lt;=65,2,1))))</f>
        <v>3</v>
      </c>
      <c r="E76" s="54">
        <f>IF('Keyword Master Database'!E76="Transactional",5,IF('Keyword Master Database'!E76="Commercial",4,IF('Keyword Master Database'!E76="Navigational",3,2)))</f>
        <v>5</v>
      </c>
      <c r="F76" s="53">
        <v>5.0</v>
      </c>
      <c r="G76" s="53">
        <v>4.0</v>
      </c>
      <c r="H76" s="55">
        <f t="shared" si="1"/>
        <v>3.95</v>
      </c>
      <c r="I76" s="56">
        <f t="shared" si="2"/>
        <v>79</v>
      </c>
      <c r="J76" s="54" t="str">
        <f t="shared" si="3"/>
        <v>High</v>
      </c>
      <c r="K76" s="8"/>
      <c r="L76" s="8"/>
      <c r="M76" s="8"/>
      <c r="N76" s="8"/>
    </row>
    <row r="77" ht="15.75" customHeight="1">
      <c r="A77" s="52" t="str">
        <f>'Keyword Master Database'!A77</f>
        <v>dentist exam and cleaning tampa</v>
      </c>
      <c r="B77" s="53">
        <v>4.0</v>
      </c>
      <c r="C77" s="54">
        <f>IF('Keyword Master Database'!H77&gt;=1000,5,IF('Keyword Master Database'!H77&gt;=500,4,IF('Keyword Master Database'!H77&gt;=200,3,IF('Keyword Master Database'!H77&gt;=80,2,1))))</f>
        <v>2</v>
      </c>
      <c r="D77" s="54">
        <f>IF('Keyword Master Database'!I77&lt;=20,5,IF('Keyword Master Database'!I77&lt;=35,4,IF('Keyword Master Database'!I77&lt;=50,3,IF('Keyword Master Database'!I77&lt;=65,2,1))))</f>
        <v>3</v>
      </c>
      <c r="E77" s="54">
        <f>IF('Keyword Master Database'!E77="Transactional",5,IF('Keyword Master Database'!E77="Commercial",4,IF('Keyword Master Database'!E77="Navigational",3,2)))</f>
        <v>5</v>
      </c>
      <c r="F77" s="53">
        <v>5.0</v>
      </c>
      <c r="G77" s="53">
        <v>4.0</v>
      </c>
      <c r="H77" s="55">
        <f t="shared" si="1"/>
        <v>3.8</v>
      </c>
      <c r="I77" s="56">
        <f t="shared" si="2"/>
        <v>76</v>
      </c>
      <c r="J77" s="54" t="str">
        <f t="shared" si="3"/>
        <v>High</v>
      </c>
      <c r="K77" s="8"/>
      <c r="L77" s="8"/>
      <c r="M77" s="8"/>
      <c r="N77" s="8"/>
    </row>
    <row r="78" ht="15.75" customHeight="1">
      <c r="A78" s="52" t="str">
        <f>'Keyword Master Database'!A78</f>
        <v>how often should you get teeth cleaned</v>
      </c>
      <c r="B78" s="53">
        <v>3.0</v>
      </c>
      <c r="C78" s="54">
        <f>IF('Keyword Master Database'!H78&gt;=1000,5,IF('Keyword Master Database'!H78&gt;=500,4,IF('Keyword Master Database'!H78&gt;=200,3,IF('Keyword Master Database'!H78&gt;=80,2,1))))</f>
        <v>5</v>
      </c>
      <c r="D78" s="54">
        <f>IF('Keyword Master Database'!I78&lt;=20,5,IF('Keyword Master Database'!I78&lt;=35,4,IF('Keyword Master Database'!I78&lt;=50,3,IF('Keyword Master Database'!I78&lt;=65,2,1))))</f>
        <v>4</v>
      </c>
      <c r="E78" s="54">
        <f>IF('Keyword Master Database'!E78="Transactional",5,IF('Keyword Master Database'!E78="Commercial",4,IF('Keyword Master Database'!E78="Navigational",3,2)))</f>
        <v>2</v>
      </c>
      <c r="F78" s="53">
        <v>1.0</v>
      </c>
      <c r="G78" s="53">
        <v>4.0</v>
      </c>
      <c r="H78" s="55">
        <f t="shared" si="1"/>
        <v>3.15</v>
      </c>
      <c r="I78" s="56">
        <f t="shared" si="2"/>
        <v>63</v>
      </c>
      <c r="J78" s="54" t="str">
        <f t="shared" si="3"/>
        <v>Medium</v>
      </c>
      <c r="K78" s="8"/>
      <c r="L78" s="8"/>
      <c r="M78" s="8"/>
      <c r="N78" s="8"/>
    </row>
    <row r="79" ht="15.75" customHeight="1">
      <c r="A79" s="52" t="str">
        <f>'Keyword Master Database'!A79</f>
        <v>what happens during a dental cleaning</v>
      </c>
      <c r="B79" s="53">
        <v>3.0</v>
      </c>
      <c r="C79" s="54">
        <f>IF('Keyword Master Database'!H79&gt;=1000,5,IF('Keyword Master Database'!H79&gt;=500,4,IF('Keyword Master Database'!H79&gt;=200,3,IF('Keyword Master Database'!H79&gt;=80,2,1))))</f>
        <v>5</v>
      </c>
      <c r="D79" s="54">
        <f>IF('Keyword Master Database'!I79&lt;=20,5,IF('Keyword Master Database'!I79&lt;=35,4,IF('Keyword Master Database'!I79&lt;=50,3,IF('Keyword Master Database'!I79&lt;=65,2,1))))</f>
        <v>4</v>
      </c>
      <c r="E79" s="54">
        <f>IF('Keyword Master Database'!E79="Transactional",5,IF('Keyword Master Database'!E79="Commercial",4,IF('Keyword Master Database'!E79="Navigational",3,2)))</f>
        <v>2</v>
      </c>
      <c r="F79" s="53">
        <v>1.0</v>
      </c>
      <c r="G79" s="53">
        <v>4.0</v>
      </c>
      <c r="H79" s="55">
        <f t="shared" si="1"/>
        <v>3.15</v>
      </c>
      <c r="I79" s="56">
        <f t="shared" si="2"/>
        <v>63</v>
      </c>
      <c r="J79" s="54" t="str">
        <f t="shared" si="3"/>
        <v>Medium</v>
      </c>
      <c r="K79" s="8"/>
      <c r="L79" s="8"/>
      <c r="M79" s="8"/>
      <c r="N79" s="8"/>
    </row>
    <row r="80" ht="15.75" customHeight="1">
      <c r="A80" s="52" t="str">
        <f>'Keyword Master Database'!A80</f>
        <v>dental sealants tampa</v>
      </c>
      <c r="B80" s="53">
        <v>3.0</v>
      </c>
      <c r="C80" s="54">
        <f>IF('Keyword Master Database'!H80&gt;=1000,5,IF('Keyword Master Database'!H80&gt;=500,4,IF('Keyword Master Database'!H80&gt;=200,3,IF('Keyword Master Database'!H80&gt;=80,2,1))))</f>
        <v>2</v>
      </c>
      <c r="D80" s="54">
        <f>IF('Keyword Master Database'!I80&lt;=20,5,IF('Keyword Master Database'!I80&lt;=35,4,IF('Keyword Master Database'!I80&lt;=50,3,IF('Keyword Master Database'!I80&lt;=65,2,1))))</f>
        <v>5</v>
      </c>
      <c r="E80" s="54">
        <f>IF('Keyword Master Database'!E80="Transactional",5,IF('Keyword Master Database'!E80="Commercial",4,IF('Keyword Master Database'!E80="Navigational",3,2)))</f>
        <v>5</v>
      </c>
      <c r="F80" s="53">
        <v>5.0</v>
      </c>
      <c r="G80" s="53">
        <v>4.0</v>
      </c>
      <c r="H80" s="55">
        <f t="shared" si="1"/>
        <v>3.95</v>
      </c>
      <c r="I80" s="56">
        <f t="shared" si="2"/>
        <v>79</v>
      </c>
      <c r="J80" s="54" t="str">
        <f t="shared" si="3"/>
        <v>High</v>
      </c>
      <c r="K80" s="8"/>
      <c r="L80" s="8"/>
      <c r="M80" s="8"/>
      <c r="N80" s="8"/>
    </row>
    <row r="81" ht="15.75" customHeight="1">
      <c r="A81" s="52" t="str">
        <f>'Keyword Master Database'!A81</f>
        <v>dental sealants near me</v>
      </c>
      <c r="B81" s="53">
        <v>3.0</v>
      </c>
      <c r="C81" s="54">
        <f>IF('Keyword Master Database'!H81&gt;=1000,5,IF('Keyword Master Database'!H81&gt;=500,4,IF('Keyword Master Database'!H81&gt;=200,3,IF('Keyword Master Database'!H81&gt;=80,2,1))))</f>
        <v>4</v>
      </c>
      <c r="D81" s="54">
        <f>IF('Keyword Master Database'!I81&lt;=20,5,IF('Keyword Master Database'!I81&lt;=35,4,IF('Keyword Master Database'!I81&lt;=50,3,IF('Keyword Master Database'!I81&lt;=65,2,1))))</f>
        <v>4</v>
      </c>
      <c r="E81" s="54">
        <f>IF('Keyword Master Database'!E81="Transactional",5,IF('Keyword Master Database'!E81="Commercial",4,IF('Keyword Master Database'!E81="Navigational",3,2)))</f>
        <v>5</v>
      </c>
      <c r="F81" s="53">
        <v>5.0</v>
      </c>
      <c r="G81" s="53">
        <v>4.0</v>
      </c>
      <c r="H81" s="55">
        <f t="shared" si="1"/>
        <v>4.05</v>
      </c>
      <c r="I81" s="56">
        <f t="shared" si="2"/>
        <v>81</v>
      </c>
      <c r="J81" s="54" t="str">
        <f t="shared" si="3"/>
        <v>High</v>
      </c>
      <c r="K81" s="8"/>
      <c r="L81" s="8"/>
      <c r="M81" s="8"/>
      <c r="N81" s="8"/>
    </row>
    <row r="82" ht="15.75" customHeight="1">
      <c r="A82" s="52" t="str">
        <f>'Keyword Master Database'!A82</f>
        <v>tooth sealant tampa fl</v>
      </c>
      <c r="B82" s="53">
        <v>3.0</v>
      </c>
      <c r="C82" s="54">
        <f>IF('Keyword Master Database'!H82&gt;=1000,5,IF('Keyword Master Database'!H82&gt;=500,4,IF('Keyword Master Database'!H82&gt;=200,3,IF('Keyword Master Database'!H82&gt;=80,2,1))))</f>
        <v>1</v>
      </c>
      <c r="D82" s="54">
        <f>IF('Keyword Master Database'!I82&lt;=20,5,IF('Keyword Master Database'!I82&lt;=35,4,IF('Keyword Master Database'!I82&lt;=50,3,IF('Keyword Master Database'!I82&lt;=65,2,1))))</f>
        <v>5</v>
      </c>
      <c r="E82" s="54">
        <f>IF('Keyword Master Database'!E82="Transactional",5,IF('Keyword Master Database'!E82="Commercial",4,IF('Keyword Master Database'!E82="Navigational",3,2)))</f>
        <v>5</v>
      </c>
      <c r="F82" s="53">
        <v>5.0</v>
      </c>
      <c r="G82" s="53">
        <v>4.0</v>
      </c>
      <c r="H82" s="55">
        <f t="shared" si="1"/>
        <v>3.8</v>
      </c>
      <c r="I82" s="56">
        <f t="shared" si="2"/>
        <v>76</v>
      </c>
      <c r="J82" s="54" t="str">
        <f t="shared" si="3"/>
        <v>High</v>
      </c>
      <c r="K82" s="8"/>
      <c r="L82" s="8"/>
      <c r="M82" s="8"/>
      <c r="N82" s="8"/>
    </row>
    <row r="83" ht="15.75" customHeight="1">
      <c r="A83" s="52" t="str">
        <f>'Keyword Master Database'!A83</f>
        <v>sealants dentist tampa</v>
      </c>
      <c r="B83" s="53">
        <v>3.0</v>
      </c>
      <c r="C83" s="54">
        <f>IF('Keyword Master Database'!H83&gt;=1000,5,IF('Keyword Master Database'!H83&gt;=500,4,IF('Keyword Master Database'!H83&gt;=200,3,IF('Keyword Master Database'!H83&gt;=80,2,1))))</f>
        <v>1</v>
      </c>
      <c r="D83" s="54">
        <f>IF('Keyword Master Database'!I83&lt;=20,5,IF('Keyword Master Database'!I83&lt;=35,4,IF('Keyword Master Database'!I83&lt;=50,3,IF('Keyword Master Database'!I83&lt;=65,2,1))))</f>
        <v>5</v>
      </c>
      <c r="E83" s="54">
        <f>IF('Keyword Master Database'!E83="Transactional",5,IF('Keyword Master Database'!E83="Commercial",4,IF('Keyword Master Database'!E83="Navigational",3,2)))</f>
        <v>5</v>
      </c>
      <c r="F83" s="53">
        <v>5.0</v>
      </c>
      <c r="G83" s="53">
        <v>4.0</v>
      </c>
      <c r="H83" s="55">
        <f t="shared" si="1"/>
        <v>3.8</v>
      </c>
      <c r="I83" s="56">
        <f t="shared" si="2"/>
        <v>76</v>
      </c>
      <c r="J83" s="54" t="str">
        <f t="shared" si="3"/>
        <v>High</v>
      </c>
      <c r="K83" s="8"/>
      <c r="L83" s="8"/>
      <c r="M83" s="8"/>
      <c r="N83" s="8"/>
    </row>
    <row r="84" ht="15.75" customHeight="1">
      <c r="A84" s="52" t="str">
        <f>'Keyword Master Database'!A84</f>
        <v>children's dental sealants tampa</v>
      </c>
      <c r="B84" s="53">
        <v>3.0</v>
      </c>
      <c r="C84" s="54">
        <f>IF('Keyword Master Database'!H84&gt;=1000,5,IF('Keyword Master Database'!H84&gt;=500,4,IF('Keyword Master Database'!H84&gt;=200,3,IF('Keyword Master Database'!H84&gt;=80,2,1))))</f>
        <v>1</v>
      </c>
      <c r="D84" s="54">
        <f>IF('Keyword Master Database'!I84&lt;=20,5,IF('Keyword Master Database'!I84&lt;=35,4,IF('Keyword Master Database'!I84&lt;=50,3,IF('Keyword Master Database'!I84&lt;=65,2,1))))</f>
        <v>5</v>
      </c>
      <c r="E84" s="54">
        <f>IF('Keyword Master Database'!E84="Transactional",5,IF('Keyword Master Database'!E84="Commercial",4,IF('Keyword Master Database'!E84="Navigational",3,2)))</f>
        <v>5</v>
      </c>
      <c r="F84" s="53">
        <v>5.0</v>
      </c>
      <c r="G84" s="53">
        <v>4.0</v>
      </c>
      <c r="H84" s="55">
        <f t="shared" si="1"/>
        <v>3.8</v>
      </c>
      <c r="I84" s="56">
        <f t="shared" si="2"/>
        <v>76</v>
      </c>
      <c r="J84" s="54" t="str">
        <f t="shared" si="3"/>
        <v>High</v>
      </c>
      <c r="K84" s="8"/>
      <c r="L84" s="8"/>
      <c r="M84" s="8"/>
      <c r="N84" s="8"/>
    </row>
    <row r="85" ht="15.75" customHeight="1">
      <c r="A85" s="52" t="str">
        <f>'Keyword Master Database'!A85</f>
        <v>dental sealants cost</v>
      </c>
      <c r="B85" s="53">
        <v>3.0</v>
      </c>
      <c r="C85" s="54">
        <f>IF('Keyword Master Database'!H85&gt;=1000,5,IF('Keyword Master Database'!H85&gt;=500,4,IF('Keyword Master Database'!H85&gt;=200,3,IF('Keyword Master Database'!H85&gt;=80,2,1))))</f>
        <v>5</v>
      </c>
      <c r="D85" s="54">
        <f>IF('Keyword Master Database'!I85&lt;=20,5,IF('Keyword Master Database'!I85&lt;=35,4,IF('Keyword Master Database'!I85&lt;=50,3,IF('Keyword Master Database'!I85&lt;=65,2,1))))</f>
        <v>4</v>
      </c>
      <c r="E85" s="54">
        <f>IF('Keyword Master Database'!E85="Transactional",5,IF('Keyword Master Database'!E85="Commercial",4,IF('Keyword Master Database'!E85="Navigational",3,2)))</f>
        <v>4</v>
      </c>
      <c r="F85" s="53">
        <v>3.0</v>
      </c>
      <c r="G85" s="53">
        <v>4.0</v>
      </c>
      <c r="H85" s="55">
        <f t="shared" si="1"/>
        <v>3.75</v>
      </c>
      <c r="I85" s="56">
        <f t="shared" si="2"/>
        <v>75</v>
      </c>
      <c r="J85" s="54" t="str">
        <f t="shared" si="3"/>
        <v>High</v>
      </c>
      <c r="K85" s="8"/>
      <c r="L85" s="8"/>
      <c r="M85" s="8"/>
      <c r="N85" s="8"/>
    </row>
    <row r="86" ht="15.75" customHeight="1">
      <c r="A86" s="52" t="str">
        <f>'Keyword Master Database'!A86</f>
        <v>kids dentist tampa</v>
      </c>
      <c r="B86" s="53">
        <v>3.0</v>
      </c>
      <c r="C86" s="54">
        <f>IF('Keyword Master Database'!H86&gt;=1000,5,IF('Keyword Master Database'!H86&gt;=500,4,IF('Keyword Master Database'!H86&gt;=200,3,IF('Keyword Master Database'!H86&gt;=80,2,1))))</f>
        <v>3</v>
      </c>
      <c r="D86" s="54">
        <f>IF('Keyword Master Database'!I86&lt;=20,5,IF('Keyword Master Database'!I86&lt;=35,4,IF('Keyword Master Database'!I86&lt;=50,3,IF('Keyword Master Database'!I86&lt;=65,2,1))))</f>
        <v>3</v>
      </c>
      <c r="E86" s="54">
        <f>IF('Keyword Master Database'!E86="Transactional",5,IF('Keyword Master Database'!E86="Commercial",4,IF('Keyword Master Database'!E86="Navigational",3,2)))</f>
        <v>5</v>
      </c>
      <c r="F86" s="53">
        <v>5.0</v>
      </c>
      <c r="G86" s="53">
        <v>4.0</v>
      </c>
      <c r="H86" s="55">
        <f t="shared" si="1"/>
        <v>3.7</v>
      </c>
      <c r="I86" s="56">
        <f t="shared" si="2"/>
        <v>74</v>
      </c>
      <c r="J86" s="54" t="str">
        <f t="shared" si="3"/>
        <v>Medium</v>
      </c>
      <c r="K86" s="8"/>
      <c r="L86" s="8"/>
      <c r="M86" s="8"/>
      <c r="N86" s="8"/>
    </row>
    <row r="87" ht="15.75" customHeight="1">
      <c r="A87" s="52" t="str">
        <f>'Keyword Master Database'!A87</f>
        <v>tooth sealants for adults near me</v>
      </c>
      <c r="B87" s="53">
        <v>3.0</v>
      </c>
      <c r="C87" s="54">
        <f>IF('Keyword Master Database'!H87&gt;=1000,5,IF('Keyword Master Database'!H87&gt;=500,4,IF('Keyword Master Database'!H87&gt;=200,3,IF('Keyword Master Database'!H87&gt;=80,2,1))))</f>
        <v>2</v>
      </c>
      <c r="D87" s="54">
        <f>IF('Keyword Master Database'!I87&lt;=20,5,IF('Keyword Master Database'!I87&lt;=35,4,IF('Keyword Master Database'!I87&lt;=50,3,IF('Keyword Master Database'!I87&lt;=65,2,1))))</f>
        <v>5</v>
      </c>
      <c r="E87" s="54">
        <f>IF('Keyword Master Database'!E87="Transactional",5,IF('Keyword Master Database'!E87="Commercial",4,IF('Keyword Master Database'!E87="Navigational",3,2)))</f>
        <v>5</v>
      </c>
      <c r="F87" s="53">
        <v>5.0</v>
      </c>
      <c r="G87" s="53">
        <v>4.0</v>
      </c>
      <c r="H87" s="55">
        <f t="shared" si="1"/>
        <v>3.95</v>
      </c>
      <c r="I87" s="56">
        <f t="shared" si="2"/>
        <v>79</v>
      </c>
      <c r="J87" s="54" t="str">
        <f t="shared" si="3"/>
        <v>High</v>
      </c>
      <c r="K87" s="8"/>
      <c r="L87" s="8"/>
      <c r="M87" s="8"/>
      <c r="N87" s="8"/>
    </row>
    <row r="88" ht="15.75" customHeight="1">
      <c r="A88" s="52" t="str">
        <f>'Keyword Master Database'!A88</f>
        <v>what are dental sealants</v>
      </c>
      <c r="B88" s="53">
        <v>2.0</v>
      </c>
      <c r="C88" s="54">
        <f>IF('Keyword Master Database'!H88&gt;=1000,5,IF('Keyword Master Database'!H88&gt;=500,4,IF('Keyword Master Database'!H88&gt;=200,3,IF('Keyword Master Database'!H88&gt;=80,2,1))))</f>
        <v>5</v>
      </c>
      <c r="D88" s="54">
        <f>IF('Keyword Master Database'!I88&lt;=20,5,IF('Keyword Master Database'!I88&lt;=35,4,IF('Keyword Master Database'!I88&lt;=50,3,IF('Keyword Master Database'!I88&lt;=65,2,1))))</f>
        <v>4</v>
      </c>
      <c r="E88" s="54">
        <f>IF('Keyword Master Database'!E88="Transactional",5,IF('Keyword Master Database'!E88="Commercial",4,IF('Keyword Master Database'!E88="Navigational",3,2)))</f>
        <v>2</v>
      </c>
      <c r="F88" s="53">
        <v>1.0</v>
      </c>
      <c r="G88" s="53">
        <v>3.0</v>
      </c>
      <c r="H88" s="55">
        <f t="shared" si="1"/>
        <v>2.8</v>
      </c>
      <c r="I88" s="56">
        <f t="shared" si="2"/>
        <v>56</v>
      </c>
      <c r="J88" s="54" t="str">
        <f t="shared" si="3"/>
        <v>Low</v>
      </c>
      <c r="K88" s="8"/>
      <c r="L88" s="8"/>
      <c r="M88" s="8"/>
      <c r="N88" s="8"/>
    </row>
    <row r="89" ht="15.75" customHeight="1">
      <c r="A89" s="52" t="str">
        <f>'Keyword Master Database'!A89</f>
        <v>how long do dental sealants last</v>
      </c>
      <c r="B89" s="53">
        <v>2.0</v>
      </c>
      <c r="C89" s="54">
        <f>IF('Keyword Master Database'!H89&gt;=1000,5,IF('Keyword Master Database'!H89&gt;=500,4,IF('Keyword Master Database'!H89&gt;=200,3,IF('Keyword Master Database'!H89&gt;=80,2,1))))</f>
        <v>5</v>
      </c>
      <c r="D89" s="54">
        <f>IF('Keyword Master Database'!I89&lt;=20,5,IF('Keyword Master Database'!I89&lt;=35,4,IF('Keyword Master Database'!I89&lt;=50,3,IF('Keyword Master Database'!I89&lt;=65,2,1))))</f>
        <v>4</v>
      </c>
      <c r="E89" s="54">
        <f>IF('Keyword Master Database'!E89="Transactional",5,IF('Keyword Master Database'!E89="Commercial",4,IF('Keyword Master Database'!E89="Navigational",3,2)))</f>
        <v>2</v>
      </c>
      <c r="F89" s="53">
        <v>1.0</v>
      </c>
      <c r="G89" s="53">
        <v>3.0</v>
      </c>
      <c r="H89" s="55">
        <f t="shared" si="1"/>
        <v>2.8</v>
      </c>
      <c r="I89" s="56">
        <f t="shared" si="2"/>
        <v>56</v>
      </c>
      <c r="J89" s="54" t="str">
        <f t="shared" si="3"/>
        <v>Low</v>
      </c>
      <c r="K89" s="8"/>
      <c r="L89" s="8"/>
      <c r="M89" s="8"/>
      <c r="N89" s="8"/>
    </row>
    <row r="90" ht="15.75" customHeight="1">
      <c r="A90" s="52" t="str">
        <f>'Keyword Master Database'!A90</f>
        <v>dental sealants for adults</v>
      </c>
      <c r="B90" s="53">
        <v>2.0</v>
      </c>
      <c r="C90" s="54">
        <f>IF('Keyword Master Database'!H90&gt;=1000,5,IF('Keyword Master Database'!H90&gt;=500,4,IF('Keyword Master Database'!H90&gt;=200,3,IF('Keyword Master Database'!H90&gt;=80,2,1))))</f>
        <v>5</v>
      </c>
      <c r="D90" s="54">
        <f>IF('Keyword Master Database'!I90&lt;=20,5,IF('Keyword Master Database'!I90&lt;=35,4,IF('Keyword Master Database'!I90&lt;=50,3,IF('Keyword Master Database'!I90&lt;=65,2,1))))</f>
        <v>4</v>
      </c>
      <c r="E90" s="54">
        <f>IF('Keyword Master Database'!E90="Transactional",5,IF('Keyword Master Database'!E90="Commercial",4,IF('Keyword Master Database'!E90="Navigational",3,2)))</f>
        <v>2</v>
      </c>
      <c r="F90" s="53">
        <v>1.0</v>
      </c>
      <c r="G90" s="53">
        <v>3.0</v>
      </c>
      <c r="H90" s="55">
        <f t="shared" si="1"/>
        <v>2.8</v>
      </c>
      <c r="I90" s="56">
        <f t="shared" si="2"/>
        <v>56</v>
      </c>
      <c r="J90" s="54" t="str">
        <f t="shared" si="3"/>
        <v>Low</v>
      </c>
      <c r="K90" s="8"/>
      <c r="L90" s="8"/>
      <c r="M90" s="8"/>
      <c r="N90" s="8"/>
    </row>
    <row r="91" ht="15.75" customHeight="1">
      <c r="A91" s="52" t="str">
        <f>'Keyword Master Database'!A91</f>
        <v>are dental sealants worth it</v>
      </c>
      <c r="B91" s="53">
        <v>2.0</v>
      </c>
      <c r="C91" s="54">
        <f>IF('Keyword Master Database'!H91&gt;=1000,5,IF('Keyword Master Database'!H91&gt;=500,4,IF('Keyword Master Database'!H91&gt;=200,3,IF('Keyword Master Database'!H91&gt;=80,2,1))))</f>
        <v>4</v>
      </c>
      <c r="D91" s="54">
        <f>IF('Keyword Master Database'!I91&lt;=20,5,IF('Keyword Master Database'!I91&lt;=35,4,IF('Keyword Master Database'!I91&lt;=50,3,IF('Keyword Master Database'!I91&lt;=65,2,1))))</f>
        <v>5</v>
      </c>
      <c r="E91" s="54">
        <f>IF('Keyword Master Database'!E91="Transactional",5,IF('Keyword Master Database'!E91="Commercial",4,IF('Keyword Master Database'!E91="Navigational",3,2)))</f>
        <v>4</v>
      </c>
      <c r="F91" s="53">
        <v>3.0</v>
      </c>
      <c r="G91" s="53">
        <v>3.0</v>
      </c>
      <c r="H91" s="55">
        <f t="shared" si="1"/>
        <v>3.45</v>
      </c>
      <c r="I91" s="56">
        <f t="shared" si="2"/>
        <v>69</v>
      </c>
      <c r="J91" s="54" t="str">
        <f t="shared" si="3"/>
        <v>Medium</v>
      </c>
      <c r="K91" s="8"/>
      <c r="L91" s="8"/>
      <c r="M91" s="8"/>
      <c r="N91" s="8"/>
    </row>
    <row r="92" ht="15.75" customHeight="1">
      <c r="A92" s="52" t="str">
        <f>'Keyword Master Database'!A92</f>
        <v>dental sealant pros and cons</v>
      </c>
      <c r="B92" s="53">
        <v>2.0</v>
      </c>
      <c r="C92" s="54">
        <f>IF('Keyword Master Database'!H92&gt;=1000,5,IF('Keyword Master Database'!H92&gt;=500,4,IF('Keyword Master Database'!H92&gt;=200,3,IF('Keyword Master Database'!H92&gt;=80,2,1))))</f>
        <v>4</v>
      </c>
      <c r="D92" s="54">
        <f>IF('Keyword Master Database'!I92&lt;=20,5,IF('Keyword Master Database'!I92&lt;=35,4,IF('Keyword Master Database'!I92&lt;=50,3,IF('Keyword Master Database'!I92&lt;=65,2,1))))</f>
        <v>4</v>
      </c>
      <c r="E92" s="54">
        <f>IF('Keyword Master Database'!E92="Transactional",5,IF('Keyword Master Database'!E92="Commercial",4,IF('Keyword Master Database'!E92="Navigational",3,2)))</f>
        <v>4</v>
      </c>
      <c r="F92" s="53">
        <v>3.0</v>
      </c>
      <c r="G92" s="53">
        <v>3.0</v>
      </c>
      <c r="H92" s="55">
        <f t="shared" si="1"/>
        <v>3.25</v>
      </c>
      <c r="I92" s="56">
        <f t="shared" si="2"/>
        <v>65</v>
      </c>
      <c r="J92" s="54" t="str">
        <f t="shared" si="3"/>
        <v>Medium</v>
      </c>
      <c r="K92" s="8"/>
      <c r="L92" s="8"/>
      <c r="M92" s="8"/>
      <c r="N92" s="8"/>
    </row>
    <row r="93" ht="15.75" customHeight="1">
      <c r="A93" s="52" t="str">
        <f>'Keyword Master Database'!A93</f>
        <v>do sealants hurt</v>
      </c>
      <c r="B93" s="53">
        <v>2.0</v>
      </c>
      <c r="C93" s="54">
        <f>IF('Keyword Master Database'!H93&gt;=1000,5,IF('Keyword Master Database'!H93&gt;=500,4,IF('Keyword Master Database'!H93&gt;=200,3,IF('Keyword Master Database'!H93&gt;=80,2,1))))</f>
        <v>3</v>
      </c>
      <c r="D93" s="54">
        <f>IF('Keyword Master Database'!I93&lt;=20,5,IF('Keyword Master Database'!I93&lt;=35,4,IF('Keyword Master Database'!I93&lt;=50,3,IF('Keyword Master Database'!I93&lt;=65,2,1))))</f>
        <v>5</v>
      </c>
      <c r="E93" s="54">
        <f>IF('Keyword Master Database'!E93="Transactional",5,IF('Keyword Master Database'!E93="Commercial",4,IF('Keyword Master Database'!E93="Navigational",3,2)))</f>
        <v>2</v>
      </c>
      <c r="F93" s="53">
        <v>1.0</v>
      </c>
      <c r="G93" s="53">
        <v>3.0</v>
      </c>
      <c r="H93" s="55">
        <f t="shared" si="1"/>
        <v>2.7</v>
      </c>
      <c r="I93" s="56">
        <f t="shared" si="2"/>
        <v>54</v>
      </c>
      <c r="J93" s="54" t="str">
        <f t="shared" si="3"/>
        <v>Low</v>
      </c>
      <c r="K93" s="8"/>
      <c r="L93" s="8"/>
      <c r="M93" s="8"/>
      <c r="N93" s="8"/>
    </row>
    <row r="94" ht="15.75" customHeight="1">
      <c r="A94" s="52" t="str">
        <f>'Keyword Master Database'!A94</f>
        <v>sealants vs fluoride</v>
      </c>
      <c r="B94" s="53">
        <v>2.0</v>
      </c>
      <c r="C94" s="54">
        <f>IF('Keyword Master Database'!H94&gt;=1000,5,IF('Keyword Master Database'!H94&gt;=500,4,IF('Keyword Master Database'!H94&gt;=200,3,IF('Keyword Master Database'!H94&gt;=80,2,1))))</f>
        <v>3</v>
      </c>
      <c r="D94" s="54">
        <f>IF('Keyword Master Database'!I94&lt;=20,5,IF('Keyword Master Database'!I94&lt;=35,4,IF('Keyword Master Database'!I94&lt;=50,3,IF('Keyword Master Database'!I94&lt;=65,2,1))))</f>
        <v>5</v>
      </c>
      <c r="E94" s="54">
        <f>IF('Keyword Master Database'!E94="Transactional",5,IF('Keyword Master Database'!E94="Commercial",4,IF('Keyword Master Database'!E94="Navigational",3,2)))</f>
        <v>4</v>
      </c>
      <c r="F94" s="53">
        <v>3.0</v>
      </c>
      <c r="G94" s="53">
        <v>3.0</v>
      </c>
      <c r="H94" s="55">
        <f t="shared" si="1"/>
        <v>3.3</v>
      </c>
      <c r="I94" s="56">
        <f t="shared" si="2"/>
        <v>66</v>
      </c>
      <c r="J94" s="54" t="str">
        <f t="shared" si="3"/>
        <v>Medium</v>
      </c>
      <c r="K94" s="8"/>
      <c r="L94" s="8"/>
      <c r="M94" s="8"/>
      <c r="N94" s="8"/>
    </row>
    <row r="95" ht="15.75" customHeight="1">
      <c r="A95" s="52" t="str">
        <f>'Keyword Master Database'!A95</f>
        <v>invisalign tampa</v>
      </c>
      <c r="B95" s="53">
        <v>5.0</v>
      </c>
      <c r="C95" s="54">
        <f>IF('Keyword Master Database'!H95&gt;=1000,5,IF('Keyword Master Database'!H95&gt;=500,4,IF('Keyword Master Database'!H95&gt;=200,3,IF('Keyword Master Database'!H95&gt;=80,2,1))))</f>
        <v>5</v>
      </c>
      <c r="D95" s="54">
        <f>IF('Keyword Master Database'!I95&lt;=20,5,IF('Keyword Master Database'!I95&lt;=35,4,IF('Keyword Master Database'!I95&lt;=50,3,IF('Keyword Master Database'!I95&lt;=65,2,1))))</f>
        <v>2</v>
      </c>
      <c r="E95" s="54">
        <f>IF('Keyword Master Database'!E95="Transactional",5,IF('Keyword Master Database'!E95="Commercial",4,IF('Keyword Master Database'!E95="Navigational",3,2)))</f>
        <v>5</v>
      </c>
      <c r="F95" s="53">
        <v>5.0</v>
      </c>
      <c r="G95" s="53">
        <v>5.0</v>
      </c>
      <c r="H95" s="55">
        <f t="shared" si="1"/>
        <v>4.4</v>
      </c>
      <c r="I95" s="56">
        <f t="shared" si="2"/>
        <v>88</v>
      </c>
      <c r="J95" s="54" t="str">
        <f t="shared" si="3"/>
        <v>High</v>
      </c>
      <c r="K95" s="8"/>
      <c r="L95" s="8"/>
      <c r="M95" s="8"/>
      <c r="N95" s="8"/>
    </row>
    <row r="96" ht="15.75" customHeight="1">
      <c r="A96" s="52" t="str">
        <f>'Keyword Master Database'!A96</f>
        <v>invisalign in tampa fl</v>
      </c>
      <c r="B96" s="53">
        <v>5.0</v>
      </c>
      <c r="C96" s="54">
        <f>IF('Keyword Master Database'!H96&gt;=1000,5,IF('Keyword Master Database'!H96&gt;=500,4,IF('Keyword Master Database'!H96&gt;=200,3,IF('Keyword Master Database'!H96&gt;=80,2,1))))</f>
        <v>4</v>
      </c>
      <c r="D96" s="54">
        <f>IF('Keyword Master Database'!I96&lt;=20,5,IF('Keyword Master Database'!I96&lt;=35,4,IF('Keyword Master Database'!I96&lt;=50,3,IF('Keyword Master Database'!I96&lt;=65,2,1))))</f>
        <v>2</v>
      </c>
      <c r="E96" s="54">
        <f>IF('Keyword Master Database'!E96="Transactional",5,IF('Keyword Master Database'!E96="Commercial",4,IF('Keyword Master Database'!E96="Navigational",3,2)))</f>
        <v>5</v>
      </c>
      <c r="F96" s="53">
        <v>5.0</v>
      </c>
      <c r="G96" s="53">
        <v>5.0</v>
      </c>
      <c r="H96" s="55">
        <f t="shared" si="1"/>
        <v>4.25</v>
      </c>
      <c r="I96" s="56">
        <f t="shared" si="2"/>
        <v>85</v>
      </c>
      <c r="J96" s="54" t="str">
        <f t="shared" si="3"/>
        <v>High</v>
      </c>
      <c r="K96" s="8"/>
      <c r="L96" s="8"/>
      <c r="M96" s="8"/>
      <c r="N96" s="8"/>
    </row>
    <row r="97" ht="15.75" customHeight="1">
      <c r="A97" s="52" t="str">
        <f>'Keyword Master Database'!A97</f>
        <v>clear braces tampa</v>
      </c>
      <c r="B97" s="53">
        <v>5.0</v>
      </c>
      <c r="C97" s="54">
        <f>IF('Keyword Master Database'!H97&gt;=1000,5,IF('Keyword Master Database'!H97&gt;=500,4,IF('Keyword Master Database'!H97&gt;=200,3,IF('Keyword Master Database'!H97&gt;=80,2,1))))</f>
        <v>3</v>
      </c>
      <c r="D97" s="54">
        <f>IF('Keyword Master Database'!I97&lt;=20,5,IF('Keyword Master Database'!I97&lt;=35,4,IF('Keyword Master Database'!I97&lt;=50,3,IF('Keyword Master Database'!I97&lt;=65,2,1))))</f>
        <v>3</v>
      </c>
      <c r="E97" s="54">
        <f>IF('Keyword Master Database'!E97="Transactional",5,IF('Keyword Master Database'!E97="Commercial",4,IF('Keyword Master Database'!E97="Navigational",3,2)))</f>
        <v>5</v>
      </c>
      <c r="F97" s="53">
        <v>5.0</v>
      </c>
      <c r="G97" s="53">
        <v>5.0</v>
      </c>
      <c r="H97" s="55">
        <f t="shared" si="1"/>
        <v>4.3</v>
      </c>
      <c r="I97" s="56">
        <f t="shared" si="2"/>
        <v>86</v>
      </c>
      <c r="J97" s="54" t="str">
        <f t="shared" si="3"/>
        <v>High</v>
      </c>
      <c r="K97" s="8"/>
      <c r="L97" s="8"/>
      <c r="M97" s="8"/>
      <c r="N97" s="8"/>
    </row>
    <row r="98" ht="15.75" customHeight="1">
      <c r="A98" s="52" t="str">
        <f>'Keyword Master Database'!A98</f>
        <v>clear aligners tampa</v>
      </c>
      <c r="B98" s="53">
        <v>5.0</v>
      </c>
      <c r="C98" s="54">
        <f>IF('Keyword Master Database'!H98&gt;=1000,5,IF('Keyword Master Database'!H98&gt;=500,4,IF('Keyword Master Database'!H98&gt;=200,3,IF('Keyword Master Database'!H98&gt;=80,2,1))))</f>
        <v>4</v>
      </c>
      <c r="D98" s="54">
        <f>IF('Keyword Master Database'!I98&lt;=20,5,IF('Keyword Master Database'!I98&lt;=35,4,IF('Keyword Master Database'!I98&lt;=50,3,IF('Keyword Master Database'!I98&lt;=65,2,1))))</f>
        <v>3</v>
      </c>
      <c r="E98" s="54">
        <f>IF('Keyword Master Database'!E98="Transactional",5,IF('Keyword Master Database'!E98="Commercial",4,IF('Keyword Master Database'!E98="Navigational",3,2)))</f>
        <v>5</v>
      </c>
      <c r="F98" s="53">
        <v>5.0</v>
      </c>
      <c r="G98" s="53">
        <v>5.0</v>
      </c>
      <c r="H98" s="55">
        <f t="shared" si="1"/>
        <v>4.45</v>
      </c>
      <c r="I98" s="56">
        <f t="shared" si="2"/>
        <v>89</v>
      </c>
      <c r="J98" s="54" t="str">
        <f t="shared" si="3"/>
        <v>High</v>
      </c>
      <c r="K98" s="8"/>
      <c r="L98" s="8"/>
      <c r="M98" s="8"/>
      <c r="N98" s="8"/>
    </row>
    <row r="99" ht="15.75" customHeight="1">
      <c r="A99" s="52" t="str">
        <f>'Keyword Master Database'!A99</f>
        <v>invisalign dentist tampa</v>
      </c>
      <c r="B99" s="53">
        <v>5.0</v>
      </c>
      <c r="C99" s="54">
        <f>IF('Keyword Master Database'!H99&gt;=1000,5,IF('Keyword Master Database'!H99&gt;=500,4,IF('Keyword Master Database'!H99&gt;=200,3,IF('Keyword Master Database'!H99&gt;=80,2,1))))</f>
        <v>3</v>
      </c>
      <c r="D99" s="54">
        <f>IF('Keyword Master Database'!I99&lt;=20,5,IF('Keyword Master Database'!I99&lt;=35,4,IF('Keyword Master Database'!I99&lt;=50,3,IF('Keyword Master Database'!I99&lt;=65,2,1))))</f>
        <v>3</v>
      </c>
      <c r="E99" s="54">
        <f>IF('Keyword Master Database'!E99="Transactional",5,IF('Keyword Master Database'!E99="Commercial",4,IF('Keyword Master Database'!E99="Navigational",3,2)))</f>
        <v>5</v>
      </c>
      <c r="F99" s="53">
        <v>5.0</v>
      </c>
      <c r="G99" s="53">
        <v>5.0</v>
      </c>
      <c r="H99" s="55">
        <f t="shared" si="1"/>
        <v>4.3</v>
      </c>
      <c r="I99" s="56">
        <f t="shared" si="2"/>
        <v>86</v>
      </c>
      <c r="J99" s="54" t="str">
        <f t="shared" si="3"/>
        <v>High</v>
      </c>
      <c r="K99" s="8"/>
      <c r="L99" s="8"/>
      <c r="M99" s="8"/>
      <c r="N99" s="8"/>
    </row>
    <row r="100" ht="15.75" customHeight="1">
      <c r="A100" s="52" t="str">
        <f>'Keyword Master Database'!A100</f>
        <v>invisalign near me</v>
      </c>
      <c r="B100" s="53">
        <v>5.0</v>
      </c>
      <c r="C100" s="54">
        <f>IF('Keyword Master Database'!H100&gt;=1000,5,IF('Keyword Master Database'!H100&gt;=500,4,IF('Keyword Master Database'!H100&gt;=200,3,IF('Keyword Master Database'!H100&gt;=80,2,1))))</f>
        <v>5</v>
      </c>
      <c r="D100" s="54">
        <f>IF('Keyword Master Database'!I100&lt;=20,5,IF('Keyword Master Database'!I100&lt;=35,4,IF('Keyword Master Database'!I100&lt;=50,3,IF('Keyword Master Database'!I100&lt;=65,2,1))))</f>
        <v>1</v>
      </c>
      <c r="E100" s="54">
        <f>IF('Keyword Master Database'!E100="Transactional",5,IF('Keyword Master Database'!E100="Commercial",4,IF('Keyword Master Database'!E100="Navigational",3,2)))</f>
        <v>5</v>
      </c>
      <c r="F100" s="53">
        <v>5.0</v>
      </c>
      <c r="G100" s="53">
        <v>5.0</v>
      </c>
      <c r="H100" s="55">
        <f t="shared" si="1"/>
        <v>4.2</v>
      </c>
      <c r="I100" s="56">
        <f t="shared" si="2"/>
        <v>84</v>
      </c>
      <c r="J100" s="54" t="str">
        <f t="shared" si="3"/>
        <v>High</v>
      </c>
      <c r="K100" s="8"/>
      <c r="L100" s="8"/>
      <c r="M100" s="8"/>
      <c r="N100" s="8"/>
    </row>
    <row r="101" ht="15.75" customHeight="1">
      <c r="A101" s="52" t="str">
        <f>'Keyword Master Database'!A101</f>
        <v>invisalign consultation tampa</v>
      </c>
      <c r="B101" s="53">
        <v>5.0</v>
      </c>
      <c r="C101" s="54">
        <f>IF('Keyword Master Database'!H101&gt;=1000,5,IF('Keyword Master Database'!H101&gt;=500,4,IF('Keyword Master Database'!H101&gt;=200,3,IF('Keyword Master Database'!H101&gt;=80,2,1))))</f>
        <v>2</v>
      </c>
      <c r="D101" s="54">
        <f>IF('Keyword Master Database'!I101&lt;=20,5,IF('Keyword Master Database'!I101&lt;=35,4,IF('Keyword Master Database'!I101&lt;=50,3,IF('Keyword Master Database'!I101&lt;=65,2,1))))</f>
        <v>4</v>
      </c>
      <c r="E101" s="54">
        <f>IF('Keyword Master Database'!E101="Transactional",5,IF('Keyword Master Database'!E101="Commercial",4,IF('Keyword Master Database'!E101="Navigational",3,2)))</f>
        <v>5</v>
      </c>
      <c r="F101" s="53">
        <v>5.0</v>
      </c>
      <c r="G101" s="53">
        <v>5.0</v>
      </c>
      <c r="H101" s="55">
        <f t="shared" si="1"/>
        <v>4.35</v>
      </c>
      <c r="I101" s="56">
        <f t="shared" si="2"/>
        <v>87</v>
      </c>
      <c r="J101" s="54" t="str">
        <f t="shared" si="3"/>
        <v>High</v>
      </c>
      <c r="K101" s="8"/>
      <c r="L101" s="8"/>
      <c r="M101" s="8"/>
      <c r="N101" s="8"/>
    </row>
    <row r="102" ht="15.75" customHeight="1">
      <c r="A102" s="52" t="str">
        <f>'Keyword Master Database'!A102</f>
        <v>invisalign for adults tampa</v>
      </c>
      <c r="B102" s="53">
        <v>5.0</v>
      </c>
      <c r="C102" s="54">
        <f>IF('Keyword Master Database'!H102&gt;=1000,5,IF('Keyword Master Database'!H102&gt;=500,4,IF('Keyword Master Database'!H102&gt;=200,3,IF('Keyword Master Database'!H102&gt;=80,2,1))))</f>
        <v>3</v>
      </c>
      <c r="D102" s="54">
        <f>IF('Keyword Master Database'!I102&lt;=20,5,IF('Keyword Master Database'!I102&lt;=35,4,IF('Keyword Master Database'!I102&lt;=50,3,IF('Keyword Master Database'!I102&lt;=65,2,1))))</f>
        <v>3</v>
      </c>
      <c r="E102" s="54">
        <f>IF('Keyword Master Database'!E102="Transactional",5,IF('Keyword Master Database'!E102="Commercial",4,IF('Keyword Master Database'!E102="Navigational",3,2)))</f>
        <v>5</v>
      </c>
      <c r="F102" s="53">
        <v>5.0</v>
      </c>
      <c r="G102" s="53">
        <v>5.0</v>
      </c>
      <c r="H102" s="55">
        <f t="shared" si="1"/>
        <v>4.3</v>
      </c>
      <c r="I102" s="56">
        <f t="shared" si="2"/>
        <v>86</v>
      </c>
      <c r="J102" s="54" t="str">
        <f t="shared" si="3"/>
        <v>High</v>
      </c>
      <c r="K102" s="8"/>
      <c r="L102" s="8"/>
      <c r="M102" s="8"/>
      <c r="N102" s="8"/>
    </row>
    <row r="103" ht="15.75" customHeight="1">
      <c r="A103" s="52" t="str">
        <f>'Keyword Master Database'!A103</f>
        <v>invisalign provider tampa</v>
      </c>
      <c r="B103" s="53">
        <v>5.0</v>
      </c>
      <c r="C103" s="54">
        <f>IF('Keyword Master Database'!H103&gt;=1000,5,IF('Keyword Master Database'!H103&gt;=500,4,IF('Keyword Master Database'!H103&gt;=200,3,IF('Keyword Master Database'!H103&gt;=80,2,1))))</f>
        <v>3</v>
      </c>
      <c r="D103" s="54">
        <f>IF('Keyword Master Database'!I103&lt;=20,5,IF('Keyword Master Database'!I103&lt;=35,4,IF('Keyword Master Database'!I103&lt;=50,3,IF('Keyword Master Database'!I103&lt;=65,2,1))))</f>
        <v>3</v>
      </c>
      <c r="E103" s="54">
        <f>IF('Keyword Master Database'!E103="Transactional",5,IF('Keyword Master Database'!E103="Commercial",4,IF('Keyword Master Database'!E103="Navigational",3,2)))</f>
        <v>4</v>
      </c>
      <c r="F103" s="53">
        <v>3.0</v>
      </c>
      <c r="G103" s="53">
        <v>5.0</v>
      </c>
      <c r="H103" s="55">
        <f t="shared" si="1"/>
        <v>3.85</v>
      </c>
      <c r="I103" s="56">
        <f t="shared" si="2"/>
        <v>77</v>
      </c>
      <c r="J103" s="54" t="str">
        <f t="shared" si="3"/>
        <v>High</v>
      </c>
      <c r="K103" s="8"/>
      <c r="L103" s="8"/>
      <c r="M103" s="8"/>
      <c r="N103" s="8"/>
    </row>
    <row r="104" ht="15.75" customHeight="1">
      <c r="A104" s="52" t="str">
        <f>'Keyword Master Database'!A104</f>
        <v>invisalign free consultation tampa</v>
      </c>
      <c r="B104" s="53">
        <v>5.0</v>
      </c>
      <c r="C104" s="54">
        <f>IF('Keyword Master Database'!H104&gt;=1000,5,IF('Keyword Master Database'!H104&gt;=500,4,IF('Keyword Master Database'!H104&gt;=200,3,IF('Keyword Master Database'!H104&gt;=80,2,1))))</f>
        <v>2</v>
      </c>
      <c r="D104" s="54">
        <f>IF('Keyword Master Database'!I104&lt;=20,5,IF('Keyword Master Database'!I104&lt;=35,4,IF('Keyword Master Database'!I104&lt;=50,3,IF('Keyword Master Database'!I104&lt;=65,2,1))))</f>
        <v>4</v>
      </c>
      <c r="E104" s="54">
        <f>IF('Keyword Master Database'!E104="Transactional",5,IF('Keyword Master Database'!E104="Commercial",4,IF('Keyword Master Database'!E104="Navigational",3,2)))</f>
        <v>5</v>
      </c>
      <c r="F104" s="53">
        <v>5.0</v>
      </c>
      <c r="G104" s="53">
        <v>5.0</v>
      </c>
      <c r="H104" s="55">
        <f t="shared" si="1"/>
        <v>4.35</v>
      </c>
      <c r="I104" s="56">
        <f t="shared" si="2"/>
        <v>87</v>
      </c>
      <c r="J104" s="54" t="str">
        <f t="shared" si="3"/>
        <v>High</v>
      </c>
      <c r="K104" s="8"/>
      <c r="L104" s="8"/>
      <c r="M104" s="8"/>
      <c r="N104" s="8"/>
    </row>
    <row r="105" ht="15.75" customHeight="1">
      <c r="A105" s="52" t="str">
        <f>'Keyword Master Database'!A105</f>
        <v>clear braces near me</v>
      </c>
      <c r="B105" s="53">
        <v>5.0</v>
      </c>
      <c r="C105" s="54">
        <f>IF('Keyword Master Database'!H105&gt;=1000,5,IF('Keyword Master Database'!H105&gt;=500,4,IF('Keyword Master Database'!H105&gt;=200,3,IF('Keyword Master Database'!H105&gt;=80,2,1))))</f>
        <v>5</v>
      </c>
      <c r="D105" s="54">
        <f>IF('Keyword Master Database'!I105&lt;=20,5,IF('Keyword Master Database'!I105&lt;=35,4,IF('Keyword Master Database'!I105&lt;=50,3,IF('Keyword Master Database'!I105&lt;=65,2,1))))</f>
        <v>2</v>
      </c>
      <c r="E105" s="54">
        <f>IF('Keyword Master Database'!E105="Transactional",5,IF('Keyword Master Database'!E105="Commercial",4,IF('Keyword Master Database'!E105="Navigational",3,2)))</f>
        <v>5</v>
      </c>
      <c r="F105" s="53">
        <v>5.0</v>
      </c>
      <c r="G105" s="53">
        <v>5.0</v>
      </c>
      <c r="H105" s="55">
        <f t="shared" si="1"/>
        <v>4.4</v>
      </c>
      <c r="I105" s="56">
        <f t="shared" si="2"/>
        <v>88</v>
      </c>
      <c r="J105" s="54" t="str">
        <f t="shared" si="3"/>
        <v>High</v>
      </c>
      <c r="K105" s="8"/>
      <c r="L105" s="8"/>
      <c r="M105" s="8"/>
      <c r="N105" s="8"/>
    </row>
    <row r="106" ht="15.75" customHeight="1">
      <c r="A106" s="52" t="str">
        <f>'Keyword Master Database'!A106</f>
        <v>invisible braces tampa</v>
      </c>
      <c r="B106" s="53">
        <v>5.0</v>
      </c>
      <c r="C106" s="54">
        <f>IF('Keyword Master Database'!H106&gt;=1000,5,IF('Keyword Master Database'!H106&gt;=500,4,IF('Keyword Master Database'!H106&gt;=200,3,IF('Keyword Master Database'!H106&gt;=80,2,1))))</f>
        <v>2</v>
      </c>
      <c r="D106" s="54">
        <f>IF('Keyword Master Database'!I106&lt;=20,5,IF('Keyword Master Database'!I106&lt;=35,4,IF('Keyword Master Database'!I106&lt;=50,3,IF('Keyword Master Database'!I106&lt;=65,2,1))))</f>
        <v>4</v>
      </c>
      <c r="E106" s="54">
        <f>IF('Keyword Master Database'!E106="Transactional",5,IF('Keyword Master Database'!E106="Commercial",4,IF('Keyword Master Database'!E106="Navigational",3,2)))</f>
        <v>5</v>
      </c>
      <c r="F106" s="53">
        <v>5.0</v>
      </c>
      <c r="G106" s="53">
        <v>5.0</v>
      </c>
      <c r="H106" s="55">
        <f t="shared" si="1"/>
        <v>4.35</v>
      </c>
      <c r="I106" s="56">
        <f t="shared" si="2"/>
        <v>87</v>
      </c>
      <c r="J106" s="54" t="str">
        <f t="shared" si="3"/>
        <v>High</v>
      </c>
      <c r="K106" s="8"/>
      <c r="L106" s="8"/>
      <c r="M106" s="8"/>
      <c r="N106" s="8"/>
    </row>
    <row r="107" ht="15.75" customHeight="1">
      <c r="A107" s="52" t="str">
        <f>'Keyword Master Database'!A107</f>
        <v>invisalign cost tampa</v>
      </c>
      <c r="B107" s="53">
        <v>5.0</v>
      </c>
      <c r="C107" s="54">
        <f>IF('Keyword Master Database'!H107&gt;=1000,5,IF('Keyword Master Database'!H107&gt;=500,4,IF('Keyword Master Database'!H107&gt;=200,3,IF('Keyword Master Database'!H107&gt;=80,2,1))))</f>
        <v>4</v>
      </c>
      <c r="D107" s="54">
        <f>IF('Keyword Master Database'!I107&lt;=20,5,IF('Keyword Master Database'!I107&lt;=35,4,IF('Keyword Master Database'!I107&lt;=50,3,IF('Keyword Master Database'!I107&lt;=65,2,1))))</f>
        <v>3</v>
      </c>
      <c r="E107" s="54">
        <f>IF('Keyword Master Database'!E107="Transactional",5,IF('Keyword Master Database'!E107="Commercial",4,IF('Keyword Master Database'!E107="Navigational",3,2)))</f>
        <v>5</v>
      </c>
      <c r="F107" s="53">
        <v>5.0</v>
      </c>
      <c r="G107" s="53">
        <v>4.0</v>
      </c>
      <c r="H107" s="55">
        <f t="shared" si="1"/>
        <v>4.35</v>
      </c>
      <c r="I107" s="56">
        <f t="shared" si="2"/>
        <v>87</v>
      </c>
      <c r="J107" s="54" t="str">
        <f t="shared" si="3"/>
        <v>High</v>
      </c>
      <c r="K107" s="8"/>
      <c r="L107" s="8"/>
      <c r="M107" s="8"/>
      <c r="N107" s="8"/>
    </row>
    <row r="108" ht="15.75" customHeight="1">
      <c r="A108" s="52" t="str">
        <f>'Keyword Master Database'!A108</f>
        <v>how much does invisalign cost</v>
      </c>
      <c r="B108" s="53">
        <v>5.0</v>
      </c>
      <c r="C108" s="54">
        <f>IF('Keyword Master Database'!H108&gt;=1000,5,IF('Keyword Master Database'!H108&gt;=500,4,IF('Keyword Master Database'!H108&gt;=200,3,IF('Keyword Master Database'!H108&gt;=80,2,1))))</f>
        <v>5</v>
      </c>
      <c r="D108" s="54">
        <f>IF('Keyword Master Database'!I108&lt;=20,5,IF('Keyword Master Database'!I108&lt;=35,4,IF('Keyword Master Database'!I108&lt;=50,3,IF('Keyword Master Database'!I108&lt;=65,2,1))))</f>
        <v>3</v>
      </c>
      <c r="E108" s="54">
        <f>IF('Keyword Master Database'!E108="Transactional",5,IF('Keyword Master Database'!E108="Commercial",4,IF('Keyword Master Database'!E108="Navigational",3,2)))</f>
        <v>4</v>
      </c>
      <c r="F108" s="53">
        <v>3.0</v>
      </c>
      <c r="G108" s="53">
        <v>4.0</v>
      </c>
      <c r="H108" s="55">
        <f t="shared" si="1"/>
        <v>4.05</v>
      </c>
      <c r="I108" s="56">
        <f t="shared" si="2"/>
        <v>81</v>
      </c>
      <c r="J108" s="54" t="str">
        <f t="shared" si="3"/>
        <v>High</v>
      </c>
      <c r="K108" s="8"/>
      <c r="L108" s="8"/>
      <c r="M108" s="8"/>
      <c r="N108" s="8"/>
    </row>
    <row r="109" ht="15.75" customHeight="1">
      <c r="A109" s="52" t="str">
        <f>'Keyword Master Database'!A109</f>
        <v>invisalign cost with insurance</v>
      </c>
      <c r="B109" s="53">
        <v>5.0</v>
      </c>
      <c r="C109" s="54">
        <f>IF('Keyword Master Database'!H109&gt;=1000,5,IF('Keyword Master Database'!H109&gt;=500,4,IF('Keyword Master Database'!H109&gt;=200,3,IF('Keyword Master Database'!H109&gt;=80,2,1))))</f>
        <v>5</v>
      </c>
      <c r="D109" s="54">
        <f>IF('Keyword Master Database'!I109&lt;=20,5,IF('Keyword Master Database'!I109&lt;=35,4,IF('Keyword Master Database'!I109&lt;=50,3,IF('Keyword Master Database'!I109&lt;=65,2,1))))</f>
        <v>3</v>
      </c>
      <c r="E109" s="54">
        <f>IF('Keyword Master Database'!E109="Transactional",5,IF('Keyword Master Database'!E109="Commercial",4,IF('Keyword Master Database'!E109="Navigational",3,2)))</f>
        <v>4</v>
      </c>
      <c r="F109" s="53">
        <v>3.0</v>
      </c>
      <c r="G109" s="53">
        <v>4.0</v>
      </c>
      <c r="H109" s="55">
        <f t="shared" si="1"/>
        <v>4.05</v>
      </c>
      <c r="I109" s="56">
        <f t="shared" si="2"/>
        <v>81</v>
      </c>
      <c r="J109" s="54" t="str">
        <f t="shared" si="3"/>
        <v>High</v>
      </c>
      <c r="K109" s="8"/>
      <c r="L109" s="8"/>
      <c r="M109" s="8"/>
      <c r="N109" s="8"/>
    </row>
    <row r="110" ht="15.75" customHeight="1">
      <c r="A110" s="52" t="str">
        <f>'Keyword Master Database'!A110</f>
        <v>invisalign payment plans</v>
      </c>
      <c r="B110" s="53">
        <v>5.0</v>
      </c>
      <c r="C110" s="54">
        <f>IF('Keyword Master Database'!H110&gt;=1000,5,IF('Keyword Master Database'!H110&gt;=500,4,IF('Keyword Master Database'!H110&gt;=200,3,IF('Keyword Master Database'!H110&gt;=80,2,1))))</f>
        <v>5</v>
      </c>
      <c r="D110" s="54">
        <f>IF('Keyword Master Database'!I110&lt;=20,5,IF('Keyword Master Database'!I110&lt;=35,4,IF('Keyword Master Database'!I110&lt;=50,3,IF('Keyword Master Database'!I110&lt;=65,2,1))))</f>
        <v>4</v>
      </c>
      <c r="E110" s="54">
        <f>IF('Keyword Master Database'!E110="Transactional",5,IF('Keyword Master Database'!E110="Commercial",4,IF('Keyword Master Database'!E110="Navigational",3,2)))</f>
        <v>4</v>
      </c>
      <c r="F110" s="53">
        <v>3.0</v>
      </c>
      <c r="G110" s="53">
        <v>4.0</v>
      </c>
      <c r="H110" s="55">
        <f t="shared" si="1"/>
        <v>4.25</v>
      </c>
      <c r="I110" s="56">
        <f t="shared" si="2"/>
        <v>85</v>
      </c>
      <c r="J110" s="54" t="str">
        <f t="shared" si="3"/>
        <v>High</v>
      </c>
      <c r="K110" s="8"/>
      <c r="L110" s="8"/>
      <c r="M110" s="8"/>
      <c r="N110" s="8"/>
    </row>
    <row r="111" ht="15.75" customHeight="1">
      <c r="A111" s="52" t="str">
        <f>'Keyword Master Database'!A111</f>
        <v>is invisalign worth it</v>
      </c>
      <c r="B111" s="53">
        <v>5.0</v>
      </c>
      <c r="C111" s="54">
        <f>IF('Keyword Master Database'!H111&gt;=1000,5,IF('Keyword Master Database'!H111&gt;=500,4,IF('Keyword Master Database'!H111&gt;=200,3,IF('Keyword Master Database'!H111&gt;=80,2,1))))</f>
        <v>5</v>
      </c>
      <c r="D111" s="54">
        <f>IF('Keyword Master Database'!I111&lt;=20,5,IF('Keyword Master Database'!I111&lt;=35,4,IF('Keyword Master Database'!I111&lt;=50,3,IF('Keyword Master Database'!I111&lt;=65,2,1))))</f>
        <v>3</v>
      </c>
      <c r="E111" s="54">
        <f>IF('Keyword Master Database'!E111="Transactional",5,IF('Keyword Master Database'!E111="Commercial",4,IF('Keyword Master Database'!E111="Navigational",3,2)))</f>
        <v>4</v>
      </c>
      <c r="F111" s="53">
        <v>3.0</v>
      </c>
      <c r="G111" s="53">
        <v>4.0</v>
      </c>
      <c r="H111" s="55">
        <f t="shared" si="1"/>
        <v>4.05</v>
      </c>
      <c r="I111" s="56">
        <f t="shared" si="2"/>
        <v>81</v>
      </c>
      <c r="J111" s="54" t="str">
        <f t="shared" si="3"/>
        <v>High</v>
      </c>
      <c r="K111" s="8"/>
      <c r="L111" s="8"/>
      <c r="M111" s="8"/>
      <c r="N111" s="8"/>
    </row>
    <row r="112" ht="15.75" customHeight="1">
      <c r="A112" s="52" t="str">
        <f>'Keyword Master Database'!A112</f>
        <v>invisalign cost per month</v>
      </c>
      <c r="B112" s="53">
        <v>5.0</v>
      </c>
      <c r="C112" s="54">
        <f>IF('Keyword Master Database'!H112&gt;=1000,5,IF('Keyword Master Database'!H112&gt;=500,4,IF('Keyword Master Database'!H112&gt;=200,3,IF('Keyword Master Database'!H112&gt;=80,2,1))))</f>
        <v>5</v>
      </c>
      <c r="D112" s="54">
        <f>IF('Keyword Master Database'!I112&lt;=20,5,IF('Keyword Master Database'!I112&lt;=35,4,IF('Keyword Master Database'!I112&lt;=50,3,IF('Keyword Master Database'!I112&lt;=65,2,1))))</f>
        <v>4</v>
      </c>
      <c r="E112" s="54">
        <f>IF('Keyword Master Database'!E112="Transactional",5,IF('Keyword Master Database'!E112="Commercial",4,IF('Keyword Master Database'!E112="Navigational",3,2)))</f>
        <v>4</v>
      </c>
      <c r="F112" s="53">
        <v>3.0</v>
      </c>
      <c r="G112" s="53">
        <v>4.0</v>
      </c>
      <c r="H112" s="55">
        <f t="shared" si="1"/>
        <v>4.25</v>
      </c>
      <c r="I112" s="56">
        <f t="shared" si="2"/>
        <v>85</v>
      </c>
      <c r="J112" s="54" t="str">
        <f t="shared" si="3"/>
        <v>High</v>
      </c>
      <c r="K112" s="8"/>
      <c r="L112" s="8"/>
      <c r="M112" s="8"/>
      <c r="N112" s="8"/>
    </row>
    <row r="113" ht="15.75" customHeight="1">
      <c r="A113" s="52" t="str">
        <f>'Keyword Master Database'!A113</f>
        <v>invisalign cost without insurance</v>
      </c>
      <c r="B113" s="53">
        <v>5.0</v>
      </c>
      <c r="C113" s="54">
        <f>IF('Keyword Master Database'!H113&gt;=1000,5,IF('Keyword Master Database'!H113&gt;=500,4,IF('Keyword Master Database'!H113&gt;=200,3,IF('Keyword Master Database'!H113&gt;=80,2,1))))</f>
        <v>5</v>
      </c>
      <c r="D113" s="54">
        <f>IF('Keyword Master Database'!I113&lt;=20,5,IF('Keyword Master Database'!I113&lt;=35,4,IF('Keyword Master Database'!I113&lt;=50,3,IF('Keyword Master Database'!I113&lt;=65,2,1))))</f>
        <v>4</v>
      </c>
      <c r="E113" s="54">
        <f>IF('Keyword Master Database'!E113="Transactional",5,IF('Keyword Master Database'!E113="Commercial",4,IF('Keyword Master Database'!E113="Navigational",3,2)))</f>
        <v>4</v>
      </c>
      <c r="F113" s="53">
        <v>3.0</v>
      </c>
      <c r="G113" s="53">
        <v>4.0</v>
      </c>
      <c r="H113" s="55">
        <f t="shared" si="1"/>
        <v>4.25</v>
      </c>
      <c r="I113" s="56">
        <f t="shared" si="2"/>
        <v>85</v>
      </c>
      <c r="J113" s="54" t="str">
        <f t="shared" si="3"/>
        <v>High</v>
      </c>
      <c r="K113" s="8"/>
      <c r="L113" s="8"/>
      <c r="M113" s="8"/>
      <c r="N113" s="8"/>
    </row>
    <row r="114" ht="15.75" customHeight="1">
      <c r="A114" s="52" t="str">
        <f>'Keyword Master Database'!A114</f>
        <v>invisalign vs braces</v>
      </c>
      <c r="B114" s="53">
        <v>3.0</v>
      </c>
      <c r="C114" s="54">
        <f>IF('Keyword Master Database'!H114&gt;=1000,5,IF('Keyword Master Database'!H114&gt;=500,4,IF('Keyword Master Database'!H114&gt;=200,3,IF('Keyword Master Database'!H114&gt;=80,2,1))))</f>
        <v>5</v>
      </c>
      <c r="D114" s="54">
        <f>IF('Keyword Master Database'!I114&lt;=20,5,IF('Keyword Master Database'!I114&lt;=35,4,IF('Keyword Master Database'!I114&lt;=50,3,IF('Keyword Master Database'!I114&lt;=65,2,1))))</f>
        <v>2</v>
      </c>
      <c r="E114" s="54">
        <f>IF('Keyword Master Database'!E114="Transactional",5,IF('Keyword Master Database'!E114="Commercial",4,IF('Keyword Master Database'!E114="Navigational",3,2)))</f>
        <v>4</v>
      </c>
      <c r="F114" s="53">
        <v>3.0</v>
      </c>
      <c r="G114" s="53">
        <v>4.0</v>
      </c>
      <c r="H114" s="55">
        <f t="shared" si="1"/>
        <v>3.35</v>
      </c>
      <c r="I114" s="56">
        <f t="shared" si="2"/>
        <v>67</v>
      </c>
      <c r="J114" s="54" t="str">
        <f t="shared" si="3"/>
        <v>Medium</v>
      </c>
      <c r="K114" s="8"/>
      <c r="L114" s="8"/>
      <c r="M114" s="8"/>
      <c r="N114" s="8"/>
    </row>
    <row r="115" ht="15.75" customHeight="1">
      <c r="A115" s="52" t="str">
        <f>'Keyword Master Database'!A115</f>
        <v>clear aligners vs braces</v>
      </c>
      <c r="B115" s="53">
        <v>3.0</v>
      </c>
      <c r="C115" s="54">
        <f>IF('Keyword Master Database'!H115&gt;=1000,5,IF('Keyword Master Database'!H115&gt;=500,4,IF('Keyword Master Database'!H115&gt;=200,3,IF('Keyword Master Database'!H115&gt;=80,2,1))))</f>
        <v>4</v>
      </c>
      <c r="D115" s="54">
        <f>IF('Keyword Master Database'!I115&lt;=20,5,IF('Keyword Master Database'!I115&lt;=35,4,IF('Keyword Master Database'!I115&lt;=50,3,IF('Keyword Master Database'!I115&lt;=65,2,1))))</f>
        <v>3</v>
      </c>
      <c r="E115" s="54">
        <f>IF('Keyword Master Database'!E115="Transactional",5,IF('Keyword Master Database'!E115="Commercial",4,IF('Keyword Master Database'!E115="Navigational",3,2)))</f>
        <v>4</v>
      </c>
      <c r="F115" s="53">
        <v>3.0</v>
      </c>
      <c r="G115" s="53">
        <v>4.0</v>
      </c>
      <c r="H115" s="55">
        <f t="shared" si="1"/>
        <v>3.4</v>
      </c>
      <c r="I115" s="56">
        <f t="shared" si="2"/>
        <v>68</v>
      </c>
      <c r="J115" s="54" t="str">
        <f t="shared" si="3"/>
        <v>Medium</v>
      </c>
      <c r="K115" s="8"/>
      <c r="L115" s="8"/>
      <c r="M115" s="8"/>
      <c r="N115" s="8"/>
    </row>
    <row r="116" ht="15.75" customHeight="1">
      <c r="A116" s="52" t="str">
        <f>'Keyword Master Database'!A116</f>
        <v>invisalign alternatives</v>
      </c>
      <c r="B116" s="53">
        <v>3.0</v>
      </c>
      <c r="C116" s="54">
        <f>IF('Keyword Master Database'!H116&gt;=1000,5,IF('Keyword Master Database'!H116&gt;=500,4,IF('Keyword Master Database'!H116&gt;=200,3,IF('Keyword Master Database'!H116&gt;=80,2,1))))</f>
        <v>4</v>
      </c>
      <c r="D116" s="54">
        <f>IF('Keyword Master Database'!I116&lt;=20,5,IF('Keyword Master Database'!I116&lt;=35,4,IF('Keyword Master Database'!I116&lt;=50,3,IF('Keyword Master Database'!I116&lt;=65,2,1))))</f>
        <v>3</v>
      </c>
      <c r="E116" s="54">
        <f>IF('Keyword Master Database'!E116="Transactional",5,IF('Keyword Master Database'!E116="Commercial",4,IF('Keyword Master Database'!E116="Navigational",3,2)))</f>
        <v>4</v>
      </c>
      <c r="F116" s="53">
        <v>3.0</v>
      </c>
      <c r="G116" s="53">
        <v>4.0</v>
      </c>
      <c r="H116" s="55">
        <f t="shared" si="1"/>
        <v>3.4</v>
      </c>
      <c r="I116" s="56">
        <f t="shared" si="2"/>
        <v>68</v>
      </c>
      <c r="J116" s="54" t="str">
        <f t="shared" si="3"/>
        <v>Medium</v>
      </c>
      <c r="K116" s="8"/>
      <c r="L116" s="8"/>
      <c r="M116" s="8"/>
      <c r="N116" s="8"/>
    </row>
    <row r="117" ht="15.75" customHeight="1">
      <c r="A117" s="52" t="str">
        <f>'Keyword Master Database'!A117</f>
        <v>how to straighten teeth without braces</v>
      </c>
      <c r="B117" s="53">
        <v>3.0</v>
      </c>
      <c r="C117" s="54">
        <f>IF('Keyword Master Database'!H117&gt;=1000,5,IF('Keyword Master Database'!H117&gt;=500,4,IF('Keyword Master Database'!H117&gt;=200,3,IF('Keyword Master Database'!H117&gt;=80,2,1))))</f>
        <v>5</v>
      </c>
      <c r="D117" s="54">
        <f>IF('Keyword Master Database'!I117&lt;=20,5,IF('Keyword Master Database'!I117&lt;=35,4,IF('Keyword Master Database'!I117&lt;=50,3,IF('Keyword Master Database'!I117&lt;=65,2,1))))</f>
        <v>3</v>
      </c>
      <c r="E117" s="54">
        <f>IF('Keyword Master Database'!E117="Transactional",5,IF('Keyword Master Database'!E117="Commercial",4,IF('Keyword Master Database'!E117="Navigational",3,2)))</f>
        <v>2</v>
      </c>
      <c r="F117" s="53">
        <v>1.0</v>
      </c>
      <c r="G117" s="53">
        <v>4.0</v>
      </c>
      <c r="H117" s="55">
        <f t="shared" si="1"/>
        <v>2.95</v>
      </c>
      <c r="I117" s="56">
        <f t="shared" si="2"/>
        <v>59</v>
      </c>
      <c r="J117" s="54" t="str">
        <f t="shared" si="3"/>
        <v>Low</v>
      </c>
      <c r="K117" s="8"/>
      <c r="L117" s="8"/>
      <c r="M117" s="8"/>
      <c r="N117" s="8"/>
    </row>
    <row r="118" ht="15.75" customHeight="1">
      <c r="A118" s="52" t="str">
        <f>'Keyword Master Database'!A118</f>
        <v>crooked teeth fix for adults</v>
      </c>
      <c r="B118" s="53">
        <v>3.0</v>
      </c>
      <c r="C118" s="54">
        <f>IF('Keyword Master Database'!H118&gt;=1000,5,IF('Keyword Master Database'!H118&gt;=500,4,IF('Keyword Master Database'!H118&gt;=200,3,IF('Keyword Master Database'!H118&gt;=80,2,1))))</f>
        <v>5</v>
      </c>
      <c r="D118" s="54">
        <f>IF('Keyword Master Database'!I118&lt;=20,5,IF('Keyword Master Database'!I118&lt;=35,4,IF('Keyword Master Database'!I118&lt;=50,3,IF('Keyword Master Database'!I118&lt;=65,2,1))))</f>
        <v>4</v>
      </c>
      <c r="E118" s="54">
        <f>IF('Keyword Master Database'!E118="Transactional",5,IF('Keyword Master Database'!E118="Commercial",4,IF('Keyword Master Database'!E118="Navigational",3,2)))</f>
        <v>2</v>
      </c>
      <c r="F118" s="53">
        <v>1.0</v>
      </c>
      <c r="G118" s="53">
        <v>4.0</v>
      </c>
      <c r="H118" s="55">
        <f t="shared" si="1"/>
        <v>3.15</v>
      </c>
      <c r="I118" s="56">
        <f t="shared" si="2"/>
        <v>63</v>
      </c>
      <c r="J118" s="54" t="str">
        <f t="shared" si="3"/>
        <v>Medium</v>
      </c>
      <c r="K118" s="8"/>
      <c r="L118" s="8"/>
      <c r="M118" s="8"/>
      <c r="N118" s="8"/>
    </row>
    <row r="119" ht="15.75" customHeight="1">
      <c r="A119" s="52" t="str">
        <f>'Keyword Master Database'!A119</f>
        <v>clear braces vs metal braces</v>
      </c>
      <c r="B119" s="53">
        <v>3.0</v>
      </c>
      <c r="C119" s="54">
        <f>IF('Keyword Master Database'!H119&gt;=1000,5,IF('Keyword Master Database'!H119&gt;=500,4,IF('Keyword Master Database'!H119&gt;=200,3,IF('Keyword Master Database'!H119&gt;=80,2,1))))</f>
        <v>4</v>
      </c>
      <c r="D119" s="54">
        <f>IF('Keyword Master Database'!I119&lt;=20,5,IF('Keyword Master Database'!I119&lt;=35,4,IF('Keyword Master Database'!I119&lt;=50,3,IF('Keyword Master Database'!I119&lt;=65,2,1))))</f>
        <v>3</v>
      </c>
      <c r="E119" s="54">
        <f>IF('Keyword Master Database'!E119="Transactional",5,IF('Keyword Master Database'!E119="Commercial",4,IF('Keyword Master Database'!E119="Navigational",3,2)))</f>
        <v>4</v>
      </c>
      <c r="F119" s="53">
        <v>3.0</v>
      </c>
      <c r="G119" s="53">
        <v>4.0</v>
      </c>
      <c r="H119" s="55">
        <f t="shared" si="1"/>
        <v>3.4</v>
      </c>
      <c r="I119" s="56">
        <f t="shared" si="2"/>
        <v>68</v>
      </c>
      <c r="J119" s="54" t="str">
        <f t="shared" si="3"/>
        <v>Medium</v>
      </c>
      <c r="K119" s="8"/>
      <c r="L119" s="8"/>
      <c r="M119" s="8"/>
      <c r="N119" s="8"/>
    </row>
    <row r="120" ht="15.75" customHeight="1">
      <c r="A120" s="52" t="str">
        <f>'Keyword Master Database'!A120</f>
        <v>invisalign vs clear braces</v>
      </c>
      <c r="B120" s="53">
        <v>3.0</v>
      </c>
      <c r="C120" s="54">
        <f>IF('Keyword Master Database'!H120&gt;=1000,5,IF('Keyword Master Database'!H120&gt;=500,4,IF('Keyword Master Database'!H120&gt;=200,3,IF('Keyword Master Database'!H120&gt;=80,2,1))))</f>
        <v>3</v>
      </c>
      <c r="D120" s="54">
        <f>IF('Keyword Master Database'!I120&lt;=20,5,IF('Keyword Master Database'!I120&lt;=35,4,IF('Keyword Master Database'!I120&lt;=50,3,IF('Keyword Master Database'!I120&lt;=65,2,1))))</f>
        <v>4</v>
      </c>
      <c r="E120" s="54">
        <f>IF('Keyword Master Database'!E120="Transactional",5,IF('Keyword Master Database'!E120="Commercial",4,IF('Keyword Master Database'!E120="Navigational",3,2)))</f>
        <v>4</v>
      </c>
      <c r="F120" s="53">
        <v>3.0</v>
      </c>
      <c r="G120" s="53">
        <v>4.0</v>
      </c>
      <c r="H120" s="55">
        <f t="shared" si="1"/>
        <v>3.45</v>
      </c>
      <c r="I120" s="56">
        <f t="shared" si="2"/>
        <v>69</v>
      </c>
      <c r="J120" s="54" t="str">
        <f t="shared" si="3"/>
        <v>Medium</v>
      </c>
      <c r="K120" s="8"/>
      <c r="L120" s="8"/>
      <c r="M120" s="8"/>
      <c r="N120" s="8"/>
    </row>
    <row r="121" ht="15.75" customHeight="1">
      <c r="A121" s="52" t="str">
        <f>'Keyword Master Database'!A121</f>
        <v>how long does invisalign take</v>
      </c>
      <c r="B121" s="53">
        <v>3.0</v>
      </c>
      <c r="C121" s="54">
        <f>IF('Keyword Master Database'!H121&gt;=1000,5,IF('Keyword Master Database'!H121&gt;=500,4,IF('Keyword Master Database'!H121&gt;=200,3,IF('Keyword Master Database'!H121&gt;=80,2,1))))</f>
        <v>5</v>
      </c>
      <c r="D121" s="54">
        <f>IF('Keyword Master Database'!I121&lt;=20,5,IF('Keyword Master Database'!I121&lt;=35,4,IF('Keyword Master Database'!I121&lt;=50,3,IF('Keyword Master Database'!I121&lt;=65,2,1))))</f>
        <v>4</v>
      </c>
      <c r="E121" s="54">
        <f>IF('Keyword Master Database'!E121="Transactional",5,IF('Keyword Master Database'!E121="Commercial",4,IF('Keyword Master Database'!E121="Navigational",3,2)))</f>
        <v>2</v>
      </c>
      <c r="F121" s="53">
        <v>1.0</v>
      </c>
      <c r="G121" s="53">
        <v>4.0</v>
      </c>
      <c r="H121" s="55">
        <f t="shared" si="1"/>
        <v>3.15</v>
      </c>
      <c r="I121" s="56">
        <f t="shared" si="2"/>
        <v>63</v>
      </c>
      <c r="J121" s="54" t="str">
        <f t="shared" si="3"/>
        <v>Medium</v>
      </c>
      <c r="K121" s="8"/>
      <c r="L121" s="8"/>
      <c r="M121" s="8"/>
      <c r="N121" s="8"/>
    </row>
    <row r="122" ht="15.75" customHeight="1">
      <c r="A122" s="52" t="str">
        <f>'Keyword Master Database'!A122</f>
        <v>does invisalign hurt</v>
      </c>
      <c r="B122" s="53">
        <v>3.0</v>
      </c>
      <c r="C122" s="54">
        <f>IF('Keyword Master Database'!H122&gt;=1000,5,IF('Keyword Master Database'!H122&gt;=500,4,IF('Keyword Master Database'!H122&gt;=200,3,IF('Keyword Master Database'!H122&gt;=80,2,1))))</f>
        <v>5</v>
      </c>
      <c r="D122" s="54">
        <f>IF('Keyword Master Database'!I122&lt;=20,5,IF('Keyword Master Database'!I122&lt;=35,4,IF('Keyword Master Database'!I122&lt;=50,3,IF('Keyword Master Database'!I122&lt;=65,2,1))))</f>
        <v>4</v>
      </c>
      <c r="E122" s="54">
        <f>IF('Keyword Master Database'!E122="Transactional",5,IF('Keyword Master Database'!E122="Commercial",4,IF('Keyword Master Database'!E122="Navigational",3,2)))</f>
        <v>2</v>
      </c>
      <c r="F122" s="53">
        <v>1.0</v>
      </c>
      <c r="G122" s="53">
        <v>4.0</v>
      </c>
      <c r="H122" s="55">
        <f t="shared" si="1"/>
        <v>3.15</v>
      </c>
      <c r="I122" s="56">
        <f t="shared" si="2"/>
        <v>63</v>
      </c>
      <c r="J122" s="54" t="str">
        <f t="shared" si="3"/>
        <v>Medium</v>
      </c>
      <c r="K122" s="8"/>
      <c r="L122" s="8"/>
      <c r="M122" s="8"/>
      <c r="N122" s="8"/>
    </row>
    <row r="123" ht="15.75" customHeight="1">
      <c r="A123" s="52" t="str">
        <f>'Keyword Master Database'!A123</f>
        <v>invisalign attachments</v>
      </c>
      <c r="B123" s="53">
        <v>3.0</v>
      </c>
      <c r="C123" s="54">
        <f>IF('Keyword Master Database'!H123&gt;=1000,5,IF('Keyword Master Database'!H123&gt;=500,4,IF('Keyword Master Database'!H123&gt;=200,3,IF('Keyword Master Database'!H123&gt;=80,2,1))))</f>
        <v>5</v>
      </c>
      <c r="D123" s="54">
        <f>IF('Keyword Master Database'!I123&lt;=20,5,IF('Keyword Master Database'!I123&lt;=35,4,IF('Keyword Master Database'!I123&lt;=50,3,IF('Keyword Master Database'!I123&lt;=65,2,1))))</f>
        <v>4</v>
      </c>
      <c r="E123" s="54">
        <f>IF('Keyword Master Database'!E123="Transactional",5,IF('Keyword Master Database'!E123="Commercial",4,IF('Keyword Master Database'!E123="Navigational",3,2)))</f>
        <v>2</v>
      </c>
      <c r="F123" s="53">
        <v>1.0</v>
      </c>
      <c r="G123" s="53">
        <v>4.0</v>
      </c>
      <c r="H123" s="55">
        <f t="shared" si="1"/>
        <v>3.15</v>
      </c>
      <c r="I123" s="56">
        <f t="shared" si="2"/>
        <v>63</v>
      </c>
      <c r="J123" s="54" t="str">
        <f t="shared" si="3"/>
        <v>Medium</v>
      </c>
      <c r="K123" s="8"/>
      <c r="L123" s="8"/>
      <c r="M123" s="8"/>
      <c r="N123" s="8"/>
    </row>
    <row r="124" ht="15.75" customHeight="1">
      <c r="A124" s="52" t="str">
        <f>'Keyword Master Database'!A124</f>
        <v>invisalign before and after</v>
      </c>
      <c r="B124" s="53">
        <v>3.0</v>
      </c>
      <c r="C124" s="54">
        <f>IF('Keyword Master Database'!H124&gt;=1000,5,IF('Keyword Master Database'!H124&gt;=500,4,IF('Keyword Master Database'!H124&gt;=200,3,IF('Keyword Master Database'!H124&gt;=80,2,1))))</f>
        <v>5</v>
      </c>
      <c r="D124" s="54">
        <f>IF('Keyword Master Database'!I124&lt;=20,5,IF('Keyword Master Database'!I124&lt;=35,4,IF('Keyword Master Database'!I124&lt;=50,3,IF('Keyword Master Database'!I124&lt;=65,2,1))))</f>
        <v>3</v>
      </c>
      <c r="E124" s="54">
        <f>IF('Keyword Master Database'!E124="Transactional",5,IF('Keyword Master Database'!E124="Commercial",4,IF('Keyword Master Database'!E124="Navigational",3,2)))</f>
        <v>4</v>
      </c>
      <c r="F124" s="53">
        <v>3.0</v>
      </c>
      <c r="G124" s="53">
        <v>4.0</v>
      </c>
      <c r="H124" s="55">
        <f t="shared" si="1"/>
        <v>3.55</v>
      </c>
      <c r="I124" s="56">
        <f t="shared" si="2"/>
        <v>71</v>
      </c>
      <c r="J124" s="54" t="str">
        <f t="shared" si="3"/>
        <v>Medium</v>
      </c>
      <c r="K124" s="8"/>
      <c r="L124" s="8"/>
      <c r="M124" s="8"/>
      <c r="N124" s="8"/>
    </row>
    <row r="125" ht="15.75" customHeight="1">
      <c r="A125" s="52" t="str">
        <f>'Keyword Master Database'!A125</f>
        <v>invisalign for teens</v>
      </c>
      <c r="B125" s="53">
        <v>3.0</v>
      </c>
      <c r="C125" s="54">
        <f>IF('Keyword Master Database'!H125&gt;=1000,5,IF('Keyword Master Database'!H125&gt;=500,4,IF('Keyword Master Database'!H125&gt;=200,3,IF('Keyword Master Database'!H125&gt;=80,2,1))))</f>
        <v>5</v>
      </c>
      <c r="D125" s="54">
        <f>IF('Keyword Master Database'!I125&lt;=20,5,IF('Keyword Master Database'!I125&lt;=35,4,IF('Keyword Master Database'!I125&lt;=50,3,IF('Keyword Master Database'!I125&lt;=65,2,1))))</f>
        <v>3</v>
      </c>
      <c r="E125" s="54">
        <f>IF('Keyword Master Database'!E125="Transactional",5,IF('Keyword Master Database'!E125="Commercial",4,IF('Keyword Master Database'!E125="Navigational",3,2)))</f>
        <v>4</v>
      </c>
      <c r="F125" s="53">
        <v>3.0</v>
      </c>
      <c r="G125" s="53">
        <v>4.0</v>
      </c>
      <c r="H125" s="55">
        <f t="shared" si="1"/>
        <v>3.55</v>
      </c>
      <c r="I125" s="56">
        <f t="shared" si="2"/>
        <v>71</v>
      </c>
      <c r="J125" s="54" t="str">
        <f t="shared" si="3"/>
        <v>Medium</v>
      </c>
      <c r="K125" s="8"/>
      <c r="L125" s="8"/>
      <c r="M125" s="8"/>
      <c r="N125" s="8"/>
    </row>
    <row r="126" ht="15.75" customHeight="1">
      <c r="A126" s="52" t="str">
        <f>'Keyword Master Database'!A126</f>
        <v>can invisalign fix overbite</v>
      </c>
      <c r="B126" s="53">
        <v>3.0</v>
      </c>
      <c r="C126" s="54">
        <f>IF('Keyword Master Database'!H126&gt;=1000,5,IF('Keyword Master Database'!H126&gt;=500,4,IF('Keyword Master Database'!H126&gt;=200,3,IF('Keyword Master Database'!H126&gt;=80,2,1))))</f>
        <v>5</v>
      </c>
      <c r="D126" s="54">
        <f>IF('Keyword Master Database'!I126&lt;=20,5,IF('Keyword Master Database'!I126&lt;=35,4,IF('Keyword Master Database'!I126&lt;=50,3,IF('Keyword Master Database'!I126&lt;=65,2,1))))</f>
        <v>4</v>
      </c>
      <c r="E126" s="54">
        <f>IF('Keyword Master Database'!E126="Transactional",5,IF('Keyword Master Database'!E126="Commercial",4,IF('Keyword Master Database'!E126="Navigational",3,2)))</f>
        <v>2</v>
      </c>
      <c r="F126" s="53">
        <v>1.0</v>
      </c>
      <c r="G126" s="53">
        <v>4.0</v>
      </c>
      <c r="H126" s="55">
        <f t="shared" si="1"/>
        <v>3.15</v>
      </c>
      <c r="I126" s="56">
        <f t="shared" si="2"/>
        <v>63</v>
      </c>
      <c r="J126" s="54" t="str">
        <f t="shared" si="3"/>
        <v>Medium</v>
      </c>
      <c r="K126" s="8"/>
      <c r="L126" s="8"/>
      <c r="M126" s="8"/>
      <c r="N126" s="8"/>
    </row>
    <row r="127" ht="15.75" customHeight="1">
      <c r="A127" s="52" t="str">
        <f>'Keyword Master Database'!A127</f>
        <v>invisalign retainer after treatment</v>
      </c>
      <c r="B127" s="53">
        <v>3.0</v>
      </c>
      <c r="C127" s="54">
        <f>IF('Keyword Master Database'!H127&gt;=1000,5,IF('Keyword Master Database'!H127&gt;=500,4,IF('Keyword Master Database'!H127&gt;=200,3,IF('Keyword Master Database'!H127&gt;=80,2,1))))</f>
        <v>4</v>
      </c>
      <c r="D127" s="54">
        <f>IF('Keyword Master Database'!I127&lt;=20,5,IF('Keyword Master Database'!I127&lt;=35,4,IF('Keyword Master Database'!I127&lt;=50,3,IF('Keyword Master Database'!I127&lt;=65,2,1))))</f>
        <v>5</v>
      </c>
      <c r="E127" s="54">
        <f>IF('Keyword Master Database'!E127="Transactional",5,IF('Keyword Master Database'!E127="Commercial",4,IF('Keyword Master Database'!E127="Navigational",3,2)))</f>
        <v>2</v>
      </c>
      <c r="F127" s="53">
        <v>1.0</v>
      </c>
      <c r="G127" s="53">
        <v>4.0</v>
      </c>
      <c r="H127" s="55">
        <f t="shared" si="1"/>
        <v>3.2</v>
      </c>
      <c r="I127" s="56">
        <f t="shared" si="2"/>
        <v>64</v>
      </c>
      <c r="J127" s="54" t="str">
        <f t="shared" si="3"/>
        <v>Medium</v>
      </c>
      <c r="K127" s="8"/>
      <c r="L127" s="8"/>
      <c r="M127" s="8"/>
      <c r="N127" s="8"/>
    </row>
    <row r="128" ht="15.75" customHeight="1">
      <c r="A128" s="52" t="str">
        <f>'Keyword Master Database'!A128</f>
        <v>how to clean invisalign aligners</v>
      </c>
      <c r="B128" s="53">
        <v>3.0</v>
      </c>
      <c r="C128" s="54">
        <f>IF('Keyword Master Database'!H128&gt;=1000,5,IF('Keyword Master Database'!H128&gt;=500,4,IF('Keyword Master Database'!H128&gt;=200,3,IF('Keyword Master Database'!H128&gt;=80,2,1))))</f>
        <v>5</v>
      </c>
      <c r="D128" s="54">
        <f>IF('Keyword Master Database'!I128&lt;=20,5,IF('Keyword Master Database'!I128&lt;=35,4,IF('Keyword Master Database'!I128&lt;=50,3,IF('Keyword Master Database'!I128&lt;=65,2,1))))</f>
        <v>4</v>
      </c>
      <c r="E128" s="54">
        <f>IF('Keyword Master Database'!E128="Transactional",5,IF('Keyword Master Database'!E128="Commercial",4,IF('Keyword Master Database'!E128="Navigational",3,2)))</f>
        <v>2</v>
      </c>
      <c r="F128" s="53">
        <v>1.0</v>
      </c>
      <c r="G128" s="53">
        <v>4.0</v>
      </c>
      <c r="H128" s="55">
        <f t="shared" si="1"/>
        <v>3.15</v>
      </c>
      <c r="I128" s="56">
        <f t="shared" si="2"/>
        <v>63</v>
      </c>
      <c r="J128" s="54" t="str">
        <f t="shared" si="3"/>
        <v>Medium</v>
      </c>
      <c r="K128" s="8"/>
      <c r="L128" s="8"/>
      <c r="M128" s="8"/>
      <c r="N128" s="8"/>
    </row>
    <row r="129" ht="15.75" customHeight="1">
      <c r="A129" s="52" t="str">
        <f>'Keyword Master Database'!A129</f>
        <v>dental fillings tampa</v>
      </c>
      <c r="B129" s="53">
        <v>4.0</v>
      </c>
      <c r="C129" s="54">
        <f>IF('Keyword Master Database'!H129&gt;=1000,5,IF('Keyword Master Database'!H129&gt;=500,4,IF('Keyword Master Database'!H129&gt;=200,3,IF('Keyword Master Database'!H129&gt;=80,2,1))))</f>
        <v>3</v>
      </c>
      <c r="D129" s="54">
        <f>IF('Keyword Master Database'!I129&lt;=20,5,IF('Keyword Master Database'!I129&lt;=35,4,IF('Keyword Master Database'!I129&lt;=50,3,IF('Keyword Master Database'!I129&lt;=65,2,1))))</f>
        <v>4</v>
      </c>
      <c r="E129" s="54">
        <f>IF('Keyword Master Database'!E129="Transactional",5,IF('Keyword Master Database'!E129="Commercial",4,IF('Keyword Master Database'!E129="Navigational",3,2)))</f>
        <v>5</v>
      </c>
      <c r="F129" s="53">
        <v>5.0</v>
      </c>
      <c r="G129" s="53">
        <v>5.0</v>
      </c>
      <c r="H129" s="55">
        <f t="shared" si="1"/>
        <v>4.25</v>
      </c>
      <c r="I129" s="56">
        <f t="shared" si="2"/>
        <v>85</v>
      </c>
      <c r="J129" s="54" t="str">
        <f t="shared" si="3"/>
        <v>High</v>
      </c>
      <c r="K129" s="8"/>
      <c r="L129" s="8"/>
      <c r="M129" s="8"/>
      <c r="N129" s="8"/>
    </row>
    <row r="130" ht="15.75" customHeight="1">
      <c r="A130" s="52" t="str">
        <f>'Keyword Master Database'!A130</f>
        <v>tooth filling tampa</v>
      </c>
      <c r="B130" s="53">
        <v>4.0</v>
      </c>
      <c r="C130" s="54">
        <f>IF('Keyword Master Database'!H130&gt;=1000,5,IF('Keyword Master Database'!H130&gt;=500,4,IF('Keyword Master Database'!H130&gt;=200,3,IF('Keyword Master Database'!H130&gt;=80,2,1))))</f>
        <v>2</v>
      </c>
      <c r="D130" s="54">
        <f>IF('Keyword Master Database'!I130&lt;=20,5,IF('Keyword Master Database'!I130&lt;=35,4,IF('Keyword Master Database'!I130&lt;=50,3,IF('Keyword Master Database'!I130&lt;=65,2,1))))</f>
        <v>4</v>
      </c>
      <c r="E130" s="54">
        <f>IF('Keyword Master Database'!E130="Transactional",5,IF('Keyword Master Database'!E130="Commercial",4,IF('Keyword Master Database'!E130="Navigational",3,2)))</f>
        <v>5</v>
      </c>
      <c r="F130" s="53">
        <v>5.0</v>
      </c>
      <c r="G130" s="53">
        <v>5.0</v>
      </c>
      <c r="H130" s="55">
        <f t="shared" si="1"/>
        <v>4.1</v>
      </c>
      <c r="I130" s="56">
        <f t="shared" si="2"/>
        <v>82</v>
      </c>
      <c r="J130" s="54" t="str">
        <f t="shared" si="3"/>
        <v>High</v>
      </c>
      <c r="K130" s="8"/>
      <c r="L130" s="8"/>
      <c r="M130" s="8"/>
      <c r="N130" s="8"/>
    </row>
    <row r="131" ht="15.75" customHeight="1">
      <c r="A131" s="52" t="str">
        <f>'Keyword Master Database'!A131</f>
        <v>dentist for cavity tampa</v>
      </c>
      <c r="B131" s="53">
        <v>4.0</v>
      </c>
      <c r="C131" s="54">
        <f>IF('Keyword Master Database'!H131&gt;=1000,5,IF('Keyword Master Database'!H131&gt;=500,4,IF('Keyword Master Database'!H131&gt;=200,3,IF('Keyword Master Database'!H131&gt;=80,2,1))))</f>
        <v>2</v>
      </c>
      <c r="D131" s="54">
        <f>IF('Keyword Master Database'!I131&lt;=20,5,IF('Keyword Master Database'!I131&lt;=35,4,IF('Keyword Master Database'!I131&lt;=50,3,IF('Keyword Master Database'!I131&lt;=65,2,1))))</f>
        <v>4</v>
      </c>
      <c r="E131" s="54">
        <f>IF('Keyword Master Database'!E131="Transactional",5,IF('Keyword Master Database'!E131="Commercial",4,IF('Keyword Master Database'!E131="Navigational",3,2)))</f>
        <v>5</v>
      </c>
      <c r="F131" s="53">
        <v>5.0</v>
      </c>
      <c r="G131" s="53">
        <v>5.0</v>
      </c>
      <c r="H131" s="55">
        <f t="shared" si="1"/>
        <v>4.1</v>
      </c>
      <c r="I131" s="56">
        <f t="shared" si="2"/>
        <v>82</v>
      </c>
      <c r="J131" s="54" t="str">
        <f t="shared" si="3"/>
        <v>High</v>
      </c>
      <c r="K131" s="8"/>
      <c r="L131" s="8"/>
      <c r="M131" s="8"/>
      <c r="N131" s="8"/>
    </row>
    <row r="132" ht="15.75" customHeight="1">
      <c r="A132" s="52" t="str">
        <f>'Keyword Master Database'!A132</f>
        <v>tooth colored fillings tampa</v>
      </c>
      <c r="B132" s="53">
        <v>4.0</v>
      </c>
      <c r="C132" s="54">
        <f>IF('Keyword Master Database'!H132&gt;=1000,5,IF('Keyword Master Database'!H132&gt;=500,4,IF('Keyword Master Database'!H132&gt;=200,3,IF('Keyword Master Database'!H132&gt;=80,2,1))))</f>
        <v>2</v>
      </c>
      <c r="D132" s="54">
        <f>IF('Keyword Master Database'!I132&lt;=20,5,IF('Keyword Master Database'!I132&lt;=35,4,IF('Keyword Master Database'!I132&lt;=50,3,IF('Keyword Master Database'!I132&lt;=65,2,1))))</f>
        <v>4</v>
      </c>
      <c r="E132" s="54">
        <f>IF('Keyword Master Database'!E132="Transactional",5,IF('Keyword Master Database'!E132="Commercial",4,IF('Keyword Master Database'!E132="Navigational",3,2)))</f>
        <v>5</v>
      </c>
      <c r="F132" s="53">
        <v>5.0</v>
      </c>
      <c r="G132" s="53">
        <v>5.0</v>
      </c>
      <c r="H132" s="55">
        <f t="shared" si="1"/>
        <v>4.1</v>
      </c>
      <c r="I132" s="56">
        <f t="shared" si="2"/>
        <v>82</v>
      </c>
      <c r="J132" s="54" t="str">
        <f t="shared" si="3"/>
        <v>High</v>
      </c>
      <c r="K132" s="8"/>
      <c r="L132" s="8"/>
      <c r="M132" s="8"/>
      <c r="N132" s="8"/>
    </row>
    <row r="133" ht="15.75" customHeight="1">
      <c r="A133" s="52" t="str">
        <f>'Keyword Master Database'!A133</f>
        <v>composite fillings tampa</v>
      </c>
      <c r="B133" s="53">
        <v>4.0</v>
      </c>
      <c r="C133" s="54">
        <f>IF('Keyword Master Database'!H133&gt;=1000,5,IF('Keyword Master Database'!H133&gt;=500,4,IF('Keyword Master Database'!H133&gt;=200,3,IF('Keyword Master Database'!H133&gt;=80,2,1))))</f>
        <v>1</v>
      </c>
      <c r="D133" s="54">
        <f>IF('Keyword Master Database'!I133&lt;=20,5,IF('Keyword Master Database'!I133&lt;=35,4,IF('Keyword Master Database'!I133&lt;=50,3,IF('Keyword Master Database'!I133&lt;=65,2,1))))</f>
        <v>4</v>
      </c>
      <c r="E133" s="54">
        <f>IF('Keyword Master Database'!E133="Transactional",5,IF('Keyword Master Database'!E133="Commercial",4,IF('Keyword Master Database'!E133="Navigational",3,2)))</f>
        <v>5</v>
      </c>
      <c r="F133" s="53">
        <v>5.0</v>
      </c>
      <c r="G133" s="53">
        <v>5.0</v>
      </c>
      <c r="H133" s="55">
        <f t="shared" si="1"/>
        <v>3.95</v>
      </c>
      <c r="I133" s="56">
        <f t="shared" si="2"/>
        <v>79</v>
      </c>
      <c r="J133" s="54" t="str">
        <f t="shared" si="3"/>
        <v>High</v>
      </c>
      <c r="K133" s="8"/>
      <c r="L133" s="8"/>
      <c r="M133" s="8"/>
      <c r="N133" s="8"/>
    </row>
    <row r="134" ht="15.75" customHeight="1">
      <c r="A134" s="52" t="str">
        <f>'Keyword Master Database'!A134</f>
        <v>cavity filling near me</v>
      </c>
      <c r="B134" s="53">
        <v>4.0</v>
      </c>
      <c r="C134" s="54">
        <f>IF('Keyword Master Database'!H134&gt;=1000,5,IF('Keyword Master Database'!H134&gt;=500,4,IF('Keyword Master Database'!H134&gt;=200,3,IF('Keyword Master Database'!H134&gt;=80,2,1))))</f>
        <v>4</v>
      </c>
      <c r="D134" s="54">
        <f>IF('Keyword Master Database'!I134&lt;=20,5,IF('Keyword Master Database'!I134&lt;=35,4,IF('Keyword Master Database'!I134&lt;=50,3,IF('Keyword Master Database'!I134&lt;=65,2,1))))</f>
        <v>2</v>
      </c>
      <c r="E134" s="54">
        <f>IF('Keyword Master Database'!E134="Transactional",5,IF('Keyword Master Database'!E134="Commercial",4,IF('Keyword Master Database'!E134="Navigational",3,2)))</f>
        <v>5</v>
      </c>
      <c r="F134" s="53">
        <v>5.0</v>
      </c>
      <c r="G134" s="53">
        <v>5.0</v>
      </c>
      <c r="H134" s="55">
        <f t="shared" si="1"/>
        <v>4</v>
      </c>
      <c r="I134" s="56">
        <f t="shared" si="2"/>
        <v>80</v>
      </c>
      <c r="J134" s="54" t="str">
        <f t="shared" si="3"/>
        <v>High</v>
      </c>
      <c r="K134" s="8"/>
      <c r="L134" s="8"/>
      <c r="M134" s="8"/>
      <c r="N134" s="8"/>
    </row>
    <row r="135" ht="15.75" customHeight="1">
      <c r="A135" s="52" t="str">
        <f>'Keyword Master Database'!A135</f>
        <v>white fillings dentist tampa</v>
      </c>
      <c r="B135" s="53">
        <v>4.0</v>
      </c>
      <c r="C135" s="54">
        <f>IF('Keyword Master Database'!H135&gt;=1000,5,IF('Keyword Master Database'!H135&gt;=500,4,IF('Keyword Master Database'!H135&gt;=200,3,IF('Keyword Master Database'!H135&gt;=80,2,1))))</f>
        <v>1</v>
      </c>
      <c r="D135" s="54">
        <f>IF('Keyword Master Database'!I135&lt;=20,5,IF('Keyword Master Database'!I135&lt;=35,4,IF('Keyword Master Database'!I135&lt;=50,3,IF('Keyword Master Database'!I135&lt;=65,2,1))))</f>
        <v>5</v>
      </c>
      <c r="E135" s="54">
        <f>IF('Keyword Master Database'!E135="Transactional",5,IF('Keyword Master Database'!E135="Commercial",4,IF('Keyword Master Database'!E135="Navigational",3,2)))</f>
        <v>5</v>
      </c>
      <c r="F135" s="53">
        <v>5.0</v>
      </c>
      <c r="G135" s="53">
        <v>5.0</v>
      </c>
      <c r="H135" s="55">
        <f t="shared" si="1"/>
        <v>4.15</v>
      </c>
      <c r="I135" s="56">
        <f t="shared" si="2"/>
        <v>83</v>
      </c>
      <c r="J135" s="54" t="str">
        <f t="shared" si="3"/>
        <v>High</v>
      </c>
      <c r="K135" s="8"/>
      <c r="L135" s="8"/>
      <c r="M135" s="8"/>
      <c r="N135" s="8"/>
    </row>
    <row r="136" ht="15.75" customHeight="1">
      <c r="A136" s="52" t="str">
        <f>'Keyword Master Database'!A136</f>
        <v>dental restorations tampa</v>
      </c>
      <c r="B136" s="53">
        <v>4.0</v>
      </c>
      <c r="C136" s="54">
        <f>IF('Keyword Master Database'!H136&gt;=1000,5,IF('Keyword Master Database'!H136&gt;=500,4,IF('Keyword Master Database'!H136&gt;=200,3,IF('Keyword Master Database'!H136&gt;=80,2,1))))</f>
        <v>1</v>
      </c>
      <c r="D136" s="54">
        <f>IF('Keyword Master Database'!I136&lt;=20,5,IF('Keyword Master Database'!I136&lt;=35,4,IF('Keyword Master Database'!I136&lt;=50,3,IF('Keyword Master Database'!I136&lt;=65,2,1))))</f>
        <v>4</v>
      </c>
      <c r="E136" s="54">
        <f>IF('Keyword Master Database'!E136="Transactional",5,IF('Keyword Master Database'!E136="Commercial",4,IF('Keyword Master Database'!E136="Navigational",3,2)))</f>
        <v>5</v>
      </c>
      <c r="F136" s="53">
        <v>5.0</v>
      </c>
      <c r="G136" s="53">
        <v>5.0</v>
      </c>
      <c r="H136" s="55">
        <f t="shared" si="1"/>
        <v>3.95</v>
      </c>
      <c r="I136" s="56">
        <f t="shared" si="2"/>
        <v>79</v>
      </c>
      <c r="J136" s="54" t="str">
        <f t="shared" si="3"/>
        <v>High</v>
      </c>
      <c r="K136" s="8"/>
      <c r="L136" s="8"/>
      <c r="M136" s="8"/>
      <c r="N136" s="8"/>
    </row>
    <row r="137" ht="15.75" customHeight="1">
      <c r="A137" s="52" t="str">
        <f>'Keyword Master Database'!A137</f>
        <v>tooth restoration tampa</v>
      </c>
      <c r="B137" s="53">
        <v>4.0</v>
      </c>
      <c r="C137" s="54">
        <f>IF('Keyword Master Database'!H137&gt;=1000,5,IF('Keyword Master Database'!H137&gt;=500,4,IF('Keyword Master Database'!H137&gt;=200,3,IF('Keyword Master Database'!H137&gt;=80,2,1))))</f>
        <v>1</v>
      </c>
      <c r="D137" s="54">
        <f>IF('Keyword Master Database'!I137&lt;=20,5,IF('Keyword Master Database'!I137&lt;=35,4,IF('Keyword Master Database'!I137&lt;=50,3,IF('Keyword Master Database'!I137&lt;=65,2,1))))</f>
        <v>4</v>
      </c>
      <c r="E137" s="54">
        <f>IF('Keyword Master Database'!E137="Transactional",5,IF('Keyword Master Database'!E137="Commercial",4,IF('Keyword Master Database'!E137="Navigational",3,2)))</f>
        <v>5</v>
      </c>
      <c r="F137" s="53">
        <v>5.0</v>
      </c>
      <c r="G137" s="53">
        <v>5.0</v>
      </c>
      <c r="H137" s="55">
        <f t="shared" si="1"/>
        <v>3.95</v>
      </c>
      <c r="I137" s="56">
        <f t="shared" si="2"/>
        <v>79</v>
      </c>
      <c r="J137" s="54" t="str">
        <f t="shared" si="3"/>
        <v>High</v>
      </c>
      <c r="K137" s="8"/>
      <c r="L137" s="8"/>
      <c r="M137" s="8"/>
      <c r="N137" s="8"/>
    </row>
    <row r="138" ht="15.75" customHeight="1">
      <c r="A138" s="52" t="str">
        <f>'Keyword Master Database'!A138</f>
        <v>dental filling cost</v>
      </c>
      <c r="B138" s="53">
        <v>4.0</v>
      </c>
      <c r="C138" s="54">
        <f>IF('Keyword Master Database'!H138&gt;=1000,5,IF('Keyword Master Database'!H138&gt;=500,4,IF('Keyword Master Database'!H138&gt;=200,3,IF('Keyword Master Database'!H138&gt;=80,2,1))))</f>
        <v>5</v>
      </c>
      <c r="D138" s="54">
        <f>IF('Keyword Master Database'!I138&lt;=20,5,IF('Keyword Master Database'!I138&lt;=35,4,IF('Keyword Master Database'!I138&lt;=50,3,IF('Keyword Master Database'!I138&lt;=65,2,1))))</f>
        <v>4</v>
      </c>
      <c r="E138" s="54">
        <f>IF('Keyword Master Database'!E138="Transactional",5,IF('Keyword Master Database'!E138="Commercial",4,IF('Keyword Master Database'!E138="Navigational",3,2)))</f>
        <v>4</v>
      </c>
      <c r="F138" s="53">
        <v>3.0</v>
      </c>
      <c r="G138" s="53">
        <v>5.0</v>
      </c>
      <c r="H138" s="55">
        <f t="shared" si="1"/>
        <v>4.1</v>
      </c>
      <c r="I138" s="56">
        <f t="shared" si="2"/>
        <v>82</v>
      </c>
      <c r="J138" s="54" t="str">
        <f t="shared" si="3"/>
        <v>High</v>
      </c>
      <c r="K138" s="8"/>
      <c r="L138" s="8"/>
      <c r="M138" s="8"/>
      <c r="N138" s="8"/>
    </row>
    <row r="139" ht="15.75" customHeight="1">
      <c r="A139" s="52" t="str">
        <f>'Keyword Master Database'!A139</f>
        <v>how to know if you have a cavity</v>
      </c>
      <c r="B139" s="53">
        <v>2.0</v>
      </c>
      <c r="C139" s="54">
        <f>IF('Keyword Master Database'!H139&gt;=1000,5,IF('Keyword Master Database'!H139&gt;=500,4,IF('Keyword Master Database'!H139&gt;=200,3,IF('Keyword Master Database'!H139&gt;=80,2,1))))</f>
        <v>5</v>
      </c>
      <c r="D139" s="54">
        <f>IF('Keyword Master Database'!I139&lt;=20,5,IF('Keyword Master Database'!I139&lt;=35,4,IF('Keyword Master Database'!I139&lt;=50,3,IF('Keyword Master Database'!I139&lt;=65,2,1))))</f>
        <v>4</v>
      </c>
      <c r="E139" s="54">
        <f>IF('Keyword Master Database'!E139="Transactional",5,IF('Keyword Master Database'!E139="Commercial",4,IF('Keyword Master Database'!E139="Navigational",3,2)))</f>
        <v>2</v>
      </c>
      <c r="F139" s="53">
        <v>1.0</v>
      </c>
      <c r="G139" s="53">
        <v>4.0</v>
      </c>
      <c r="H139" s="55">
        <f t="shared" si="1"/>
        <v>2.9</v>
      </c>
      <c r="I139" s="56">
        <f t="shared" si="2"/>
        <v>58</v>
      </c>
      <c r="J139" s="54" t="str">
        <f t="shared" si="3"/>
        <v>Low</v>
      </c>
      <c r="K139" s="8"/>
      <c r="L139" s="8"/>
      <c r="M139" s="8"/>
      <c r="N139" s="8"/>
    </row>
    <row r="140" ht="15.75" customHeight="1">
      <c r="A140" s="52" t="str">
        <f>'Keyword Master Database'!A140</f>
        <v>composite vs amalgam fillings</v>
      </c>
      <c r="B140" s="53">
        <v>2.0</v>
      </c>
      <c r="C140" s="54">
        <f>IF('Keyword Master Database'!H140&gt;=1000,5,IF('Keyword Master Database'!H140&gt;=500,4,IF('Keyword Master Database'!H140&gt;=200,3,IF('Keyword Master Database'!H140&gt;=80,2,1))))</f>
        <v>5</v>
      </c>
      <c r="D140" s="54">
        <f>IF('Keyword Master Database'!I140&lt;=20,5,IF('Keyword Master Database'!I140&lt;=35,4,IF('Keyword Master Database'!I140&lt;=50,3,IF('Keyword Master Database'!I140&lt;=65,2,1))))</f>
        <v>4</v>
      </c>
      <c r="E140" s="54">
        <f>IF('Keyword Master Database'!E140="Transactional",5,IF('Keyword Master Database'!E140="Commercial",4,IF('Keyword Master Database'!E140="Navigational",3,2)))</f>
        <v>4</v>
      </c>
      <c r="F140" s="53">
        <v>3.0</v>
      </c>
      <c r="G140" s="53">
        <v>4.0</v>
      </c>
      <c r="H140" s="55">
        <f t="shared" si="1"/>
        <v>3.5</v>
      </c>
      <c r="I140" s="56">
        <f t="shared" si="2"/>
        <v>70</v>
      </c>
      <c r="J140" s="54" t="str">
        <f t="shared" si="3"/>
        <v>Medium</v>
      </c>
      <c r="K140" s="8"/>
      <c r="L140" s="8"/>
      <c r="M140" s="8"/>
      <c r="N140" s="8"/>
    </row>
    <row r="141" ht="15.75" customHeight="1">
      <c r="A141" s="52" t="str">
        <f>'Keyword Master Database'!A141</f>
        <v>how long do fillings last</v>
      </c>
      <c r="B141" s="53">
        <v>2.0</v>
      </c>
      <c r="C141" s="54">
        <f>IF('Keyword Master Database'!H141&gt;=1000,5,IF('Keyword Master Database'!H141&gt;=500,4,IF('Keyword Master Database'!H141&gt;=200,3,IF('Keyword Master Database'!H141&gt;=80,2,1))))</f>
        <v>5</v>
      </c>
      <c r="D141" s="54">
        <f>IF('Keyword Master Database'!I141&lt;=20,5,IF('Keyword Master Database'!I141&lt;=35,4,IF('Keyword Master Database'!I141&lt;=50,3,IF('Keyword Master Database'!I141&lt;=65,2,1))))</f>
        <v>4</v>
      </c>
      <c r="E141" s="54">
        <f>IF('Keyword Master Database'!E141="Transactional",5,IF('Keyword Master Database'!E141="Commercial",4,IF('Keyword Master Database'!E141="Navigational",3,2)))</f>
        <v>2</v>
      </c>
      <c r="F141" s="53">
        <v>1.0</v>
      </c>
      <c r="G141" s="53">
        <v>4.0</v>
      </c>
      <c r="H141" s="55">
        <f t="shared" si="1"/>
        <v>2.9</v>
      </c>
      <c r="I141" s="56">
        <f t="shared" si="2"/>
        <v>58</v>
      </c>
      <c r="J141" s="54" t="str">
        <f t="shared" si="3"/>
        <v>Low</v>
      </c>
      <c r="K141" s="8"/>
      <c r="L141" s="8"/>
      <c r="M141" s="8"/>
      <c r="N141" s="8"/>
    </row>
    <row r="142" ht="15.75" customHeight="1">
      <c r="A142" s="52" t="str">
        <f>'Keyword Master Database'!A142</f>
        <v>tooth sensitivity after filling</v>
      </c>
      <c r="B142" s="53">
        <v>2.0</v>
      </c>
      <c r="C142" s="54">
        <f>IF('Keyword Master Database'!H142&gt;=1000,5,IF('Keyword Master Database'!H142&gt;=500,4,IF('Keyword Master Database'!H142&gt;=200,3,IF('Keyword Master Database'!H142&gt;=80,2,1))))</f>
        <v>5</v>
      </c>
      <c r="D142" s="54">
        <f>IF('Keyword Master Database'!I142&lt;=20,5,IF('Keyword Master Database'!I142&lt;=35,4,IF('Keyword Master Database'!I142&lt;=50,3,IF('Keyword Master Database'!I142&lt;=65,2,1))))</f>
        <v>4</v>
      </c>
      <c r="E142" s="54">
        <f>IF('Keyword Master Database'!E142="Transactional",5,IF('Keyword Master Database'!E142="Commercial",4,IF('Keyword Master Database'!E142="Navigational",3,2)))</f>
        <v>2</v>
      </c>
      <c r="F142" s="53">
        <v>1.0</v>
      </c>
      <c r="G142" s="53">
        <v>4.0</v>
      </c>
      <c r="H142" s="55">
        <f t="shared" si="1"/>
        <v>2.9</v>
      </c>
      <c r="I142" s="56">
        <f t="shared" si="2"/>
        <v>58</v>
      </c>
      <c r="J142" s="54" t="str">
        <f t="shared" si="3"/>
        <v>Low</v>
      </c>
      <c r="K142" s="8"/>
      <c r="L142" s="8"/>
      <c r="M142" s="8"/>
      <c r="N142" s="8"/>
    </row>
    <row r="143" ht="15.75" customHeight="1">
      <c r="A143" s="52" t="str">
        <f>'Keyword Master Database'!A143</f>
        <v>lost filling what to do</v>
      </c>
      <c r="B143" s="53">
        <v>2.0</v>
      </c>
      <c r="C143" s="54">
        <f>IF('Keyword Master Database'!H143&gt;=1000,5,IF('Keyword Master Database'!H143&gt;=500,4,IF('Keyword Master Database'!H143&gt;=200,3,IF('Keyword Master Database'!H143&gt;=80,2,1))))</f>
        <v>4</v>
      </c>
      <c r="D143" s="54">
        <f>IF('Keyword Master Database'!I143&lt;=20,5,IF('Keyword Master Database'!I143&lt;=35,4,IF('Keyword Master Database'!I143&lt;=50,3,IF('Keyword Master Database'!I143&lt;=65,2,1))))</f>
        <v>5</v>
      </c>
      <c r="E143" s="54">
        <f>IF('Keyword Master Database'!E143="Transactional",5,IF('Keyword Master Database'!E143="Commercial",4,IF('Keyword Master Database'!E143="Navigational",3,2)))</f>
        <v>2</v>
      </c>
      <c r="F143" s="53">
        <v>1.0</v>
      </c>
      <c r="G143" s="53">
        <v>4.0</v>
      </c>
      <c r="H143" s="55">
        <f t="shared" si="1"/>
        <v>2.95</v>
      </c>
      <c r="I143" s="56">
        <f t="shared" si="2"/>
        <v>59</v>
      </c>
      <c r="J143" s="54" t="str">
        <f t="shared" si="3"/>
        <v>Low</v>
      </c>
      <c r="K143" s="8"/>
      <c r="L143" s="8"/>
      <c r="M143" s="8"/>
      <c r="N143" s="8"/>
    </row>
    <row r="144" ht="15.75" customHeight="1">
      <c r="A144" s="52" t="str">
        <f>'Keyword Master Database'!A144</f>
        <v>do fillings hurt</v>
      </c>
      <c r="B144" s="53">
        <v>2.0</v>
      </c>
      <c r="C144" s="54">
        <f>IF('Keyword Master Database'!H144&gt;=1000,5,IF('Keyword Master Database'!H144&gt;=500,4,IF('Keyword Master Database'!H144&gt;=200,3,IF('Keyword Master Database'!H144&gt;=80,2,1))))</f>
        <v>5</v>
      </c>
      <c r="D144" s="54">
        <f>IF('Keyword Master Database'!I144&lt;=20,5,IF('Keyword Master Database'!I144&lt;=35,4,IF('Keyword Master Database'!I144&lt;=50,3,IF('Keyword Master Database'!I144&lt;=65,2,1))))</f>
        <v>5</v>
      </c>
      <c r="E144" s="54">
        <f>IF('Keyword Master Database'!E144="Transactional",5,IF('Keyword Master Database'!E144="Commercial",4,IF('Keyword Master Database'!E144="Navigational",3,2)))</f>
        <v>2</v>
      </c>
      <c r="F144" s="53">
        <v>1.0</v>
      </c>
      <c r="G144" s="53">
        <v>4.0</v>
      </c>
      <c r="H144" s="55">
        <f t="shared" si="1"/>
        <v>3.1</v>
      </c>
      <c r="I144" s="56">
        <f t="shared" si="2"/>
        <v>62</v>
      </c>
      <c r="J144" s="54" t="str">
        <f t="shared" si="3"/>
        <v>Medium</v>
      </c>
      <c r="K144" s="8"/>
      <c r="L144" s="8"/>
      <c r="M144" s="8"/>
      <c r="N144" s="8"/>
    </row>
    <row r="145" ht="15.75" customHeight="1">
      <c r="A145" s="52" t="str">
        <f>'Keyword Master Database'!A145</f>
        <v>stages of tooth decay</v>
      </c>
      <c r="B145" s="53">
        <v>2.0</v>
      </c>
      <c r="C145" s="54">
        <f>IF('Keyword Master Database'!H145&gt;=1000,5,IF('Keyword Master Database'!H145&gt;=500,4,IF('Keyword Master Database'!H145&gt;=200,3,IF('Keyword Master Database'!H145&gt;=80,2,1))))</f>
        <v>5</v>
      </c>
      <c r="D145" s="54">
        <f>IF('Keyword Master Database'!I145&lt;=20,5,IF('Keyword Master Database'!I145&lt;=35,4,IF('Keyword Master Database'!I145&lt;=50,3,IF('Keyword Master Database'!I145&lt;=65,2,1))))</f>
        <v>4</v>
      </c>
      <c r="E145" s="54">
        <f>IF('Keyword Master Database'!E145="Transactional",5,IF('Keyword Master Database'!E145="Commercial",4,IF('Keyword Master Database'!E145="Navigational",3,2)))</f>
        <v>2</v>
      </c>
      <c r="F145" s="53">
        <v>1.0</v>
      </c>
      <c r="G145" s="53">
        <v>4.0</v>
      </c>
      <c r="H145" s="55">
        <f t="shared" si="1"/>
        <v>2.9</v>
      </c>
      <c r="I145" s="56">
        <f t="shared" si="2"/>
        <v>58</v>
      </c>
      <c r="J145" s="54" t="str">
        <f t="shared" si="3"/>
        <v>Low</v>
      </c>
      <c r="K145" s="8"/>
      <c r="L145" s="8"/>
      <c r="M145" s="8"/>
      <c r="N145" s="8"/>
    </row>
    <row r="146" ht="15.75" customHeight="1">
      <c r="A146" s="52" t="str">
        <f>'Keyword Master Database'!A146</f>
        <v>dentures tampa</v>
      </c>
      <c r="B146" s="53">
        <v>5.0</v>
      </c>
      <c r="C146" s="54">
        <f>IF('Keyword Master Database'!H146&gt;=1000,5,IF('Keyword Master Database'!H146&gt;=500,4,IF('Keyword Master Database'!H146&gt;=200,3,IF('Keyword Master Database'!H146&gt;=80,2,1))))</f>
        <v>5</v>
      </c>
      <c r="D146" s="54">
        <f>IF('Keyword Master Database'!I146&lt;=20,5,IF('Keyword Master Database'!I146&lt;=35,4,IF('Keyword Master Database'!I146&lt;=50,3,IF('Keyword Master Database'!I146&lt;=65,2,1))))</f>
        <v>3</v>
      </c>
      <c r="E146" s="54">
        <f>IF('Keyword Master Database'!E146="Transactional",5,IF('Keyword Master Database'!E146="Commercial",4,IF('Keyword Master Database'!E146="Navigational",3,2)))</f>
        <v>5</v>
      </c>
      <c r="F146" s="53">
        <v>5.0</v>
      </c>
      <c r="G146" s="53">
        <v>5.0</v>
      </c>
      <c r="H146" s="55">
        <f t="shared" si="1"/>
        <v>4.6</v>
      </c>
      <c r="I146" s="56">
        <f t="shared" si="2"/>
        <v>92</v>
      </c>
      <c r="J146" s="54" t="str">
        <f t="shared" si="3"/>
        <v>Critical</v>
      </c>
      <c r="K146" s="8"/>
      <c r="L146" s="8"/>
      <c r="M146" s="8"/>
      <c r="N146" s="8"/>
    </row>
    <row r="147" ht="15.75" customHeight="1">
      <c r="A147" s="52" t="str">
        <f>'Keyword Master Database'!A147</f>
        <v>dentures in tampa fl</v>
      </c>
      <c r="B147" s="53">
        <v>5.0</v>
      </c>
      <c r="C147" s="54">
        <f>IF('Keyword Master Database'!H147&gt;=1000,5,IF('Keyword Master Database'!H147&gt;=500,4,IF('Keyword Master Database'!H147&gt;=200,3,IF('Keyword Master Database'!H147&gt;=80,2,1))))</f>
        <v>3</v>
      </c>
      <c r="D147" s="54">
        <f>IF('Keyword Master Database'!I147&lt;=20,5,IF('Keyword Master Database'!I147&lt;=35,4,IF('Keyword Master Database'!I147&lt;=50,3,IF('Keyword Master Database'!I147&lt;=65,2,1))))</f>
        <v>3</v>
      </c>
      <c r="E147" s="54">
        <f>IF('Keyword Master Database'!E147="Transactional",5,IF('Keyword Master Database'!E147="Commercial",4,IF('Keyword Master Database'!E147="Navigational",3,2)))</f>
        <v>5</v>
      </c>
      <c r="F147" s="53">
        <v>5.0</v>
      </c>
      <c r="G147" s="53">
        <v>5.0</v>
      </c>
      <c r="H147" s="55">
        <f t="shared" si="1"/>
        <v>4.3</v>
      </c>
      <c r="I147" s="56">
        <f t="shared" si="2"/>
        <v>86</v>
      </c>
      <c r="J147" s="54" t="str">
        <f t="shared" si="3"/>
        <v>High</v>
      </c>
      <c r="K147" s="8"/>
      <c r="L147" s="8"/>
      <c r="M147" s="8"/>
      <c r="N147" s="8"/>
    </row>
    <row r="148" ht="15.75" customHeight="1">
      <c r="A148" s="52" t="str">
        <f>'Keyword Master Database'!A148</f>
        <v>denture clinic tampa</v>
      </c>
      <c r="B148" s="53">
        <v>5.0</v>
      </c>
      <c r="C148" s="54">
        <f>IF('Keyword Master Database'!H148&gt;=1000,5,IF('Keyword Master Database'!H148&gt;=500,4,IF('Keyword Master Database'!H148&gt;=200,3,IF('Keyword Master Database'!H148&gt;=80,2,1))))</f>
        <v>3</v>
      </c>
      <c r="D148" s="54">
        <f>IF('Keyword Master Database'!I148&lt;=20,5,IF('Keyword Master Database'!I148&lt;=35,4,IF('Keyword Master Database'!I148&lt;=50,3,IF('Keyword Master Database'!I148&lt;=65,2,1))))</f>
        <v>3</v>
      </c>
      <c r="E148" s="54">
        <f>IF('Keyword Master Database'!E148="Transactional",5,IF('Keyword Master Database'!E148="Commercial",4,IF('Keyword Master Database'!E148="Navigational",3,2)))</f>
        <v>5</v>
      </c>
      <c r="F148" s="53">
        <v>5.0</v>
      </c>
      <c r="G148" s="53">
        <v>5.0</v>
      </c>
      <c r="H148" s="55">
        <f t="shared" si="1"/>
        <v>4.3</v>
      </c>
      <c r="I148" s="56">
        <f t="shared" si="2"/>
        <v>86</v>
      </c>
      <c r="J148" s="54" t="str">
        <f t="shared" si="3"/>
        <v>High</v>
      </c>
      <c r="K148" s="8"/>
      <c r="L148" s="8"/>
      <c r="M148" s="8"/>
      <c r="N148" s="8"/>
    </row>
    <row r="149" ht="15.75" customHeight="1">
      <c r="A149" s="52" t="str">
        <f>'Keyword Master Database'!A149</f>
        <v>full dentures tampa</v>
      </c>
      <c r="B149" s="53">
        <v>5.0</v>
      </c>
      <c r="C149" s="54">
        <f>IF('Keyword Master Database'!H149&gt;=1000,5,IF('Keyword Master Database'!H149&gt;=500,4,IF('Keyword Master Database'!H149&gt;=200,3,IF('Keyword Master Database'!H149&gt;=80,2,1))))</f>
        <v>2</v>
      </c>
      <c r="D149" s="54">
        <f>IF('Keyword Master Database'!I149&lt;=20,5,IF('Keyword Master Database'!I149&lt;=35,4,IF('Keyword Master Database'!I149&lt;=50,3,IF('Keyword Master Database'!I149&lt;=65,2,1))))</f>
        <v>4</v>
      </c>
      <c r="E149" s="54">
        <f>IF('Keyword Master Database'!E149="Transactional",5,IF('Keyword Master Database'!E149="Commercial",4,IF('Keyword Master Database'!E149="Navigational",3,2)))</f>
        <v>5</v>
      </c>
      <c r="F149" s="53">
        <v>5.0</v>
      </c>
      <c r="G149" s="53">
        <v>5.0</v>
      </c>
      <c r="H149" s="55">
        <f t="shared" si="1"/>
        <v>4.35</v>
      </c>
      <c r="I149" s="56">
        <f t="shared" si="2"/>
        <v>87</v>
      </c>
      <c r="J149" s="54" t="str">
        <f t="shared" si="3"/>
        <v>High</v>
      </c>
      <c r="K149" s="8"/>
      <c r="L149" s="8"/>
      <c r="M149" s="8"/>
      <c r="N149" s="8"/>
    </row>
    <row r="150" ht="15.75" customHeight="1">
      <c r="A150" s="52" t="str">
        <f>'Keyword Master Database'!A150</f>
        <v>partial dentures tampa</v>
      </c>
      <c r="B150" s="53">
        <v>5.0</v>
      </c>
      <c r="C150" s="54">
        <f>IF('Keyword Master Database'!H150&gt;=1000,5,IF('Keyword Master Database'!H150&gt;=500,4,IF('Keyword Master Database'!H150&gt;=200,3,IF('Keyword Master Database'!H150&gt;=80,2,1))))</f>
        <v>2</v>
      </c>
      <c r="D150" s="54">
        <f>IF('Keyword Master Database'!I150&lt;=20,5,IF('Keyword Master Database'!I150&lt;=35,4,IF('Keyword Master Database'!I150&lt;=50,3,IF('Keyword Master Database'!I150&lt;=65,2,1))))</f>
        <v>4</v>
      </c>
      <c r="E150" s="54">
        <f>IF('Keyword Master Database'!E150="Transactional",5,IF('Keyword Master Database'!E150="Commercial",4,IF('Keyword Master Database'!E150="Navigational",3,2)))</f>
        <v>5</v>
      </c>
      <c r="F150" s="53">
        <v>5.0</v>
      </c>
      <c r="G150" s="53">
        <v>5.0</v>
      </c>
      <c r="H150" s="55">
        <f t="shared" si="1"/>
        <v>4.35</v>
      </c>
      <c r="I150" s="56">
        <f t="shared" si="2"/>
        <v>87</v>
      </c>
      <c r="J150" s="54" t="str">
        <f t="shared" si="3"/>
        <v>High</v>
      </c>
      <c r="K150" s="8"/>
      <c r="L150" s="8"/>
      <c r="M150" s="8"/>
      <c r="N150" s="8"/>
    </row>
    <row r="151" ht="15.75" customHeight="1">
      <c r="A151" s="52" t="str">
        <f>'Keyword Master Database'!A151</f>
        <v>affordable dentures tampa</v>
      </c>
      <c r="B151" s="53">
        <v>5.0</v>
      </c>
      <c r="C151" s="54">
        <f>IF('Keyword Master Database'!H151&gt;=1000,5,IF('Keyword Master Database'!H151&gt;=500,4,IF('Keyword Master Database'!H151&gt;=200,3,IF('Keyword Master Database'!H151&gt;=80,2,1))))</f>
        <v>3</v>
      </c>
      <c r="D151" s="54">
        <f>IF('Keyword Master Database'!I151&lt;=20,5,IF('Keyword Master Database'!I151&lt;=35,4,IF('Keyword Master Database'!I151&lt;=50,3,IF('Keyword Master Database'!I151&lt;=65,2,1))))</f>
        <v>3</v>
      </c>
      <c r="E151" s="54">
        <f>IF('Keyword Master Database'!E151="Transactional",5,IF('Keyword Master Database'!E151="Commercial",4,IF('Keyword Master Database'!E151="Navigational",3,2)))</f>
        <v>4</v>
      </c>
      <c r="F151" s="53">
        <v>3.0</v>
      </c>
      <c r="G151" s="53">
        <v>5.0</v>
      </c>
      <c r="H151" s="55">
        <f t="shared" si="1"/>
        <v>3.85</v>
      </c>
      <c r="I151" s="56">
        <f t="shared" si="2"/>
        <v>77</v>
      </c>
      <c r="J151" s="54" t="str">
        <f t="shared" si="3"/>
        <v>High</v>
      </c>
      <c r="K151" s="8"/>
      <c r="L151" s="8"/>
      <c r="M151" s="8"/>
      <c r="N151" s="8"/>
    </row>
    <row r="152" ht="15.75" customHeight="1">
      <c r="A152" s="52" t="str">
        <f>'Keyword Master Database'!A152</f>
        <v>dentures near me</v>
      </c>
      <c r="B152" s="53">
        <v>5.0</v>
      </c>
      <c r="C152" s="54">
        <f>IF('Keyword Master Database'!H152&gt;=1000,5,IF('Keyword Master Database'!H152&gt;=500,4,IF('Keyword Master Database'!H152&gt;=200,3,IF('Keyword Master Database'!H152&gt;=80,2,1))))</f>
        <v>5</v>
      </c>
      <c r="D152" s="54">
        <f>IF('Keyword Master Database'!I152&lt;=20,5,IF('Keyword Master Database'!I152&lt;=35,4,IF('Keyword Master Database'!I152&lt;=50,3,IF('Keyword Master Database'!I152&lt;=65,2,1))))</f>
        <v>2</v>
      </c>
      <c r="E152" s="54">
        <f>IF('Keyword Master Database'!E152="Transactional",5,IF('Keyword Master Database'!E152="Commercial",4,IF('Keyword Master Database'!E152="Navigational",3,2)))</f>
        <v>5</v>
      </c>
      <c r="F152" s="53">
        <v>5.0</v>
      </c>
      <c r="G152" s="53">
        <v>5.0</v>
      </c>
      <c r="H152" s="55">
        <f t="shared" si="1"/>
        <v>4.4</v>
      </c>
      <c r="I152" s="56">
        <f t="shared" si="2"/>
        <v>88</v>
      </c>
      <c r="J152" s="54" t="str">
        <f t="shared" si="3"/>
        <v>High</v>
      </c>
      <c r="K152" s="8"/>
      <c r="L152" s="8"/>
      <c r="M152" s="8"/>
      <c r="N152" s="8"/>
    </row>
    <row r="153" ht="15.75" customHeight="1">
      <c r="A153" s="52" t="str">
        <f>'Keyword Master Database'!A153</f>
        <v>same day dentures tampa</v>
      </c>
      <c r="B153" s="53">
        <v>5.0</v>
      </c>
      <c r="C153" s="54">
        <f>IF('Keyword Master Database'!H153&gt;=1000,5,IF('Keyword Master Database'!H153&gt;=500,4,IF('Keyword Master Database'!H153&gt;=200,3,IF('Keyword Master Database'!H153&gt;=80,2,1))))</f>
        <v>2</v>
      </c>
      <c r="D153" s="54">
        <f>IF('Keyword Master Database'!I153&lt;=20,5,IF('Keyword Master Database'!I153&lt;=35,4,IF('Keyword Master Database'!I153&lt;=50,3,IF('Keyword Master Database'!I153&lt;=65,2,1))))</f>
        <v>4</v>
      </c>
      <c r="E153" s="54">
        <f>IF('Keyword Master Database'!E153="Transactional",5,IF('Keyword Master Database'!E153="Commercial",4,IF('Keyword Master Database'!E153="Navigational",3,2)))</f>
        <v>5</v>
      </c>
      <c r="F153" s="53">
        <v>5.0</v>
      </c>
      <c r="G153" s="53">
        <v>5.0</v>
      </c>
      <c r="H153" s="55">
        <f t="shared" si="1"/>
        <v>4.35</v>
      </c>
      <c r="I153" s="56">
        <f t="shared" si="2"/>
        <v>87</v>
      </c>
      <c r="J153" s="54" t="str">
        <f t="shared" si="3"/>
        <v>High</v>
      </c>
      <c r="K153" s="8"/>
      <c r="L153" s="8"/>
      <c r="M153" s="8"/>
      <c r="N153" s="8"/>
    </row>
    <row r="154" ht="15.75" customHeight="1">
      <c r="A154" s="52" t="str">
        <f>'Keyword Master Database'!A154</f>
        <v>denture repair tampa</v>
      </c>
      <c r="B154" s="53">
        <v>5.0</v>
      </c>
      <c r="C154" s="54">
        <f>IF('Keyword Master Database'!H154&gt;=1000,5,IF('Keyword Master Database'!H154&gt;=500,4,IF('Keyword Master Database'!H154&gt;=200,3,IF('Keyword Master Database'!H154&gt;=80,2,1))))</f>
        <v>2</v>
      </c>
      <c r="D154" s="54">
        <f>IF('Keyword Master Database'!I154&lt;=20,5,IF('Keyword Master Database'!I154&lt;=35,4,IF('Keyword Master Database'!I154&lt;=50,3,IF('Keyword Master Database'!I154&lt;=65,2,1))))</f>
        <v>4</v>
      </c>
      <c r="E154" s="54">
        <f>IF('Keyword Master Database'!E154="Transactional",5,IF('Keyword Master Database'!E154="Commercial",4,IF('Keyword Master Database'!E154="Navigational",3,2)))</f>
        <v>5</v>
      </c>
      <c r="F154" s="53">
        <v>5.0</v>
      </c>
      <c r="G154" s="53">
        <v>5.0</v>
      </c>
      <c r="H154" s="55">
        <f t="shared" si="1"/>
        <v>4.35</v>
      </c>
      <c r="I154" s="56">
        <f t="shared" si="2"/>
        <v>87</v>
      </c>
      <c r="J154" s="54" t="str">
        <f t="shared" si="3"/>
        <v>High</v>
      </c>
      <c r="K154" s="8"/>
      <c r="L154" s="8"/>
      <c r="M154" s="8"/>
      <c r="N154" s="8"/>
    </row>
    <row r="155" ht="15.75" customHeight="1">
      <c r="A155" s="52" t="str">
        <f>'Keyword Master Database'!A155</f>
        <v>how much do dentures cost</v>
      </c>
      <c r="B155" s="53">
        <v>3.0</v>
      </c>
      <c r="C155" s="54">
        <f>IF('Keyword Master Database'!H155&gt;=1000,5,IF('Keyword Master Database'!H155&gt;=500,4,IF('Keyword Master Database'!H155&gt;=200,3,IF('Keyword Master Database'!H155&gt;=80,2,1))))</f>
        <v>5</v>
      </c>
      <c r="D155" s="54">
        <f>IF('Keyword Master Database'!I155&lt;=20,5,IF('Keyword Master Database'!I155&lt;=35,4,IF('Keyword Master Database'!I155&lt;=50,3,IF('Keyword Master Database'!I155&lt;=65,2,1))))</f>
        <v>3</v>
      </c>
      <c r="E155" s="54">
        <f>IF('Keyword Master Database'!E155="Transactional",5,IF('Keyword Master Database'!E155="Commercial",4,IF('Keyword Master Database'!E155="Navigational",3,2)))</f>
        <v>4</v>
      </c>
      <c r="F155" s="53">
        <v>3.0</v>
      </c>
      <c r="G155" s="53">
        <v>4.0</v>
      </c>
      <c r="H155" s="55">
        <f t="shared" si="1"/>
        <v>3.55</v>
      </c>
      <c r="I155" s="56">
        <f t="shared" si="2"/>
        <v>71</v>
      </c>
      <c r="J155" s="54" t="str">
        <f t="shared" si="3"/>
        <v>Medium</v>
      </c>
      <c r="K155" s="8"/>
      <c r="L155" s="8"/>
      <c r="M155" s="8"/>
      <c r="N155" s="8"/>
    </row>
    <row r="156" ht="15.75" customHeight="1">
      <c r="A156" s="52" t="str">
        <f>'Keyword Master Database'!A156</f>
        <v>full vs partial dentures</v>
      </c>
      <c r="B156" s="53">
        <v>3.0</v>
      </c>
      <c r="C156" s="54">
        <f>IF('Keyword Master Database'!H156&gt;=1000,5,IF('Keyword Master Database'!H156&gt;=500,4,IF('Keyword Master Database'!H156&gt;=200,3,IF('Keyword Master Database'!H156&gt;=80,2,1))))</f>
        <v>5</v>
      </c>
      <c r="D156" s="54">
        <f>IF('Keyword Master Database'!I156&lt;=20,5,IF('Keyword Master Database'!I156&lt;=35,4,IF('Keyword Master Database'!I156&lt;=50,3,IF('Keyword Master Database'!I156&lt;=65,2,1))))</f>
        <v>4</v>
      </c>
      <c r="E156" s="54">
        <f>IF('Keyword Master Database'!E156="Transactional",5,IF('Keyword Master Database'!E156="Commercial",4,IF('Keyword Master Database'!E156="Navigational",3,2)))</f>
        <v>4</v>
      </c>
      <c r="F156" s="53">
        <v>3.0</v>
      </c>
      <c r="G156" s="53">
        <v>4.0</v>
      </c>
      <c r="H156" s="55">
        <f t="shared" si="1"/>
        <v>3.75</v>
      </c>
      <c r="I156" s="56">
        <f t="shared" si="2"/>
        <v>75</v>
      </c>
      <c r="J156" s="54" t="str">
        <f t="shared" si="3"/>
        <v>High</v>
      </c>
      <c r="K156" s="8"/>
      <c r="L156" s="8"/>
      <c r="M156" s="8"/>
      <c r="N156" s="8"/>
    </row>
    <row r="157" ht="15.75" customHeight="1">
      <c r="A157" s="52" t="str">
        <f>'Keyword Master Database'!A157</f>
        <v>dentures vs implants</v>
      </c>
      <c r="B157" s="53">
        <v>3.0</v>
      </c>
      <c r="C157" s="54">
        <f>IF('Keyword Master Database'!H157&gt;=1000,5,IF('Keyword Master Database'!H157&gt;=500,4,IF('Keyword Master Database'!H157&gt;=200,3,IF('Keyword Master Database'!H157&gt;=80,2,1))))</f>
        <v>5</v>
      </c>
      <c r="D157" s="54">
        <f>IF('Keyword Master Database'!I157&lt;=20,5,IF('Keyword Master Database'!I157&lt;=35,4,IF('Keyword Master Database'!I157&lt;=50,3,IF('Keyword Master Database'!I157&lt;=65,2,1))))</f>
        <v>3</v>
      </c>
      <c r="E157" s="54">
        <f>IF('Keyword Master Database'!E157="Transactional",5,IF('Keyword Master Database'!E157="Commercial",4,IF('Keyword Master Database'!E157="Navigational",3,2)))</f>
        <v>4</v>
      </c>
      <c r="F157" s="53">
        <v>3.0</v>
      </c>
      <c r="G157" s="53">
        <v>4.0</v>
      </c>
      <c r="H157" s="55">
        <f t="shared" si="1"/>
        <v>3.55</v>
      </c>
      <c r="I157" s="56">
        <f t="shared" si="2"/>
        <v>71</v>
      </c>
      <c r="J157" s="54" t="str">
        <f t="shared" si="3"/>
        <v>Medium</v>
      </c>
      <c r="K157" s="8"/>
      <c r="L157" s="8"/>
      <c r="M157" s="8"/>
      <c r="N157" s="8"/>
    </row>
    <row r="158" ht="15.75" customHeight="1">
      <c r="A158" s="52" t="str">
        <f>'Keyword Master Database'!A158</f>
        <v>dentures vs bridges</v>
      </c>
      <c r="B158" s="53">
        <v>3.0</v>
      </c>
      <c r="C158" s="54">
        <f>IF('Keyword Master Database'!H158&gt;=1000,5,IF('Keyword Master Database'!H158&gt;=500,4,IF('Keyword Master Database'!H158&gt;=200,3,IF('Keyword Master Database'!H158&gt;=80,2,1))))</f>
        <v>4</v>
      </c>
      <c r="D158" s="54">
        <f>IF('Keyword Master Database'!I158&lt;=20,5,IF('Keyword Master Database'!I158&lt;=35,4,IF('Keyword Master Database'!I158&lt;=50,3,IF('Keyword Master Database'!I158&lt;=65,2,1))))</f>
        <v>4</v>
      </c>
      <c r="E158" s="54">
        <f>IF('Keyword Master Database'!E158="Transactional",5,IF('Keyword Master Database'!E158="Commercial",4,IF('Keyword Master Database'!E158="Navigational",3,2)))</f>
        <v>4</v>
      </c>
      <c r="F158" s="53">
        <v>3.0</v>
      </c>
      <c r="G158" s="53">
        <v>4.0</v>
      </c>
      <c r="H158" s="55">
        <f t="shared" si="1"/>
        <v>3.6</v>
      </c>
      <c r="I158" s="56">
        <f t="shared" si="2"/>
        <v>72</v>
      </c>
      <c r="J158" s="54" t="str">
        <f t="shared" si="3"/>
        <v>Medium</v>
      </c>
      <c r="K158" s="8"/>
      <c r="L158" s="8"/>
      <c r="M158" s="8"/>
      <c r="N158" s="8"/>
    </row>
    <row r="159" ht="15.75" customHeight="1">
      <c r="A159" s="52" t="str">
        <f>'Keyword Master Database'!A159</f>
        <v>how long do dentures last</v>
      </c>
      <c r="B159" s="53">
        <v>3.0</v>
      </c>
      <c r="C159" s="54">
        <f>IF('Keyword Master Database'!H159&gt;=1000,5,IF('Keyword Master Database'!H159&gt;=500,4,IF('Keyword Master Database'!H159&gt;=200,3,IF('Keyword Master Database'!H159&gt;=80,2,1))))</f>
        <v>5</v>
      </c>
      <c r="D159" s="54">
        <f>IF('Keyword Master Database'!I159&lt;=20,5,IF('Keyword Master Database'!I159&lt;=35,4,IF('Keyword Master Database'!I159&lt;=50,3,IF('Keyword Master Database'!I159&lt;=65,2,1))))</f>
        <v>4</v>
      </c>
      <c r="E159" s="54">
        <f>IF('Keyword Master Database'!E159="Transactional",5,IF('Keyword Master Database'!E159="Commercial",4,IF('Keyword Master Database'!E159="Navigational",3,2)))</f>
        <v>2</v>
      </c>
      <c r="F159" s="53">
        <v>1.0</v>
      </c>
      <c r="G159" s="53">
        <v>4.0</v>
      </c>
      <c r="H159" s="55">
        <f t="shared" si="1"/>
        <v>3.15</v>
      </c>
      <c r="I159" s="56">
        <f t="shared" si="2"/>
        <v>63</v>
      </c>
      <c r="J159" s="54" t="str">
        <f t="shared" si="3"/>
        <v>Medium</v>
      </c>
      <c r="K159" s="8"/>
      <c r="L159" s="8"/>
      <c r="M159" s="8"/>
      <c r="N159" s="8"/>
    </row>
    <row r="160" ht="15.75" customHeight="1">
      <c r="A160" s="52" t="str">
        <f>'Keyword Master Database'!A160</f>
        <v>what to expect when getting dentures</v>
      </c>
      <c r="B160" s="53">
        <v>3.0</v>
      </c>
      <c r="C160" s="54">
        <f>IF('Keyword Master Database'!H160&gt;=1000,5,IF('Keyword Master Database'!H160&gt;=500,4,IF('Keyword Master Database'!H160&gt;=200,3,IF('Keyword Master Database'!H160&gt;=80,2,1))))</f>
        <v>5</v>
      </c>
      <c r="D160" s="54">
        <f>IF('Keyword Master Database'!I160&lt;=20,5,IF('Keyword Master Database'!I160&lt;=35,4,IF('Keyword Master Database'!I160&lt;=50,3,IF('Keyword Master Database'!I160&lt;=65,2,1))))</f>
        <v>4</v>
      </c>
      <c r="E160" s="54">
        <f>IF('Keyword Master Database'!E160="Transactional",5,IF('Keyword Master Database'!E160="Commercial",4,IF('Keyword Master Database'!E160="Navigational",3,2)))</f>
        <v>2</v>
      </c>
      <c r="F160" s="53">
        <v>1.0</v>
      </c>
      <c r="G160" s="53">
        <v>4.0</v>
      </c>
      <c r="H160" s="55">
        <f t="shared" si="1"/>
        <v>3.15</v>
      </c>
      <c r="I160" s="56">
        <f t="shared" si="2"/>
        <v>63</v>
      </c>
      <c r="J160" s="54" t="str">
        <f t="shared" si="3"/>
        <v>Medium</v>
      </c>
      <c r="K160" s="8"/>
      <c r="L160" s="8"/>
      <c r="M160" s="8"/>
      <c r="N160" s="8"/>
    </row>
    <row r="161" ht="15.75" customHeight="1">
      <c r="A161" s="52" t="str">
        <f>'Keyword Master Database'!A161</f>
        <v>how to care for dentures</v>
      </c>
      <c r="B161" s="53">
        <v>2.0</v>
      </c>
      <c r="C161" s="54">
        <f>IF('Keyword Master Database'!H161&gt;=1000,5,IF('Keyword Master Database'!H161&gt;=500,4,IF('Keyword Master Database'!H161&gt;=200,3,IF('Keyword Master Database'!H161&gt;=80,2,1))))</f>
        <v>5</v>
      </c>
      <c r="D161" s="54">
        <f>IF('Keyword Master Database'!I161&lt;=20,5,IF('Keyword Master Database'!I161&lt;=35,4,IF('Keyword Master Database'!I161&lt;=50,3,IF('Keyword Master Database'!I161&lt;=65,2,1))))</f>
        <v>4</v>
      </c>
      <c r="E161" s="54">
        <f>IF('Keyword Master Database'!E161="Transactional",5,IF('Keyword Master Database'!E161="Commercial",4,IF('Keyword Master Database'!E161="Navigational",3,2)))</f>
        <v>2</v>
      </c>
      <c r="F161" s="53">
        <v>1.0</v>
      </c>
      <c r="G161" s="53">
        <v>3.0</v>
      </c>
      <c r="H161" s="55">
        <f t="shared" si="1"/>
        <v>2.8</v>
      </c>
      <c r="I161" s="56">
        <f t="shared" si="2"/>
        <v>56</v>
      </c>
      <c r="J161" s="54" t="str">
        <f t="shared" si="3"/>
        <v>Low</v>
      </c>
      <c r="K161" s="8"/>
      <c r="L161" s="8"/>
      <c r="M161" s="8"/>
      <c r="N161" s="8"/>
    </row>
    <row r="162" ht="15.75" customHeight="1">
      <c r="A162" s="52" t="str">
        <f>'Keyword Master Database'!A162</f>
        <v>sore gums from dentures</v>
      </c>
      <c r="B162" s="53">
        <v>2.0</v>
      </c>
      <c r="C162" s="54">
        <f>IF('Keyword Master Database'!H162&gt;=1000,5,IF('Keyword Master Database'!H162&gt;=500,4,IF('Keyword Master Database'!H162&gt;=200,3,IF('Keyword Master Database'!H162&gt;=80,2,1))))</f>
        <v>5</v>
      </c>
      <c r="D162" s="54">
        <f>IF('Keyword Master Database'!I162&lt;=20,5,IF('Keyword Master Database'!I162&lt;=35,4,IF('Keyword Master Database'!I162&lt;=50,3,IF('Keyword Master Database'!I162&lt;=65,2,1))))</f>
        <v>5</v>
      </c>
      <c r="E162" s="54">
        <f>IF('Keyword Master Database'!E162="Transactional",5,IF('Keyword Master Database'!E162="Commercial",4,IF('Keyword Master Database'!E162="Navigational",3,2)))</f>
        <v>2</v>
      </c>
      <c r="F162" s="53">
        <v>1.0</v>
      </c>
      <c r="G162" s="53">
        <v>3.0</v>
      </c>
      <c r="H162" s="55">
        <f t="shared" si="1"/>
        <v>3</v>
      </c>
      <c r="I162" s="56">
        <f t="shared" si="2"/>
        <v>60</v>
      </c>
      <c r="J162" s="54" t="str">
        <f t="shared" si="3"/>
        <v>Medium</v>
      </c>
      <c r="K162" s="8"/>
      <c r="L162" s="8"/>
      <c r="M162" s="8"/>
      <c r="N162" s="8"/>
    </row>
    <row r="163" ht="15.75" customHeight="1">
      <c r="A163" s="52" t="str">
        <f>'Keyword Master Database'!A163</f>
        <v>getting used to new dentures</v>
      </c>
      <c r="B163" s="53">
        <v>2.0</v>
      </c>
      <c r="C163" s="54">
        <f>IF('Keyword Master Database'!H163&gt;=1000,5,IF('Keyword Master Database'!H163&gt;=500,4,IF('Keyword Master Database'!H163&gt;=200,3,IF('Keyword Master Database'!H163&gt;=80,2,1))))</f>
        <v>4</v>
      </c>
      <c r="D163" s="54">
        <f>IF('Keyword Master Database'!I163&lt;=20,5,IF('Keyword Master Database'!I163&lt;=35,4,IF('Keyword Master Database'!I163&lt;=50,3,IF('Keyword Master Database'!I163&lt;=65,2,1))))</f>
        <v>5</v>
      </c>
      <c r="E163" s="54">
        <f>IF('Keyword Master Database'!E163="Transactional",5,IF('Keyword Master Database'!E163="Commercial",4,IF('Keyword Master Database'!E163="Navigational",3,2)))</f>
        <v>2</v>
      </c>
      <c r="F163" s="53">
        <v>1.0</v>
      </c>
      <c r="G163" s="53">
        <v>3.0</v>
      </c>
      <c r="H163" s="55">
        <f t="shared" si="1"/>
        <v>2.85</v>
      </c>
      <c r="I163" s="56">
        <f t="shared" si="2"/>
        <v>57</v>
      </c>
      <c r="J163" s="54" t="str">
        <f t="shared" si="3"/>
        <v>Low</v>
      </c>
      <c r="K163" s="8"/>
      <c r="L163" s="8"/>
      <c r="M163" s="8"/>
      <c r="N163" s="8"/>
    </row>
    <row r="164" ht="15.75" customHeight="1">
      <c r="A164" s="52" t="str">
        <f>'Keyword Master Database'!A164</f>
        <v>how to clean dentures</v>
      </c>
      <c r="B164" s="53">
        <v>2.0</v>
      </c>
      <c r="C164" s="54">
        <f>IF('Keyword Master Database'!H164&gt;=1000,5,IF('Keyword Master Database'!H164&gt;=500,4,IF('Keyword Master Database'!H164&gt;=200,3,IF('Keyword Master Database'!H164&gt;=80,2,1))))</f>
        <v>5</v>
      </c>
      <c r="D164" s="54">
        <f>IF('Keyword Master Database'!I164&lt;=20,5,IF('Keyword Master Database'!I164&lt;=35,4,IF('Keyword Master Database'!I164&lt;=50,3,IF('Keyword Master Database'!I164&lt;=65,2,1))))</f>
        <v>4</v>
      </c>
      <c r="E164" s="54">
        <f>IF('Keyword Master Database'!E164="Transactional",5,IF('Keyword Master Database'!E164="Commercial",4,IF('Keyword Master Database'!E164="Navigational",3,2)))</f>
        <v>2</v>
      </c>
      <c r="F164" s="53">
        <v>1.0</v>
      </c>
      <c r="G164" s="53">
        <v>3.0</v>
      </c>
      <c r="H164" s="55">
        <f t="shared" si="1"/>
        <v>2.8</v>
      </c>
      <c r="I164" s="56">
        <f t="shared" si="2"/>
        <v>56</v>
      </c>
      <c r="J164" s="54" t="str">
        <f t="shared" si="3"/>
        <v>Low</v>
      </c>
      <c r="K164" s="8"/>
      <c r="L164" s="8"/>
      <c r="M164" s="8"/>
      <c r="N164" s="8"/>
    </row>
    <row r="165" ht="15.75" customHeight="1">
      <c r="A165" s="52" t="str">
        <f>'Keyword Master Database'!A165</f>
        <v>dental bridges tampa</v>
      </c>
      <c r="B165" s="53">
        <v>4.0</v>
      </c>
      <c r="C165" s="54">
        <f>IF('Keyword Master Database'!H165&gt;=1000,5,IF('Keyword Master Database'!H165&gt;=500,4,IF('Keyword Master Database'!H165&gt;=200,3,IF('Keyword Master Database'!H165&gt;=80,2,1))))</f>
        <v>3</v>
      </c>
      <c r="D165" s="54">
        <f>IF('Keyword Master Database'!I165&lt;=20,5,IF('Keyword Master Database'!I165&lt;=35,4,IF('Keyword Master Database'!I165&lt;=50,3,IF('Keyword Master Database'!I165&lt;=65,2,1))))</f>
        <v>3</v>
      </c>
      <c r="E165" s="54">
        <f>IF('Keyword Master Database'!E165="Transactional",5,IF('Keyword Master Database'!E165="Commercial",4,IF('Keyword Master Database'!E165="Navigational",3,2)))</f>
        <v>5</v>
      </c>
      <c r="F165" s="53">
        <v>5.0</v>
      </c>
      <c r="G165" s="53">
        <v>5.0</v>
      </c>
      <c r="H165" s="55">
        <f t="shared" si="1"/>
        <v>4.05</v>
      </c>
      <c r="I165" s="56">
        <f t="shared" si="2"/>
        <v>81</v>
      </c>
      <c r="J165" s="54" t="str">
        <f t="shared" si="3"/>
        <v>High</v>
      </c>
      <c r="K165" s="8"/>
      <c r="L165" s="8"/>
      <c r="M165" s="8"/>
      <c r="N165" s="8"/>
    </row>
    <row r="166" ht="15.75" customHeight="1">
      <c r="A166" s="52" t="str">
        <f>'Keyword Master Database'!A166</f>
        <v>dental bridge near me</v>
      </c>
      <c r="B166" s="53">
        <v>4.0</v>
      </c>
      <c r="C166" s="54">
        <f>IF('Keyword Master Database'!H166&gt;=1000,5,IF('Keyword Master Database'!H166&gt;=500,4,IF('Keyword Master Database'!H166&gt;=200,3,IF('Keyword Master Database'!H166&gt;=80,2,1))))</f>
        <v>5</v>
      </c>
      <c r="D166" s="54">
        <f>IF('Keyword Master Database'!I166&lt;=20,5,IF('Keyword Master Database'!I166&lt;=35,4,IF('Keyword Master Database'!I166&lt;=50,3,IF('Keyword Master Database'!I166&lt;=65,2,1))))</f>
        <v>2</v>
      </c>
      <c r="E166" s="54">
        <f>IF('Keyword Master Database'!E166="Transactional",5,IF('Keyword Master Database'!E166="Commercial",4,IF('Keyword Master Database'!E166="Navigational",3,2)))</f>
        <v>5</v>
      </c>
      <c r="F166" s="53">
        <v>5.0</v>
      </c>
      <c r="G166" s="53">
        <v>5.0</v>
      </c>
      <c r="H166" s="55">
        <f t="shared" si="1"/>
        <v>4.15</v>
      </c>
      <c r="I166" s="56">
        <f t="shared" si="2"/>
        <v>83</v>
      </c>
      <c r="J166" s="54" t="str">
        <f t="shared" si="3"/>
        <v>High</v>
      </c>
      <c r="K166" s="8"/>
      <c r="L166" s="8"/>
      <c r="M166" s="8"/>
      <c r="N166" s="8"/>
    </row>
    <row r="167" ht="15.75" customHeight="1">
      <c r="A167" s="52" t="str">
        <f>'Keyword Master Database'!A167</f>
        <v>tooth bridge dentist tampa</v>
      </c>
      <c r="B167" s="53">
        <v>4.0</v>
      </c>
      <c r="C167" s="54">
        <f>IF('Keyword Master Database'!H167&gt;=1000,5,IF('Keyword Master Database'!H167&gt;=500,4,IF('Keyword Master Database'!H167&gt;=200,3,IF('Keyword Master Database'!H167&gt;=80,2,1))))</f>
        <v>2</v>
      </c>
      <c r="D167" s="54">
        <f>IF('Keyword Master Database'!I167&lt;=20,5,IF('Keyword Master Database'!I167&lt;=35,4,IF('Keyword Master Database'!I167&lt;=50,3,IF('Keyword Master Database'!I167&lt;=65,2,1))))</f>
        <v>4</v>
      </c>
      <c r="E167" s="54">
        <f>IF('Keyword Master Database'!E167="Transactional",5,IF('Keyword Master Database'!E167="Commercial",4,IF('Keyword Master Database'!E167="Navigational",3,2)))</f>
        <v>5</v>
      </c>
      <c r="F167" s="53">
        <v>5.0</v>
      </c>
      <c r="G167" s="53">
        <v>5.0</v>
      </c>
      <c r="H167" s="55">
        <f t="shared" si="1"/>
        <v>4.1</v>
      </c>
      <c r="I167" s="56">
        <f t="shared" si="2"/>
        <v>82</v>
      </c>
      <c r="J167" s="54" t="str">
        <f t="shared" si="3"/>
        <v>High</v>
      </c>
      <c r="K167" s="8"/>
      <c r="L167" s="8"/>
      <c r="M167" s="8"/>
      <c r="N167" s="8"/>
    </row>
    <row r="168" ht="15.75" customHeight="1">
      <c r="A168" s="52" t="str">
        <f>'Keyword Master Database'!A168</f>
        <v>bridge for missing tooth tampa</v>
      </c>
      <c r="B168" s="53">
        <v>4.0</v>
      </c>
      <c r="C168" s="54">
        <f>IF('Keyword Master Database'!H168&gt;=1000,5,IF('Keyword Master Database'!H168&gt;=500,4,IF('Keyword Master Database'!H168&gt;=200,3,IF('Keyword Master Database'!H168&gt;=80,2,1))))</f>
        <v>2</v>
      </c>
      <c r="D168" s="54">
        <f>IF('Keyword Master Database'!I168&lt;=20,5,IF('Keyword Master Database'!I168&lt;=35,4,IF('Keyword Master Database'!I168&lt;=50,3,IF('Keyword Master Database'!I168&lt;=65,2,1))))</f>
        <v>4</v>
      </c>
      <c r="E168" s="54">
        <f>IF('Keyword Master Database'!E168="Transactional",5,IF('Keyword Master Database'!E168="Commercial",4,IF('Keyword Master Database'!E168="Navigational",3,2)))</f>
        <v>5</v>
      </c>
      <c r="F168" s="53">
        <v>5.0</v>
      </c>
      <c r="G168" s="53">
        <v>5.0</v>
      </c>
      <c r="H168" s="55">
        <f t="shared" si="1"/>
        <v>4.1</v>
      </c>
      <c r="I168" s="56">
        <f t="shared" si="2"/>
        <v>82</v>
      </c>
      <c r="J168" s="54" t="str">
        <f t="shared" si="3"/>
        <v>High</v>
      </c>
      <c r="K168" s="8"/>
      <c r="L168" s="8"/>
      <c r="M168" s="8"/>
      <c r="N168" s="8"/>
    </row>
    <row r="169" ht="15.75" customHeight="1">
      <c r="A169" s="52" t="str">
        <f>'Keyword Master Database'!A169</f>
        <v>fixed bridge dentist tampa</v>
      </c>
      <c r="B169" s="53">
        <v>4.0</v>
      </c>
      <c r="C169" s="54">
        <f>IF('Keyword Master Database'!H169&gt;=1000,5,IF('Keyword Master Database'!H169&gt;=500,4,IF('Keyword Master Database'!H169&gt;=200,3,IF('Keyword Master Database'!H169&gt;=80,2,1))))</f>
        <v>1</v>
      </c>
      <c r="D169" s="54">
        <f>IF('Keyword Master Database'!I169&lt;=20,5,IF('Keyword Master Database'!I169&lt;=35,4,IF('Keyword Master Database'!I169&lt;=50,3,IF('Keyword Master Database'!I169&lt;=65,2,1))))</f>
        <v>4</v>
      </c>
      <c r="E169" s="54">
        <f>IF('Keyword Master Database'!E169="Transactional",5,IF('Keyword Master Database'!E169="Commercial",4,IF('Keyword Master Database'!E169="Navigational",3,2)))</f>
        <v>5</v>
      </c>
      <c r="F169" s="53">
        <v>5.0</v>
      </c>
      <c r="G169" s="53">
        <v>5.0</v>
      </c>
      <c r="H169" s="55">
        <f t="shared" si="1"/>
        <v>3.95</v>
      </c>
      <c r="I169" s="56">
        <f t="shared" si="2"/>
        <v>79</v>
      </c>
      <c r="J169" s="54" t="str">
        <f t="shared" si="3"/>
        <v>High</v>
      </c>
      <c r="K169" s="8"/>
      <c r="L169" s="8"/>
      <c r="M169" s="8"/>
      <c r="N169" s="8"/>
    </row>
    <row r="170" ht="15.75" customHeight="1">
      <c r="A170" s="52" t="str">
        <f>'Keyword Master Database'!A170</f>
        <v>missing tooth replacement tampa</v>
      </c>
      <c r="B170" s="53">
        <v>4.0</v>
      </c>
      <c r="C170" s="54">
        <f>IF('Keyword Master Database'!H170&gt;=1000,5,IF('Keyword Master Database'!H170&gt;=500,4,IF('Keyword Master Database'!H170&gt;=200,3,IF('Keyword Master Database'!H170&gt;=80,2,1))))</f>
        <v>3</v>
      </c>
      <c r="D170" s="54">
        <f>IF('Keyword Master Database'!I170&lt;=20,5,IF('Keyword Master Database'!I170&lt;=35,4,IF('Keyword Master Database'!I170&lt;=50,3,IF('Keyword Master Database'!I170&lt;=65,2,1))))</f>
        <v>3</v>
      </c>
      <c r="E170" s="54">
        <f>IF('Keyword Master Database'!E170="Transactional",5,IF('Keyword Master Database'!E170="Commercial",4,IF('Keyword Master Database'!E170="Navigational",3,2)))</f>
        <v>5</v>
      </c>
      <c r="F170" s="53">
        <v>5.0</v>
      </c>
      <c r="G170" s="53">
        <v>5.0</v>
      </c>
      <c r="H170" s="55">
        <f t="shared" si="1"/>
        <v>4.05</v>
      </c>
      <c r="I170" s="56">
        <f t="shared" si="2"/>
        <v>81</v>
      </c>
      <c r="J170" s="54" t="str">
        <f t="shared" si="3"/>
        <v>High</v>
      </c>
      <c r="K170" s="8"/>
      <c r="L170" s="8"/>
      <c r="M170" s="8"/>
      <c r="N170" s="8"/>
    </row>
    <row r="171" ht="15.75" customHeight="1">
      <c r="A171" s="52" t="str">
        <f>'Keyword Master Database'!A171</f>
        <v>dental bridge cost</v>
      </c>
      <c r="B171" s="53">
        <v>3.0</v>
      </c>
      <c r="C171" s="54">
        <f>IF('Keyword Master Database'!H171&gt;=1000,5,IF('Keyword Master Database'!H171&gt;=500,4,IF('Keyword Master Database'!H171&gt;=200,3,IF('Keyword Master Database'!H171&gt;=80,2,1))))</f>
        <v>5</v>
      </c>
      <c r="D171" s="54">
        <f>IF('Keyword Master Database'!I171&lt;=20,5,IF('Keyword Master Database'!I171&lt;=35,4,IF('Keyword Master Database'!I171&lt;=50,3,IF('Keyword Master Database'!I171&lt;=65,2,1))))</f>
        <v>3</v>
      </c>
      <c r="E171" s="54">
        <f>IF('Keyword Master Database'!E171="Transactional",5,IF('Keyword Master Database'!E171="Commercial",4,IF('Keyword Master Database'!E171="Navigational",3,2)))</f>
        <v>4</v>
      </c>
      <c r="F171" s="53">
        <v>3.0</v>
      </c>
      <c r="G171" s="53">
        <v>4.0</v>
      </c>
      <c r="H171" s="55">
        <f t="shared" si="1"/>
        <v>3.55</v>
      </c>
      <c r="I171" s="56">
        <f t="shared" si="2"/>
        <v>71</v>
      </c>
      <c r="J171" s="54" t="str">
        <f t="shared" si="3"/>
        <v>Medium</v>
      </c>
      <c r="K171" s="8"/>
      <c r="L171" s="8"/>
      <c r="M171" s="8"/>
      <c r="N171" s="8"/>
    </row>
    <row r="172" ht="15.75" customHeight="1">
      <c r="A172" s="52" t="str">
        <f>'Keyword Master Database'!A172</f>
        <v>how long do dental bridges last</v>
      </c>
      <c r="B172" s="53">
        <v>3.0</v>
      </c>
      <c r="C172" s="54">
        <f>IF('Keyword Master Database'!H172&gt;=1000,5,IF('Keyword Master Database'!H172&gt;=500,4,IF('Keyword Master Database'!H172&gt;=200,3,IF('Keyword Master Database'!H172&gt;=80,2,1))))</f>
        <v>5</v>
      </c>
      <c r="D172" s="54">
        <f>IF('Keyword Master Database'!I172&lt;=20,5,IF('Keyword Master Database'!I172&lt;=35,4,IF('Keyword Master Database'!I172&lt;=50,3,IF('Keyword Master Database'!I172&lt;=65,2,1))))</f>
        <v>4</v>
      </c>
      <c r="E172" s="54">
        <f>IF('Keyword Master Database'!E172="Transactional",5,IF('Keyword Master Database'!E172="Commercial",4,IF('Keyword Master Database'!E172="Navigational",3,2)))</f>
        <v>2</v>
      </c>
      <c r="F172" s="53">
        <v>1.0</v>
      </c>
      <c r="G172" s="53">
        <v>4.0</v>
      </c>
      <c r="H172" s="55">
        <f t="shared" si="1"/>
        <v>3.15</v>
      </c>
      <c r="I172" s="56">
        <f t="shared" si="2"/>
        <v>63</v>
      </c>
      <c r="J172" s="54" t="str">
        <f t="shared" si="3"/>
        <v>Medium</v>
      </c>
      <c r="K172" s="8"/>
      <c r="L172" s="8"/>
      <c r="M172" s="8"/>
      <c r="N172" s="8"/>
    </row>
    <row r="173" ht="15.75" customHeight="1">
      <c r="A173" s="52" t="str">
        <f>'Keyword Master Database'!A173</f>
        <v>dental bridge vs implant</v>
      </c>
      <c r="B173" s="53">
        <v>3.0</v>
      </c>
      <c r="C173" s="54">
        <f>IF('Keyword Master Database'!H173&gt;=1000,5,IF('Keyword Master Database'!H173&gt;=500,4,IF('Keyword Master Database'!H173&gt;=200,3,IF('Keyword Master Database'!H173&gt;=80,2,1))))</f>
        <v>5</v>
      </c>
      <c r="D173" s="54">
        <f>IF('Keyword Master Database'!I173&lt;=20,5,IF('Keyword Master Database'!I173&lt;=35,4,IF('Keyword Master Database'!I173&lt;=50,3,IF('Keyword Master Database'!I173&lt;=65,2,1))))</f>
        <v>3</v>
      </c>
      <c r="E173" s="54">
        <f>IF('Keyword Master Database'!E173="Transactional",5,IF('Keyword Master Database'!E173="Commercial",4,IF('Keyword Master Database'!E173="Navigational",3,2)))</f>
        <v>4</v>
      </c>
      <c r="F173" s="53">
        <v>3.0</v>
      </c>
      <c r="G173" s="53">
        <v>4.0</v>
      </c>
      <c r="H173" s="55">
        <f t="shared" si="1"/>
        <v>3.55</v>
      </c>
      <c r="I173" s="56">
        <f t="shared" si="2"/>
        <v>71</v>
      </c>
      <c r="J173" s="54" t="str">
        <f t="shared" si="3"/>
        <v>Medium</v>
      </c>
      <c r="K173" s="8"/>
      <c r="L173" s="8"/>
      <c r="M173" s="8"/>
      <c r="N173" s="8"/>
    </row>
    <row r="174" ht="15.75" customHeight="1">
      <c r="A174" s="52" t="str">
        <f>'Keyword Master Database'!A174</f>
        <v>types of dental bridges</v>
      </c>
      <c r="B174" s="53">
        <v>3.0</v>
      </c>
      <c r="C174" s="54">
        <f>IF('Keyword Master Database'!H174&gt;=1000,5,IF('Keyword Master Database'!H174&gt;=500,4,IF('Keyword Master Database'!H174&gt;=200,3,IF('Keyword Master Database'!H174&gt;=80,2,1))))</f>
        <v>5</v>
      </c>
      <c r="D174" s="54">
        <f>IF('Keyword Master Database'!I174&lt;=20,5,IF('Keyword Master Database'!I174&lt;=35,4,IF('Keyword Master Database'!I174&lt;=50,3,IF('Keyword Master Database'!I174&lt;=65,2,1))))</f>
        <v>4</v>
      </c>
      <c r="E174" s="54">
        <f>IF('Keyword Master Database'!E174="Transactional",5,IF('Keyword Master Database'!E174="Commercial",4,IF('Keyword Master Database'!E174="Navigational",3,2)))</f>
        <v>2</v>
      </c>
      <c r="F174" s="53">
        <v>1.0</v>
      </c>
      <c r="G174" s="53">
        <v>4.0</v>
      </c>
      <c r="H174" s="55">
        <f t="shared" si="1"/>
        <v>3.15</v>
      </c>
      <c r="I174" s="56">
        <f t="shared" si="2"/>
        <v>63</v>
      </c>
      <c r="J174" s="54" t="str">
        <f t="shared" si="3"/>
        <v>Medium</v>
      </c>
      <c r="K174" s="8"/>
      <c r="L174" s="8"/>
      <c r="M174" s="8"/>
      <c r="N174" s="8"/>
    </row>
    <row r="175" ht="15.75" customHeight="1">
      <c r="A175" s="52" t="str">
        <f>'Keyword Master Database'!A175</f>
        <v>how to clean under a dental bridge</v>
      </c>
      <c r="B175" s="53">
        <v>3.0</v>
      </c>
      <c r="C175" s="54">
        <f>IF('Keyword Master Database'!H175&gt;=1000,5,IF('Keyword Master Database'!H175&gt;=500,4,IF('Keyword Master Database'!H175&gt;=200,3,IF('Keyword Master Database'!H175&gt;=80,2,1))))</f>
        <v>4</v>
      </c>
      <c r="D175" s="54">
        <f>IF('Keyword Master Database'!I175&lt;=20,5,IF('Keyword Master Database'!I175&lt;=35,4,IF('Keyword Master Database'!I175&lt;=50,3,IF('Keyword Master Database'!I175&lt;=65,2,1))))</f>
        <v>5</v>
      </c>
      <c r="E175" s="54">
        <f>IF('Keyword Master Database'!E175="Transactional",5,IF('Keyword Master Database'!E175="Commercial",4,IF('Keyword Master Database'!E175="Navigational",3,2)))</f>
        <v>2</v>
      </c>
      <c r="F175" s="53">
        <v>1.0</v>
      </c>
      <c r="G175" s="53">
        <v>4.0</v>
      </c>
      <c r="H175" s="55">
        <f t="shared" si="1"/>
        <v>3.2</v>
      </c>
      <c r="I175" s="56">
        <f t="shared" si="2"/>
        <v>64</v>
      </c>
      <c r="J175" s="54" t="str">
        <f t="shared" si="3"/>
        <v>Medium</v>
      </c>
      <c r="K175" s="8"/>
      <c r="L175" s="8"/>
      <c r="M175" s="8"/>
      <c r="N175" s="8"/>
    </row>
    <row r="176" ht="15.75" customHeight="1">
      <c r="A176" s="52" t="str">
        <f>'Keyword Master Database'!A176</f>
        <v>dental bridge procedure</v>
      </c>
      <c r="B176" s="53">
        <v>3.0</v>
      </c>
      <c r="C176" s="54">
        <f>IF('Keyword Master Database'!H176&gt;=1000,5,IF('Keyword Master Database'!H176&gt;=500,4,IF('Keyword Master Database'!H176&gt;=200,3,IF('Keyword Master Database'!H176&gt;=80,2,1))))</f>
        <v>5</v>
      </c>
      <c r="D176" s="54">
        <f>IF('Keyword Master Database'!I176&lt;=20,5,IF('Keyword Master Database'!I176&lt;=35,4,IF('Keyword Master Database'!I176&lt;=50,3,IF('Keyword Master Database'!I176&lt;=65,2,1))))</f>
        <v>4</v>
      </c>
      <c r="E176" s="54">
        <f>IF('Keyword Master Database'!E176="Transactional",5,IF('Keyword Master Database'!E176="Commercial",4,IF('Keyword Master Database'!E176="Navigational",3,2)))</f>
        <v>2</v>
      </c>
      <c r="F176" s="53">
        <v>1.0</v>
      </c>
      <c r="G176" s="53">
        <v>4.0</v>
      </c>
      <c r="H176" s="55">
        <f t="shared" si="1"/>
        <v>3.15</v>
      </c>
      <c r="I176" s="56">
        <f t="shared" si="2"/>
        <v>63</v>
      </c>
      <c r="J176" s="54" t="str">
        <f t="shared" si="3"/>
        <v>Medium</v>
      </c>
      <c r="K176" s="8"/>
      <c r="L176" s="8"/>
      <c r="M176" s="8"/>
      <c r="N176" s="8"/>
    </row>
    <row r="177" ht="15.75" customHeight="1">
      <c r="A177" s="52" t="str">
        <f>'Keyword Master Database'!A177</f>
        <v>dental crowns tampa</v>
      </c>
      <c r="B177" s="53">
        <v>5.0</v>
      </c>
      <c r="C177" s="54">
        <f>IF('Keyword Master Database'!H177&gt;=1000,5,IF('Keyword Master Database'!H177&gt;=500,4,IF('Keyword Master Database'!H177&gt;=200,3,IF('Keyword Master Database'!H177&gt;=80,2,1))))</f>
        <v>3</v>
      </c>
      <c r="D177" s="54">
        <f>IF('Keyword Master Database'!I177&lt;=20,5,IF('Keyword Master Database'!I177&lt;=35,4,IF('Keyword Master Database'!I177&lt;=50,3,IF('Keyword Master Database'!I177&lt;=65,2,1))))</f>
        <v>3</v>
      </c>
      <c r="E177" s="54">
        <f>IF('Keyword Master Database'!E177="Transactional",5,IF('Keyword Master Database'!E177="Commercial",4,IF('Keyword Master Database'!E177="Navigational",3,2)))</f>
        <v>5</v>
      </c>
      <c r="F177" s="53">
        <v>5.0</v>
      </c>
      <c r="G177" s="53">
        <v>5.0</v>
      </c>
      <c r="H177" s="55">
        <f t="shared" si="1"/>
        <v>4.3</v>
      </c>
      <c r="I177" s="56">
        <f t="shared" si="2"/>
        <v>86</v>
      </c>
      <c r="J177" s="54" t="str">
        <f t="shared" si="3"/>
        <v>High</v>
      </c>
      <c r="K177" s="8"/>
      <c r="L177" s="8"/>
      <c r="M177" s="8"/>
      <c r="N177" s="8"/>
    </row>
    <row r="178" ht="15.75" customHeight="1">
      <c r="A178" s="52" t="str">
        <f>'Keyword Master Database'!A178</f>
        <v>dental crown dentist tampa</v>
      </c>
      <c r="B178" s="53">
        <v>5.0</v>
      </c>
      <c r="C178" s="54">
        <f>IF('Keyword Master Database'!H178&gt;=1000,5,IF('Keyword Master Database'!H178&gt;=500,4,IF('Keyword Master Database'!H178&gt;=200,3,IF('Keyword Master Database'!H178&gt;=80,2,1))))</f>
        <v>3</v>
      </c>
      <c r="D178" s="54">
        <f>IF('Keyword Master Database'!I178&lt;=20,5,IF('Keyword Master Database'!I178&lt;=35,4,IF('Keyword Master Database'!I178&lt;=50,3,IF('Keyword Master Database'!I178&lt;=65,2,1))))</f>
        <v>4</v>
      </c>
      <c r="E178" s="54">
        <f>IF('Keyword Master Database'!E178="Transactional",5,IF('Keyword Master Database'!E178="Commercial",4,IF('Keyword Master Database'!E178="Navigational",3,2)))</f>
        <v>5</v>
      </c>
      <c r="F178" s="53">
        <v>5.0</v>
      </c>
      <c r="G178" s="53">
        <v>5.0</v>
      </c>
      <c r="H178" s="55">
        <f t="shared" si="1"/>
        <v>4.5</v>
      </c>
      <c r="I178" s="56">
        <f t="shared" si="2"/>
        <v>90</v>
      </c>
      <c r="J178" s="54" t="str">
        <f t="shared" si="3"/>
        <v>Critical</v>
      </c>
      <c r="K178" s="8"/>
      <c r="L178" s="8"/>
      <c r="M178" s="8"/>
      <c r="N178" s="8"/>
    </row>
    <row r="179" ht="15.75" customHeight="1">
      <c r="A179" s="52" t="str">
        <f>'Keyword Master Database'!A179</f>
        <v>porcelain crowns tampa</v>
      </c>
      <c r="B179" s="53">
        <v>5.0</v>
      </c>
      <c r="C179" s="54">
        <f>IF('Keyword Master Database'!H179&gt;=1000,5,IF('Keyword Master Database'!H179&gt;=500,4,IF('Keyword Master Database'!H179&gt;=200,3,IF('Keyword Master Database'!H179&gt;=80,2,1))))</f>
        <v>2</v>
      </c>
      <c r="D179" s="54">
        <f>IF('Keyword Master Database'!I179&lt;=20,5,IF('Keyword Master Database'!I179&lt;=35,4,IF('Keyword Master Database'!I179&lt;=50,3,IF('Keyword Master Database'!I179&lt;=65,2,1))))</f>
        <v>4</v>
      </c>
      <c r="E179" s="54">
        <f>IF('Keyword Master Database'!E179="Transactional",5,IF('Keyword Master Database'!E179="Commercial",4,IF('Keyword Master Database'!E179="Navigational",3,2)))</f>
        <v>5</v>
      </c>
      <c r="F179" s="53">
        <v>5.0</v>
      </c>
      <c r="G179" s="53">
        <v>5.0</v>
      </c>
      <c r="H179" s="55">
        <f t="shared" si="1"/>
        <v>4.35</v>
      </c>
      <c r="I179" s="56">
        <f t="shared" si="2"/>
        <v>87</v>
      </c>
      <c r="J179" s="54" t="str">
        <f t="shared" si="3"/>
        <v>High</v>
      </c>
      <c r="K179" s="8"/>
      <c r="L179" s="8"/>
      <c r="M179" s="8"/>
      <c r="N179" s="8"/>
    </row>
    <row r="180" ht="15.75" customHeight="1">
      <c r="A180" s="52" t="str">
        <f>'Keyword Master Database'!A180</f>
        <v>same day crowns tampa</v>
      </c>
      <c r="B180" s="53">
        <v>5.0</v>
      </c>
      <c r="C180" s="54">
        <f>IF('Keyword Master Database'!H180&gt;=1000,5,IF('Keyword Master Database'!H180&gt;=500,4,IF('Keyword Master Database'!H180&gt;=200,3,IF('Keyword Master Database'!H180&gt;=80,2,1))))</f>
        <v>3</v>
      </c>
      <c r="D180" s="54">
        <f>IF('Keyword Master Database'!I180&lt;=20,5,IF('Keyword Master Database'!I180&lt;=35,4,IF('Keyword Master Database'!I180&lt;=50,3,IF('Keyword Master Database'!I180&lt;=65,2,1))))</f>
        <v>3</v>
      </c>
      <c r="E180" s="54">
        <f>IF('Keyword Master Database'!E180="Transactional",5,IF('Keyword Master Database'!E180="Commercial",4,IF('Keyword Master Database'!E180="Navigational",3,2)))</f>
        <v>5</v>
      </c>
      <c r="F180" s="53">
        <v>5.0</v>
      </c>
      <c r="G180" s="53">
        <v>5.0</v>
      </c>
      <c r="H180" s="55">
        <f t="shared" si="1"/>
        <v>4.3</v>
      </c>
      <c r="I180" s="56">
        <f t="shared" si="2"/>
        <v>86</v>
      </c>
      <c r="J180" s="54" t="str">
        <f t="shared" si="3"/>
        <v>High</v>
      </c>
      <c r="K180" s="8"/>
      <c r="L180" s="8"/>
      <c r="M180" s="8"/>
      <c r="N180" s="8"/>
    </row>
    <row r="181" ht="15.75" customHeight="1">
      <c r="A181" s="52" t="str">
        <f>'Keyword Master Database'!A181</f>
        <v>crown for broken tooth tampa</v>
      </c>
      <c r="B181" s="53">
        <v>5.0</v>
      </c>
      <c r="C181" s="54">
        <f>IF('Keyword Master Database'!H181&gt;=1000,5,IF('Keyword Master Database'!H181&gt;=500,4,IF('Keyword Master Database'!H181&gt;=200,3,IF('Keyword Master Database'!H181&gt;=80,2,1))))</f>
        <v>2</v>
      </c>
      <c r="D181" s="54">
        <f>IF('Keyword Master Database'!I181&lt;=20,5,IF('Keyword Master Database'!I181&lt;=35,4,IF('Keyword Master Database'!I181&lt;=50,3,IF('Keyword Master Database'!I181&lt;=65,2,1))))</f>
        <v>4</v>
      </c>
      <c r="E181" s="54">
        <f>IF('Keyword Master Database'!E181="Transactional",5,IF('Keyword Master Database'!E181="Commercial",4,IF('Keyword Master Database'!E181="Navigational",3,2)))</f>
        <v>5</v>
      </c>
      <c r="F181" s="53">
        <v>5.0</v>
      </c>
      <c r="G181" s="53">
        <v>5.0</v>
      </c>
      <c r="H181" s="55">
        <f t="shared" si="1"/>
        <v>4.35</v>
      </c>
      <c r="I181" s="56">
        <f t="shared" si="2"/>
        <v>87</v>
      </c>
      <c r="J181" s="54" t="str">
        <f t="shared" si="3"/>
        <v>High</v>
      </c>
      <c r="K181" s="8"/>
      <c r="L181" s="8"/>
      <c r="M181" s="8"/>
      <c r="N181" s="8"/>
    </row>
    <row r="182" ht="15.75" customHeight="1">
      <c r="A182" s="52" t="str">
        <f>'Keyword Master Database'!A182</f>
        <v>dental crown near me</v>
      </c>
      <c r="B182" s="53">
        <v>5.0</v>
      </c>
      <c r="C182" s="54">
        <f>IF('Keyword Master Database'!H182&gt;=1000,5,IF('Keyword Master Database'!H182&gt;=500,4,IF('Keyword Master Database'!H182&gt;=200,3,IF('Keyword Master Database'!H182&gt;=80,2,1))))</f>
        <v>5</v>
      </c>
      <c r="D182" s="54">
        <f>IF('Keyword Master Database'!I182&lt;=20,5,IF('Keyword Master Database'!I182&lt;=35,4,IF('Keyword Master Database'!I182&lt;=50,3,IF('Keyword Master Database'!I182&lt;=65,2,1))))</f>
        <v>2</v>
      </c>
      <c r="E182" s="54">
        <f>IF('Keyword Master Database'!E182="Transactional",5,IF('Keyword Master Database'!E182="Commercial",4,IF('Keyword Master Database'!E182="Navigational",3,2)))</f>
        <v>5</v>
      </c>
      <c r="F182" s="53">
        <v>5.0</v>
      </c>
      <c r="G182" s="53">
        <v>5.0</v>
      </c>
      <c r="H182" s="55">
        <f t="shared" si="1"/>
        <v>4.4</v>
      </c>
      <c r="I182" s="56">
        <f t="shared" si="2"/>
        <v>88</v>
      </c>
      <c r="J182" s="54" t="str">
        <f t="shared" si="3"/>
        <v>High</v>
      </c>
      <c r="K182" s="8"/>
      <c r="L182" s="8"/>
      <c r="M182" s="8"/>
      <c r="N182" s="8"/>
    </row>
    <row r="183" ht="15.75" customHeight="1">
      <c r="A183" s="52" t="str">
        <f>'Keyword Master Database'!A183</f>
        <v>ceramic crowns tampa</v>
      </c>
      <c r="B183" s="53">
        <v>5.0</v>
      </c>
      <c r="C183" s="54">
        <f>IF('Keyword Master Database'!H183&gt;=1000,5,IF('Keyword Master Database'!H183&gt;=500,4,IF('Keyword Master Database'!H183&gt;=200,3,IF('Keyword Master Database'!H183&gt;=80,2,1))))</f>
        <v>1</v>
      </c>
      <c r="D183" s="54">
        <f>IF('Keyword Master Database'!I183&lt;=20,5,IF('Keyword Master Database'!I183&lt;=35,4,IF('Keyword Master Database'!I183&lt;=50,3,IF('Keyword Master Database'!I183&lt;=65,2,1))))</f>
        <v>4</v>
      </c>
      <c r="E183" s="54">
        <f>IF('Keyword Master Database'!E183="Transactional",5,IF('Keyword Master Database'!E183="Commercial",4,IF('Keyword Master Database'!E183="Navigational",3,2)))</f>
        <v>5</v>
      </c>
      <c r="F183" s="53">
        <v>5.0</v>
      </c>
      <c r="G183" s="53">
        <v>5.0</v>
      </c>
      <c r="H183" s="55">
        <f t="shared" si="1"/>
        <v>4.2</v>
      </c>
      <c r="I183" s="56">
        <f t="shared" si="2"/>
        <v>84</v>
      </c>
      <c r="J183" s="54" t="str">
        <f t="shared" si="3"/>
        <v>High</v>
      </c>
      <c r="K183" s="8"/>
      <c r="L183" s="8"/>
      <c r="M183" s="8"/>
      <c r="N183" s="8"/>
    </row>
    <row r="184" ht="15.75" customHeight="1">
      <c r="A184" s="52" t="str">
        <f>'Keyword Master Database'!A184</f>
        <v>tooth cap tampa</v>
      </c>
      <c r="B184" s="53">
        <v>5.0</v>
      </c>
      <c r="C184" s="54">
        <f>IF('Keyword Master Database'!H184&gt;=1000,5,IF('Keyword Master Database'!H184&gt;=500,4,IF('Keyword Master Database'!H184&gt;=200,3,IF('Keyword Master Database'!H184&gt;=80,2,1))))</f>
        <v>1</v>
      </c>
      <c r="D184" s="54">
        <f>IF('Keyword Master Database'!I184&lt;=20,5,IF('Keyword Master Database'!I184&lt;=35,4,IF('Keyword Master Database'!I184&lt;=50,3,IF('Keyword Master Database'!I184&lt;=65,2,1))))</f>
        <v>5</v>
      </c>
      <c r="E184" s="54">
        <f>IF('Keyword Master Database'!E184="Transactional",5,IF('Keyword Master Database'!E184="Commercial",4,IF('Keyword Master Database'!E184="Navigational",3,2)))</f>
        <v>5</v>
      </c>
      <c r="F184" s="53">
        <v>5.0</v>
      </c>
      <c r="G184" s="53">
        <v>5.0</v>
      </c>
      <c r="H184" s="55">
        <f t="shared" si="1"/>
        <v>4.4</v>
      </c>
      <c r="I184" s="56">
        <f t="shared" si="2"/>
        <v>88</v>
      </c>
      <c r="J184" s="54" t="str">
        <f t="shared" si="3"/>
        <v>High</v>
      </c>
      <c r="K184" s="8"/>
      <c r="L184" s="8"/>
      <c r="M184" s="8"/>
      <c r="N184" s="8"/>
    </row>
    <row r="185" ht="15.75" customHeight="1">
      <c r="A185" s="52" t="str">
        <f>'Keyword Master Database'!A185</f>
        <v>dental crown cost</v>
      </c>
      <c r="B185" s="53">
        <v>3.0</v>
      </c>
      <c r="C185" s="54">
        <f>IF('Keyword Master Database'!H185&gt;=1000,5,IF('Keyword Master Database'!H185&gt;=500,4,IF('Keyword Master Database'!H185&gt;=200,3,IF('Keyword Master Database'!H185&gt;=80,2,1))))</f>
        <v>5</v>
      </c>
      <c r="D185" s="54">
        <f>IF('Keyword Master Database'!I185&lt;=20,5,IF('Keyword Master Database'!I185&lt;=35,4,IF('Keyword Master Database'!I185&lt;=50,3,IF('Keyword Master Database'!I185&lt;=65,2,1))))</f>
        <v>3</v>
      </c>
      <c r="E185" s="54">
        <f>IF('Keyword Master Database'!E185="Transactional",5,IF('Keyword Master Database'!E185="Commercial",4,IF('Keyword Master Database'!E185="Navigational",3,2)))</f>
        <v>4</v>
      </c>
      <c r="F185" s="53">
        <v>3.0</v>
      </c>
      <c r="G185" s="53">
        <v>4.0</v>
      </c>
      <c r="H185" s="55">
        <f t="shared" si="1"/>
        <v>3.55</v>
      </c>
      <c r="I185" s="56">
        <f t="shared" si="2"/>
        <v>71</v>
      </c>
      <c r="J185" s="54" t="str">
        <f t="shared" si="3"/>
        <v>Medium</v>
      </c>
      <c r="K185" s="8"/>
      <c r="L185" s="8"/>
      <c r="M185" s="8"/>
      <c r="N185" s="8"/>
    </row>
    <row r="186" ht="15.75" customHeight="1">
      <c r="A186" s="52" t="str">
        <f>'Keyword Master Database'!A186</f>
        <v>how long do dental crowns last</v>
      </c>
      <c r="B186" s="53">
        <v>3.0</v>
      </c>
      <c r="C186" s="54">
        <f>IF('Keyword Master Database'!H186&gt;=1000,5,IF('Keyword Master Database'!H186&gt;=500,4,IF('Keyword Master Database'!H186&gt;=200,3,IF('Keyword Master Database'!H186&gt;=80,2,1))))</f>
        <v>5</v>
      </c>
      <c r="D186" s="54">
        <f>IF('Keyword Master Database'!I186&lt;=20,5,IF('Keyword Master Database'!I186&lt;=35,4,IF('Keyword Master Database'!I186&lt;=50,3,IF('Keyword Master Database'!I186&lt;=65,2,1))))</f>
        <v>4</v>
      </c>
      <c r="E186" s="54">
        <f>IF('Keyword Master Database'!E186="Transactional",5,IF('Keyword Master Database'!E186="Commercial",4,IF('Keyword Master Database'!E186="Navigational",3,2)))</f>
        <v>2</v>
      </c>
      <c r="F186" s="53">
        <v>1.0</v>
      </c>
      <c r="G186" s="53">
        <v>4.0</v>
      </c>
      <c r="H186" s="55">
        <f t="shared" si="1"/>
        <v>3.15</v>
      </c>
      <c r="I186" s="56">
        <f t="shared" si="2"/>
        <v>63</v>
      </c>
      <c r="J186" s="54" t="str">
        <f t="shared" si="3"/>
        <v>Medium</v>
      </c>
      <c r="K186" s="8"/>
      <c r="L186" s="8"/>
      <c r="M186" s="8"/>
      <c r="N186" s="8"/>
    </row>
    <row r="187" ht="15.75" customHeight="1">
      <c r="A187" s="52" t="str">
        <f>'Keyword Master Database'!A187</f>
        <v>crown vs filling</v>
      </c>
      <c r="B187" s="53">
        <v>3.0</v>
      </c>
      <c r="C187" s="54">
        <f>IF('Keyword Master Database'!H187&gt;=1000,5,IF('Keyword Master Database'!H187&gt;=500,4,IF('Keyword Master Database'!H187&gt;=200,3,IF('Keyword Master Database'!H187&gt;=80,2,1))))</f>
        <v>5</v>
      </c>
      <c r="D187" s="54">
        <f>IF('Keyword Master Database'!I187&lt;=20,5,IF('Keyword Master Database'!I187&lt;=35,4,IF('Keyword Master Database'!I187&lt;=50,3,IF('Keyword Master Database'!I187&lt;=65,2,1))))</f>
        <v>4</v>
      </c>
      <c r="E187" s="54">
        <f>IF('Keyword Master Database'!E187="Transactional",5,IF('Keyword Master Database'!E187="Commercial",4,IF('Keyword Master Database'!E187="Navigational",3,2)))</f>
        <v>4</v>
      </c>
      <c r="F187" s="53">
        <v>3.0</v>
      </c>
      <c r="G187" s="53">
        <v>4.0</v>
      </c>
      <c r="H187" s="55">
        <f t="shared" si="1"/>
        <v>3.75</v>
      </c>
      <c r="I187" s="56">
        <f t="shared" si="2"/>
        <v>75</v>
      </c>
      <c r="J187" s="54" t="str">
        <f t="shared" si="3"/>
        <v>High</v>
      </c>
      <c r="K187" s="8"/>
      <c r="L187" s="8"/>
      <c r="M187" s="8"/>
      <c r="N187" s="8"/>
    </row>
    <row r="188" ht="15.75" customHeight="1">
      <c r="A188" s="52" t="str">
        <f>'Keyword Master Database'!A188</f>
        <v>dental crown procedure</v>
      </c>
      <c r="B188" s="53">
        <v>3.0</v>
      </c>
      <c r="C188" s="54">
        <f>IF('Keyword Master Database'!H188&gt;=1000,5,IF('Keyword Master Database'!H188&gt;=500,4,IF('Keyword Master Database'!H188&gt;=200,3,IF('Keyword Master Database'!H188&gt;=80,2,1))))</f>
        <v>5</v>
      </c>
      <c r="D188" s="54">
        <f>IF('Keyword Master Database'!I188&lt;=20,5,IF('Keyword Master Database'!I188&lt;=35,4,IF('Keyword Master Database'!I188&lt;=50,3,IF('Keyword Master Database'!I188&lt;=65,2,1))))</f>
        <v>4</v>
      </c>
      <c r="E188" s="54">
        <f>IF('Keyword Master Database'!E188="Transactional",5,IF('Keyword Master Database'!E188="Commercial",4,IF('Keyword Master Database'!E188="Navigational",3,2)))</f>
        <v>2</v>
      </c>
      <c r="F188" s="53">
        <v>1.0</v>
      </c>
      <c r="G188" s="53">
        <v>4.0</v>
      </c>
      <c r="H188" s="55">
        <f t="shared" si="1"/>
        <v>3.15</v>
      </c>
      <c r="I188" s="56">
        <f t="shared" si="2"/>
        <v>63</v>
      </c>
      <c r="J188" s="54" t="str">
        <f t="shared" si="3"/>
        <v>Medium</v>
      </c>
      <c r="K188" s="8"/>
      <c r="L188" s="8"/>
      <c r="M188" s="8"/>
      <c r="N188" s="8"/>
    </row>
    <row r="189" ht="15.75" customHeight="1">
      <c r="A189" s="52" t="str">
        <f>'Keyword Master Database'!A189</f>
        <v>temporary crown fell off</v>
      </c>
      <c r="B189" s="53">
        <v>3.0</v>
      </c>
      <c r="C189" s="54">
        <f>IF('Keyword Master Database'!H189&gt;=1000,5,IF('Keyword Master Database'!H189&gt;=500,4,IF('Keyword Master Database'!H189&gt;=200,3,IF('Keyword Master Database'!H189&gt;=80,2,1))))</f>
        <v>5</v>
      </c>
      <c r="D189" s="54">
        <f>IF('Keyword Master Database'!I189&lt;=20,5,IF('Keyword Master Database'!I189&lt;=35,4,IF('Keyword Master Database'!I189&lt;=50,3,IF('Keyword Master Database'!I189&lt;=65,2,1))))</f>
        <v>5</v>
      </c>
      <c r="E189" s="54">
        <f>IF('Keyword Master Database'!E189="Transactional",5,IF('Keyword Master Database'!E189="Commercial",4,IF('Keyword Master Database'!E189="Navigational",3,2)))</f>
        <v>2</v>
      </c>
      <c r="F189" s="53">
        <v>1.0</v>
      </c>
      <c r="G189" s="53">
        <v>4.0</v>
      </c>
      <c r="H189" s="55">
        <f t="shared" si="1"/>
        <v>3.35</v>
      </c>
      <c r="I189" s="56">
        <f t="shared" si="2"/>
        <v>67</v>
      </c>
      <c r="J189" s="54" t="str">
        <f t="shared" si="3"/>
        <v>Medium</v>
      </c>
      <c r="K189" s="8"/>
      <c r="L189" s="8"/>
      <c r="M189" s="8"/>
      <c r="N189" s="8"/>
    </row>
    <row r="190" ht="15.75" customHeight="1">
      <c r="A190" s="52" t="str">
        <f>'Keyword Master Database'!A190</f>
        <v>types of dental crowns</v>
      </c>
      <c r="B190" s="53">
        <v>3.0</v>
      </c>
      <c r="C190" s="54">
        <f>IF('Keyword Master Database'!H190&gt;=1000,5,IF('Keyword Master Database'!H190&gt;=500,4,IF('Keyword Master Database'!H190&gt;=200,3,IF('Keyword Master Database'!H190&gt;=80,2,1))))</f>
        <v>5</v>
      </c>
      <c r="D190" s="54">
        <f>IF('Keyword Master Database'!I190&lt;=20,5,IF('Keyword Master Database'!I190&lt;=35,4,IF('Keyword Master Database'!I190&lt;=50,3,IF('Keyword Master Database'!I190&lt;=65,2,1))))</f>
        <v>4</v>
      </c>
      <c r="E190" s="54">
        <f>IF('Keyword Master Database'!E190="Transactional",5,IF('Keyword Master Database'!E190="Commercial",4,IF('Keyword Master Database'!E190="Navigational",3,2)))</f>
        <v>2</v>
      </c>
      <c r="F190" s="53">
        <v>1.0</v>
      </c>
      <c r="G190" s="53">
        <v>4.0</v>
      </c>
      <c r="H190" s="55">
        <f t="shared" si="1"/>
        <v>3.15</v>
      </c>
      <c r="I190" s="56">
        <f t="shared" si="2"/>
        <v>63</v>
      </c>
      <c r="J190" s="54" t="str">
        <f t="shared" si="3"/>
        <v>Medium</v>
      </c>
      <c r="K190" s="8"/>
      <c r="L190" s="8"/>
      <c r="M190" s="8"/>
      <c r="N190" s="8"/>
    </row>
    <row r="191" ht="15.75" customHeight="1">
      <c r="A191" s="52" t="str">
        <f>'Keyword Master Database'!A191</f>
        <v>porcelain vs zirconia crowns</v>
      </c>
      <c r="B191" s="53">
        <v>3.0</v>
      </c>
      <c r="C191" s="54">
        <f>IF('Keyword Master Database'!H191&gt;=1000,5,IF('Keyword Master Database'!H191&gt;=500,4,IF('Keyword Master Database'!H191&gt;=200,3,IF('Keyword Master Database'!H191&gt;=80,2,1))))</f>
        <v>4</v>
      </c>
      <c r="D191" s="54">
        <f>IF('Keyword Master Database'!I191&lt;=20,5,IF('Keyword Master Database'!I191&lt;=35,4,IF('Keyword Master Database'!I191&lt;=50,3,IF('Keyword Master Database'!I191&lt;=65,2,1))))</f>
        <v>4</v>
      </c>
      <c r="E191" s="54">
        <f>IF('Keyword Master Database'!E191="Transactional",5,IF('Keyword Master Database'!E191="Commercial",4,IF('Keyword Master Database'!E191="Navigational",3,2)))</f>
        <v>4</v>
      </c>
      <c r="F191" s="53">
        <v>3.0</v>
      </c>
      <c r="G191" s="53">
        <v>4.0</v>
      </c>
      <c r="H191" s="55">
        <f t="shared" si="1"/>
        <v>3.6</v>
      </c>
      <c r="I191" s="56">
        <f t="shared" si="2"/>
        <v>72</v>
      </c>
      <c r="J191" s="54" t="str">
        <f t="shared" si="3"/>
        <v>Medium</v>
      </c>
      <c r="K191" s="8"/>
      <c r="L191" s="8"/>
      <c r="M191" s="8"/>
      <c r="N191" s="8"/>
    </row>
    <row r="192" ht="15.75" customHeight="1">
      <c r="A192" s="52" t="str">
        <f>'Keyword Master Database'!A192</f>
        <v>do you need a crown after a root canal</v>
      </c>
      <c r="B192" s="53">
        <v>3.0</v>
      </c>
      <c r="C192" s="54">
        <f>IF('Keyword Master Database'!H192&gt;=1000,5,IF('Keyword Master Database'!H192&gt;=500,4,IF('Keyword Master Database'!H192&gt;=200,3,IF('Keyword Master Database'!H192&gt;=80,2,1))))</f>
        <v>5</v>
      </c>
      <c r="D192" s="54">
        <f>IF('Keyword Master Database'!I192&lt;=20,5,IF('Keyword Master Database'!I192&lt;=35,4,IF('Keyword Master Database'!I192&lt;=50,3,IF('Keyword Master Database'!I192&lt;=65,2,1))))</f>
        <v>5</v>
      </c>
      <c r="E192" s="54">
        <f>IF('Keyword Master Database'!E192="Transactional",5,IF('Keyword Master Database'!E192="Commercial",4,IF('Keyword Master Database'!E192="Navigational",3,2)))</f>
        <v>2</v>
      </c>
      <c r="F192" s="53">
        <v>1.0</v>
      </c>
      <c r="G192" s="53">
        <v>4.0</v>
      </c>
      <c r="H192" s="55">
        <f t="shared" si="1"/>
        <v>3.35</v>
      </c>
      <c r="I192" s="56">
        <f t="shared" si="2"/>
        <v>67</v>
      </c>
      <c r="J192" s="54" t="str">
        <f t="shared" si="3"/>
        <v>Medium</v>
      </c>
      <c r="K192" s="8"/>
      <c r="L192" s="8"/>
      <c r="M192" s="8"/>
      <c r="N192" s="8"/>
    </row>
    <row r="193" ht="15.75" customHeight="1">
      <c r="A193" s="52" t="str">
        <f>'Keyword Master Database'!A193</f>
        <v>dental implants tampa</v>
      </c>
      <c r="B193" s="53">
        <v>4.0</v>
      </c>
      <c r="C193" s="54">
        <f>IF('Keyword Master Database'!H193&gt;=1000,5,IF('Keyword Master Database'!H193&gt;=500,4,IF('Keyword Master Database'!H193&gt;=200,3,IF('Keyword Master Database'!H193&gt;=80,2,1))))</f>
        <v>5</v>
      </c>
      <c r="D193" s="54">
        <f>IF('Keyword Master Database'!I193&lt;=20,5,IF('Keyword Master Database'!I193&lt;=35,4,IF('Keyword Master Database'!I193&lt;=50,3,IF('Keyword Master Database'!I193&lt;=65,2,1))))</f>
        <v>2</v>
      </c>
      <c r="E193" s="54">
        <f>IF('Keyword Master Database'!E193="Transactional",5,IF('Keyword Master Database'!E193="Commercial",4,IF('Keyword Master Database'!E193="Navigational",3,2)))</f>
        <v>5</v>
      </c>
      <c r="F193" s="53">
        <v>5.0</v>
      </c>
      <c r="G193" s="53">
        <v>4.0</v>
      </c>
      <c r="H193" s="55">
        <f t="shared" si="1"/>
        <v>4.05</v>
      </c>
      <c r="I193" s="56">
        <f t="shared" si="2"/>
        <v>81</v>
      </c>
      <c r="J193" s="54" t="str">
        <f t="shared" si="3"/>
        <v>High</v>
      </c>
      <c r="K193" s="8"/>
      <c r="L193" s="8"/>
      <c r="M193" s="8"/>
      <c r="N193" s="8"/>
    </row>
    <row r="194" ht="15.75" customHeight="1">
      <c r="A194" s="52" t="str">
        <f>'Keyword Master Database'!A194</f>
        <v>dental implants near me</v>
      </c>
      <c r="B194" s="53">
        <v>4.0</v>
      </c>
      <c r="C194" s="54">
        <f>IF('Keyword Master Database'!H194&gt;=1000,5,IF('Keyword Master Database'!H194&gt;=500,4,IF('Keyword Master Database'!H194&gt;=200,3,IF('Keyword Master Database'!H194&gt;=80,2,1))))</f>
        <v>5</v>
      </c>
      <c r="D194" s="54">
        <f>IF('Keyword Master Database'!I194&lt;=20,5,IF('Keyword Master Database'!I194&lt;=35,4,IF('Keyword Master Database'!I194&lt;=50,3,IF('Keyword Master Database'!I194&lt;=65,2,1))))</f>
        <v>1</v>
      </c>
      <c r="E194" s="54">
        <f>IF('Keyword Master Database'!E194="Transactional",5,IF('Keyword Master Database'!E194="Commercial",4,IF('Keyword Master Database'!E194="Navigational",3,2)))</f>
        <v>5</v>
      </c>
      <c r="F194" s="53">
        <v>5.0</v>
      </c>
      <c r="G194" s="53">
        <v>4.0</v>
      </c>
      <c r="H194" s="55">
        <f t="shared" si="1"/>
        <v>3.85</v>
      </c>
      <c r="I194" s="56">
        <f t="shared" si="2"/>
        <v>77</v>
      </c>
      <c r="J194" s="54" t="str">
        <f t="shared" si="3"/>
        <v>High</v>
      </c>
      <c r="K194" s="8"/>
      <c r="L194" s="8"/>
      <c r="M194" s="8"/>
      <c r="N194" s="8"/>
    </row>
    <row r="195" ht="15.75" customHeight="1">
      <c r="A195" s="52" t="str">
        <f>'Keyword Master Database'!A195</f>
        <v>implant dentist tampa</v>
      </c>
      <c r="B195" s="53">
        <v>4.0</v>
      </c>
      <c r="C195" s="54">
        <f>IF('Keyword Master Database'!H195&gt;=1000,5,IF('Keyword Master Database'!H195&gt;=500,4,IF('Keyword Master Database'!H195&gt;=200,3,IF('Keyword Master Database'!H195&gt;=80,2,1))))</f>
        <v>4</v>
      </c>
      <c r="D195" s="54">
        <f>IF('Keyword Master Database'!I195&lt;=20,5,IF('Keyword Master Database'!I195&lt;=35,4,IF('Keyword Master Database'!I195&lt;=50,3,IF('Keyword Master Database'!I195&lt;=65,2,1))))</f>
        <v>2</v>
      </c>
      <c r="E195" s="54">
        <f>IF('Keyword Master Database'!E195="Transactional",5,IF('Keyword Master Database'!E195="Commercial",4,IF('Keyword Master Database'!E195="Navigational",3,2)))</f>
        <v>5</v>
      </c>
      <c r="F195" s="53">
        <v>5.0</v>
      </c>
      <c r="G195" s="53">
        <v>4.0</v>
      </c>
      <c r="H195" s="55">
        <f t="shared" si="1"/>
        <v>3.9</v>
      </c>
      <c r="I195" s="56">
        <f t="shared" si="2"/>
        <v>78</v>
      </c>
      <c r="J195" s="54" t="str">
        <f t="shared" si="3"/>
        <v>High</v>
      </c>
      <c r="K195" s="8"/>
      <c r="L195" s="8"/>
      <c r="M195" s="8"/>
      <c r="N195" s="8"/>
    </row>
    <row r="196" ht="15.75" customHeight="1">
      <c r="A196" s="52" t="str">
        <f>'Keyword Master Database'!A196</f>
        <v>tooth implant cost tampa</v>
      </c>
      <c r="B196" s="53">
        <v>4.0</v>
      </c>
      <c r="C196" s="54">
        <f>IF('Keyword Master Database'!H196&gt;=1000,5,IF('Keyword Master Database'!H196&gt;=500,4,IF('Keyword Master Database'!H196&gt;=200,3,IF('Keyword Master Database'!H196&gt;=80,2,1))))</f>
        <v>3</v>
      </c>
      <c r="D196" s="54">
        <f>IF('Keyword Master Database'!I196&lt;=20,5,IF('Keyword Master Database'!I196&lt;=35,4,IF('Keyword Master Database'!I196&lt;=50,3,IF('Keyword Master Database'!I196&lt;=65,2,1))))</f>
        <v>3</v>
      </c>
      <c r="E196" s="54">
        <f>IF('Keyword Master Database'!E196="Transactional",5,IF('Keyword Master Database'!E196="Commercial",4,IF('Keyword Master Database'!E196="Navigational",3,2)))</f>
        <v>5</v>
      </c>
      <c r="F196" s="53">
        <v>5.0</v>
      </c>
      <c r="G196" s="53">
        <v>4.0</v>
      </c>
      <c r="H196" s="55">
        <f t="shared" si="1"/>
        <v>3.95</v>
      </c>
      <c r="I196" s="56">
        <f t="shared" si="2"/>
        <v>79</v>
      </c>
      <c r="J196" s="54" t="str">
        <f t="shared" si="3"/>
        <v>High</v>
      </c>
      <c r="K196" s="8"/>
      <c r="L196" s="8"/>
      <c r="M196" s="8"/>
      <c r="N196" s="8"/>
    </row>
    <row r="197" ht="15.75" customHeight="1">
      <c r="A197" s="52" t="str">
        <f>'Keyword Master Database'!A197</f>
        <v>single tooth implant tampa</v>
      </c>
      <c r="B197" s="53">
        <v>4.0</v>
      </c>
      <c r="C197" s="54">
        <f>IF('Keyword Master Database'!H197&gt;=1000,5,IF('Keyword Master Database'!H197&gt;=500,4,IF('Keyword Master Database'!H197&gt;=200,3,IF('Keyword Master Database'!H197&gt;=80,2,1))))</f>
        <v>3</v>
      </c>
      <c r="D197" s="54">
        <f>IF('Keyword Master Database'!I197&lt;=20,5,IF('Keyword Master Database'!I197&lt;=35,4,IF('Keyword Master Database'!I197&lt;=50,3,IF('Keyword Master Database'!I197&lt;=65,2,1))))</f>
        <v>3</v>
      </c>
      <c r="E197" s="54">
        <f>IF('Keyword Master Database'!E197="Transactional",5,IF('Keyword Master Database'!E197="Commercial",4,IF('Keyword Master Database'!E197="Navigational",3,2)))</f>
        <v>5</v>
      </c>
      <c r="F197" s="53">
        <v>5.0</v>
      </c>
      <c r="G197" s="53">
        <v>4.0</v>
      </c>
      <c r="H197" s="55">
        <f t="shared" si="1"/>
        <v>3.95</v>
      </c>
      <c r="I197" s="56">
        <f t="shared" si="2"/>
        <v>79</v>
      </c>
      <c r="J197" s="54" t="str">
        <f t="shared" si="3"/>
        <v>High</v>
      </c>
      <c r="K197" s="8"/>
      <c r="L197" s="8"/>
      <c r="M197" s="8"/>
      <c r="N197" s="8"/>
    </row>
    <row r="198" ht="15.75" customHeight="1">
      <c r="A198" s="52" t="str">
        <f>'Keyword Master Database'!A198</f>
        <v>implant supported dentures tampa</v>
      </c>
      <c r="B198" s="53">
        <v>4.0</v>
      </c>
      <c r="C198" s="54">
        <f>IF('Keyword Master Database'!H198&gt;=1000,5,IF('Keyword Master Database'!H198&gt;=500,4,IF('Keyword Master Database'!H198&gt;=200,3,IF('Keyword Master Database'!H198&gt;=80,2,1))))</f>
        <v>2</v>
      </c>
      <c r="D198" s="54">
        <f>IF('Keyword Master Database'!I198&lt;=20,5,IF('Keyword Master Database'!I198&lt;=35,4,IF('Keyword Master Database'!I198&lt;=50,3,IF('Keyword Master Database'!I198&lt;=65,2,1))))</f>
        <v>3</v>
      </c>
      <c r="E198" s="54">
        <f>IF('Keyword Master Database'!E198="Transactional",5,IF('Keyword Master Database'!E198="Commercial",4,IF('Keyword Master Database'!E198="Navigational",3,2)))</f>
        <v>5</v>
      </c>
      <c r="F198" s="53">
        <v>5.0</v>
      </c>
      <c r="G198" s="53">
        <v>4.0</v>
      </c>
      <c r="H198" s="55">
        <f t="shared" si="1"/>
        <v>3.8</v>
      </c>
      <c r="I198" s="56">
        <f t="shared" si="2"/>
        <v>76</v>
      </c>
      <c r="J198" s="54" t="str">
        <f t="shared" si="3"/>
        <v>High</v>
      </c>
      <c r="K198" s="8"/>
      <c r="L198" s="8"/>
      <c r="M198" s="8"/>
      <c r="N198" s="8"/>
    </row>
    <row r="199" ht="15.75" customHeight="1">
      <c r="A199" s="52" t="str">
        <f>'Keyword Master Database'!A199</f>
        <v>root canal tampa</v>
      </c>
      <c r="B199" s="53">
        <v>3.0</v>
      </c>
      <c r="C199" s="54">
        <f>IF('Keyword Master Database'!H199&gt;=1000,5,IF('Keyword Master Database'!H199&gt;=500,4,IF('Keyword Master Database'!H199&gt;=200,3,IF('Keyword Master Database'!H199&gt;=80,2,1))))</f>
        <v>3</v>
      </c>
      <c r="D199" s="54">
        <f>IF('Keyword Master Database'!I199&lt;=20,5,IF('Keyword Master Database'!I199&lt;=35,4,IF('Keyword Master Database'!I199&lt;=50,3,IF('Keyword Master Database'!I199&lt;=65,2,1))))</f>
        <v>3</v>
      </c>
      <c r="E199" s="54">
        <f>IF('Keyword Master Database'!E199="Transactional",5,IF('Keyword Master Database'!E199="Commercial",4,IF('Keyword Master Database'!E199="Navigational",3,2)))</f>
        <v>5</v>
      </c>
      <c r="F199" s="53">
        <v>5.0</v>
      </c>
      <c r="G199" s="53">
        <v>3.0</v>
      </c>
      <c r="H199" s="55">
        <f t="shared" si="1"/>
        <v>3.6</v>
      </c>
      <c r="I199" s="56">
        <f t="shared" si="2"/>
        <v>72</v>
      </c>
      <c r="J199" s="54" t="str">
        <f t="shared" si="3"/>
        <v>Medium</v>
      </c>
      <c r="K199" s="8"/>
      <c r="L199" s="8"/>
      <c r="M199" s="8"/>
      <c r="N199" s="8"/>
    </row>
    <row r="200" ht="15.75" customHeight="1">
      <c r="A200" s="52" t="str">
        <f>'Keyword Master Database'!A200</f>
        <v>root canal dentist tampa</v>
      </c>
      <c r="B200" s="53">
        <v>3.0</v>
      </c>
      <c r="C200" s="54">
        <f>IF('Keyword Master Database'!H200&gt;=1000,5,IF('Keyword Master Database'!H200&gt;=500,4,IF('Keyword Master Database'!H200&gt;=200,3,IF('Keyword Master Database'!H200&gt;=80,2,1))))</f>
        <v>3</v>
      </c>
      <c r="D200" s="54">
        <f>IF('Keyword Master Database'!I200&lt;=20,5,IF('Keyword Master Database'!I200&lt;=35,4,IF('Keyword Master Database'!I200&lt;=50,3,IF('Keyword Master Database'!I200&lt;=65,2,1))))</f>
        <v>3</v>
      </c>
      <c r="E200" s="54">
        <f>IF('Keyword Master Database'!E200="Transactional",5,IF('Keyword Master Database'!E200="Commercial",4,IF('Keyword Master Database'!E200="Navigational",3,2)))</f>
        <v>5</v>
      </c>
      <c r="F200" s="53">
        <v>5.0</v>
      </c>
      <c r="G200" s="53">
        <v>3.0</v>
      </c>
      <c r="H200" s="55">
        <f t="shared" si="1"/>
        <v>3.6</v>
      </c>
      <c r="I200" s="56">
        <f t="shared" si="2"/>
        <v>72</v>
      </c>
      <c r="J200" s="54" t="str">
        <f t="shared" si="3"/>
        <v>Medium</v>
      </c>
      <c r="K200" s="8"/>
      <c r="L200" s="8"/>
      <c r="M200" s="8"/>
      <c r="N200" s="8"/>
    </row>
    <row r="201" ht="15.75" customHeight="1">
      <c r="A201" s="52" t="str">
        <f>'Keyword Master Database'!A201</f>
        <v>root canal near me</v>
      </c>
      <c r="B201" s="53">
        <v>3.0</v>
      </c>
      <c r="C201" s="54">
        <f>IF('Keyword Master Database'!H201&gt;=1000,5,IF('Keyword Master Database'!H201&gt;=500,4,IF('Keyword Master Database'!H201&gt;=200,3,IF('Keyword Master Database'!H201&gt;=80,2,1))))</f>
        <v>5</v>
      </c>
      <c r="D201" s="54">
        <f>IF('Keyword Master Database'!I201&lt;=20,5,IF('Keyword Master Database'!I201&lt;=35,4,IF('Keyword Master Database'!I201&lt;=50,3,IF('Keyword Master Database'!I201&lt;=65,2,1))))</f>
        <v>2</v>
      </c>
      <c r="E201" s="54">
        <f>IF('Keyword Master Database'!E201="Transactional",5,IF('Keyword Master Database'!E201="Commercial",4,IF('Keyword Master Database'!E201="Navigational",3,2)))</f>
        <v>5</v>
      </c>
      <c r="F201" s="53">
        <v>5.0</v>
      </c>
      <c r="G201" s="53">
        <v>3.0</v>
      </c>
      <c r="H201" s="55">
        <f t="shared" si="1"/>
        <v>3.7</v>
      </c>
      <c r="I201" s="56">
        <f t="shared" si="2"/>
        <v>74</v>
      </c>
      <c r="J201" s="54" t="str">
        <f t="shared" si="3"/>
        <v>Medium</v>
      </c>
      <c r="K201" s="8"/>
      <c r="L201" s="8"/>
      <c r="M201" s="8"/>
      <c r="N201" s="8"/>
    </row>
    <row r="202" ht="15.75" customHeight="1">
      <c r="A202" s="52" t="str">
        <f>'Keyword Master Database'!A202</f>
        <v>tooth extraction tampa</v>
      </c>
      <c r="B202" s="53">
        <v>3.0</v>
      </c>
      <c r="C202" s="54">
        <f>IF('Keyword Master Database'!H202&gt;=1000,5,IF('Keyword Master Database'!H202&gt;=500,4,IF('Keyword Master Database'!H202&gt;=200,3,IF('Keyword Master Database'!H202&gt;=80,2,1))))</f>
        <v>3</v>
      </c>
      <c r="D202" s="54">
        <f>IF('Keyword Master Database'!I202&lt;=20,5,IF('Keyword Master Database'!I202&lt;=35,4,IF('Keyword Master Database'!I202&lt;=50,3,IF('Keyword Master Database'!I202&lt;=65,2,1))))</f>
        <v>3</v>
      </c>
      <c r="E202" s="54">
        <f>IF('Keyword Master Database'!E202="Transactional",5,IF('Keyword Master Database'!E202="Commercial",4,IF('Keyword Master Database'!E202="Navigational",3,2)))</f>
        <v>5</v>
      </c>
      <c r="F202" s="53">
        <v>5.0</v>
      </c>
      <c r="G202" s="53">
        <v>3.0</v>
      </c>
      <c r="H202" s="55">
        <f t="shared" si="1"/>
        <v>3.6</v>
      </c>
      <c r="I202" s="56">
        <f t="shared" si="2"/>
        <v>72</v>
      </c>
      <c r="J202" s="54" t="str">
        <f t="shared" si="3"/>
        <v>Medium</v>
      </c>
      <c r="K202" s="8"/>
      <c r="L202" s="8"/>
      <c r="M202" s="8"/>
      <c r="N202" s="8"/>
    </row>
    <row r="203" ht="15.75" customHeight="1">
      <c r="A203" s="52" t="str">
        <f>'Keyword Master Database'!A203</f>
        <v>tooth extraction near me</v>
      </c>
      <c r="B203" s="53">
        <v>3.0</v>
      </c>
      <c r="C203" s="54">
        <f>IF('Keyword Master Database'!H203&gt;=1000,5,IF('Keyword Master Database'!H203&gt;=500,4,IF('Keyword Master Database'!H203&gt;=200,3,IF('Keyword Master Database'!H203&gt;=80,2,1))))</f>
        <v>4</v>
      </c>
      <c r="D203" s="54">
        <f>IF('Keyword Master Database'!I203&lt;=20,5,IF('Keyword Master Database'!I203&lt;=35,4,IF('Keyword Master Database'!I203&lt;=50,3,IF('Keyword Master Database'!I203&lt;=65,2,1))))</f>
        <v>3</v>
      </c>
      <c r="E203" s="54">
        <f>IF('Keyword Master Database'!E203="Transactional",5,IF('Keyword Master Database'!E203="Commercial",4,IF('Keyword Master Database'!E203="Navigational",3,2)))</f>
        <v>5</v>
      </c>
      <c r="F203" s="53">
        <v>5.0</v>
      </c>
      <c r="G203" s="53">
        <v>3.0</v>
      </c>
      <c r="H203" s="55">
        <f t="shared" si="1"/>
        <v>3.75</v>
      </c>
      <c r="I203" s="56">
        <f t="shared" si="2"/>
        <v>75</v>
      </c>
      <c r="J203" s="54" t="str">
        <f t="shared" si="3"/>
        <v>High</v>
      </c>
      <c r="K203" s="8"/>
      <c r="L203" s="8"/>
      <c r="M203" s="8"/>
      <c r="N203" s="8"/>
    </row>
    <row r="204" ht="15.75" customHeight="1">
      <c r="A204" s="52" t="str">
        <f>'Keyword Master Database'!A204</f>
        <v>tooth removal dentist tampa</v>
      </c>
      <c r="B204" s="53">
        <v>3.0</v>
      </c>
      <c r="C204" s="54">
        <f>IF('Keyword Master Database'!H204&gt;=1000,5,IF('Keyword Master Database'!H204&gt;=500,4,IF('Keyword Master Database'!H204&gt;=200,3,IF('Keyword Master Database'!H204&gt;=80,2,1))))</f>
        <v>2</v>
      </c>
      <c r="D204" s="54">
        <f>IF('Keyword Master Database'!I204&lt;=20,5,IF('Keyword Master Database'!I204&lt;=35,4,IF('Keyword Master Database'!I204&lt;=50,3,IF('Keyword Master Database'!I204&lt;=65,2,1))))</f>
        <v>4</v>
      </c>
      <c r="E204" s="54">
        <f>IF('Keyword Master Database'!E204="Transactional",5,IF('Keyword Master Database'!E204="Commercial",4,IF('Keyword Master Database'!E204="Navigational",3,2)))</f>
        <v>5</v>
      </c>
      <c r="F204" s="53">
        <v>5.0</v>
      </c>
      <c r="G204" s="53">
        <v>3.0</v>
      </c>
      <c r="H204" s="55">
        <f t="shared" si="1"/>
        <v>3.65</v>
      </c>
      <c r="I204" s="56">
        <f t="shared" si="2"/>
        <v>73</v>
      </c>
      <c r="J204" s="54" t="str">
        <f t="shared" si="3"/>
        <v>Medium</v>
      </c>
      <c r="K204" s="8"/>
      <c r="L204" s="8"/>
      <c r="M204" s="8"/>
      <c r="N204" s="8"/>
    </row>
    <row r="205" ht="15.75" customHeight="1">
      <c r="A205" s="52" t="str">
        <f>'Keyword Master Database'!A205</f>
        <v>how much does a dentist visit cost in tampa</v>
      </c>
      <c r="B205" s="53">
        <v>3.0</v>
      </c>
      <c r="C205" s="54">
        <f>IF('Keyword Master Database'!H205&gt;=1000,5,IF('Keyword Master Database'!H205&gt;=500,4,IF('Keyword Master Database'!H205&gt;=200,3,IF('Keyword Master Database'!H205&gt;=80,2,1))))</f>
        <v>1</v>
      </c>
      <c r="D205" s="54">
        <f>IF('Keyword Master Database'!I205&lt;=20,5,IF('Keyword Master Database'!I205&lt;=35,4,IF('Keyword Master Database'!I205&lt;=50,3,IF('Keyword Master Database'!I205&lt;=65,2,1))))</f>
        <v>4</v>
      </c>
      <c r="E205" s="54">
        <f>IF('Keyword Master Database'!E205="Transactional",5,IF('Keyword Master Database'!E205="Commercial",4,IF('Keyword Master Database'!E205="Navigational",3,2)))</f>
        <v>4</v>
      </c>
      <c r="F205" s="53">
        <v>3.0</v>
      </c>
      <c r="G205" s="53">
        <v>3.0</v>
      </c>
      <c r="H205" s="55">
        <f t="shared" si="1"/>
        <v>3.05</v>
      </c>
      <c r="I205" s="56">
        <f t="shared" si="2"/>
        <v>61</v>
      </c>
      <c r="J205" s="54" t="str">
        <f t="shared" si="3"/>
        <v>Medium</v>
      </c>
      <c r="K205" s="8"/>
      <c r="L205" s="8"/>
      <c r="M205" s="8"/>
      <c r="N205" s="8"/>
    </row>
    <row r="206" ht="15.75" customHeight="1">
      <c r="A206" s="52" t="str">
        <f>'Keyword Master Database'!A206</f>
        <v>dental exam and x-ray cost</v>
      </c>
      <c r="B206" s="53">
        <v>3.0</v>
      </c>
      <c r="C206" s="54">
        <f>IF('Keyword Master Database'!H206&gt;=1000,5,IF('Keyword Master Database'!H206&gt;=500,4,IF('Keyword Master Database'!H206&gt;=200,3,IF('Keyword Master Database'!H206&gt;=80,2,1))))</f>
        <v>4</v>
      </c>
      <c r="D206" s="54">
        <f>IF('Keyword Master Database'!I206&lt;=20,5,IF('Keyword Master Database'!I206&lt;=35,4,IF('Keyword Master Database'!I206&lt;=50,3,IF('Keyword Master Database'!I206&lt;=65,2,1))))</f>
        <v>4</v>
      </c>
      <c r="E206" s="54">
        <f>IF('Keyword Master Database'!E206="Transactional",5,IF('Keyword Master Database'!E206="Commercial",4,IF('Keyword Master Database'!E206="Navigational",3,2)))</f>
        <v>4</v>
      </c>
      <c r="F206" s="53">
        <v>3.0</v>
      </c>
      <c r="G206" s="53">
        <v>3.0</v>
      </c>
      <c r="H206" s="55">
        <f t="shared" si="1"/>
        <v>3.5</v>
      </c>
      <c r="I206" s="56">
        <f t="shared" si="2"/>
        <v>70</v>
      </c>
      <c r="J206" s="54" t="str">
        <f t="shared" si="3"/>
        <v>Medium</v>
      </c>
      <c r="K206" s="8"/>
      <c r="L206" s="8"/>
      <c r="M206" s="8"/>
      <c r="N206" s="8"/>
    </row>
    <row r="207" ht="15.75" customHeight="1">
      <c r="A207" s="52" t="str">
        <f>'Keyword Master Database'!A207</f>
        <v>teeth cleaning cost without insurance</v>
      </c>
      <c r="B207" s="53">
        <v>3.0</v>
      </c>
      <c r="C207" s="54">
        <f>IF('Keyword Master Database'!H207&gt;=1000,5,IF('Keyword Master Database'!H207&gt;=500,4,IF('Keyword Master Database'!H207&gt;=200,3,IF('Keyword Master Database'!H207&gt;=80,2,1))))</f>
        <v>5</v>
      </c>
      <c r="D207" s="54">
        <f>IF('Keyword Master Database'!I207&lt;=20,5,IF('Keyword Master Database'!I207&lt;=35,4,IF('Keyword Master Database'!I207&lt;=50,3,IF('Keyword Master Database'!I207&lt;=65,2,1))))</f>
        <v>3</v>
      </c>
      <c r="E207" s="54">
        <f>IF('Keyword Master Database'!E207="Transactional",5,IF('Keyword Master Database'!E207="Commercial",4,IF('Keyword Master Database'!E207="Navigational",3,2)))</f>
        <v>4</v>
      </c>
      <c r="F207" s="53">
        <v>3.0</v>
      </c>
      <c r="G207" s="53">
        <v>3.0</v>
      </c>
      <c r="H207" s="55">
        <f t="shared" si="1"/>
        <v>3.45</v>
      </c>
      <c r="I207" s="56">
        <f t="shared" si="2"/>
        <v>69</v>
      </c>
      <c r="J207" s="54" t="str">
        <f t="shared" si="3"/>
        <v>Medium</v>
      </c>
      <c r="K207" s="8"/>
      <c r="L207" s="8"/>
      <c r="M207" s="8"/>
      <c r="N207" s="8"/>
    </row>
    <row r="208" ht="15.75" customHeight="1">
      <c r="A208" s="52" t="str">
        <f>'Keyword Master Database'!A208</f>
        <v>dentist cost without insurance</v>
      </c>
      <c r="B208" s="53">
        <v>3.0</v>
      </c>
      <c r="C208" s="54">
        <f>IF('Keyword Master Database'!H208&gt;=1000,5,IF('Keyword Master Database'!H208&gt;=500,4,IF('Keyword Master Database'!H208&gt;=200,3,IF('Keyword Master Database'!H208&gt;=80,2,1))))</f>
        <v>5</v>
      </c>
      <c r="D208" s="54">
        <f>IF('Keyword Master Database'!I208&lt;=20,5,IF('Keyword Master Database'!I208&lt;=35,4,IF('Keyword Master Database'!I208&lt;=50,3,IF('Keyword Master Database'!I208&lt;=65,2,1))))</f>
        <v>4</v>
      </c>
      <c r="E208" s="54">
        <f>IF('Keyword Master Database'!E208="Transactional",5,IF('Keyword Master Database'!E208="Commercial",4,IF('Keyword Master Database'!E208="Navigational",3,2)))</f>
        <v>4</v>
      </c>
      <c r="F208" s="53">
        <v>3.0</v>
      </c>
      <c r="G208" s="53">
        <v>3.0</v>
      </c>
      <c r="H208" s="55">
        <f t="shared" si="1"/>
        <v>3.65</v>
      </c>
      <c r="I208" s="56">
        <f t="shared" si="2"/>
        <v>73</v>
      </c>
      <c r="J208" s="54" t="str">
        <f t="shared" si="3"/>
        <v>Medium</v>
      </c>
      <c r="K208" s="8"/>
      <c r="L208" s="8"/>
      <c r="M208" s="8"/>
      <c r="N208" s="8"/>
    </row>
    <row r="209" ht="15.75" customHeight="1">
      <c r="A209" s="52" t="str">
        <f>'Keyword Master Database'!A209</f>
        <v>dental prices tampa</v>
      </c>
      <c r="B209" s="53">
        <v>3.0</v>
      </c>
      <c r="C209" s="54">
        <f>IF('Keyword Master Database'!H209&gt;=1000,5,IF('Keyword Master Database'!H209&gt;=500,4,IF('Keyword Master Database'!H209&gt;=200,3,IF('Keyword Master Database'!H209&gt;=80,2,1))))</f>
        <v>2</v>
      </c>
      <c r="D209" s="54">
        <f>IF('Keyword Master Database'!I209&lt;=20,5,IF('Keyword Master Database'!I209&lt;=35,4,IF('Keyword Master Database'!I209&lt;=50,3,IF('Keyword Master Database'!I209&lt;=65,2,1))))</f>
        <v>4</v>
      </c>
      <c r="E209" s="54">
        <f>IF('Keyword Master Database'!E209="Transactional",5,IF('Keyword Master Database'!E209="Commercial",4,IF('Keyword Master Database'!E209="Navigational",3,2)))</f>
        <v>4</v>
      </c>
      <c r="F209" s="53">
        <v>3.0</v>
      </c>
      <c r="G209" s="53">
        <v>3.0</v>
      </c>
      <c r="H209" s="55">
        <f t="shared" si="1"/>
        <v>3.2</v>
      </c>
      <c r="I209" s="56">
        <f t="shared" si="2"/>
        <v>64</v>
      </c>
      <c r="J209" s="54" t="str">
        <f t="shared" si="3"/>
        <v>Medium</v>
      </c>
      <c r="K209" s="8"/>
      <c r="L209" s="8"/>
      <c r="M209" s="8"/>
      <c r="N209" s="8"/>
    </row>
    <row r="210" ht="15.75" customHeight="1">
      <c r="A210" s="52" t="str">
        <f>'Keyword Master Database'!A210</f>
        <v>average cost of dental treatment</v>
      </c>
      <c r="B210" s="53">
        <v>3.0</v>
      </c>
      <c r="C210" s="54">
        <f>IF('Keyword Master Database'!H210&gt;=1000,5,IF('Keyword Master Database'!H210&gt;=500,4,IF('Keyword Master Database'!H210&gt;=200,3,IF('Keyword Master Database'!H210&gt;=80,2,1))))</f>
        <v>3</v>
      </c>
      <c r="D210" s="54">
        <f>IF('Keyword Master Database'!I210&lt;=20,5,IF('Keyword Master Database'!I210&lt;=35,4,IF('Keyword Master Database'!I210&lt;=50,3,IF('Keyword Master Database'!I210&lt;=65,2,1))))</f>
        <v>4</v>
      </c>
      <c r="E210" s="54">
        <f>IF('Keyword Master Database'!E210="Transactional",5,IF('Keyword Master Database'!E210="Commercial",4,IF('Keyword Master Database'!E210="Navigational",3,2)))</f>
        <v>4</v>
      </c>
      <c r="F210" s="53">
        <v>3.0</v>
      </c>
      <c r="G210" s="53">
        <v>3.0</v>
      </c>
      <c r="H210" s="55">
        <f t="shared" si="1"/>
        <v>3.35</v>
      </c>
      <c r="I210" s="56">
        <f t="shared" si="2"/>
        <v>67</v>
      </c>
      <c r="J210" s="54" t="str">
        <f t="shared" si="3"/>
        <v>Medium</v>
      </c>
      <c r="K210" s="8"/>
      <c r="L210" s="8"/>
      <c r="M210" s="8"/>
      <c r="N210" s="8"/>
    </row>
    <row r="211" ht="15.75" customHeight="1">
      <c r="A211" s="52" t="str">
        <f>'Keyword Master Database'!A211</f>
        <v>gentle dentist tampa</v>
      </c>
      <c r="B211" s="53">
        <v>3.0</v>
      </c>
      <c r="C211" s="54">
        <f>IF('Keyword Master Database'!H211&gt;=1000,5,IF('Keyword Master Database'!H211&gt;=500,4,IF('Keyword Master Database'!H211&gt;=200,3,IF('Keyword Master Database'!H211&gt;=80,2,1))))</f>
        <v>3</v>
      </c>
      <c r="D211" s="54">
        <f>IF('Keyword Master Database'!I211&lt;=20,5,IF('Keyword Master Database'!I211&lt;=35,4,IF('Keyword Master Database'!I211&lt;=50,3,IF('Keyword Master Database'!I211&lt;=65,2,1))))</f>
        <v>3</v>
      </c>
      <c r="E211" s="54">
        <f>IF('Keyword Master Database'!E211="Transactional",5,IF('Keyword Master Database'!E211="Commercial",4,IF('Keyword Master Database'!E211="Navigational",3,2)))</f>
        <v>4</v>
      </c>
      <c r="F211" s="53">
        <v>3.0</v>
      </c>
      <c r="G211" s="53">
        <v>3.0</v>
      </c>
      <c r="H211" s="55">
        <f t="shared" si="1"/>
        <v>3.15</v>
      </c>
      <c r="I211" s="56">
        <f t="shared" si="2"/>
        <v>63</v>
      </c>
      <c r="J211" s="54" t="str">
        <f t="shared" si="3"/>
        <v>Medium</v>
      </c>
      <c r="K211" s="8"/>
      <c r="L211" s="8"/>
      <c r="M211" s="8"/>
      <c r="N211" s="8"/>
    </row>
    <row r="212" ht="15.75" customHeight="1">
      <c r="A212" s="52" t="str">
        <f>'Keyword Master Database'!A212</f>
        <v>painless dentist tampa</v>
      </c>
      <c r="B212" s="53">
        <v>3.0</v>
      </c>
      <c r="C212" s="54">
        <f>IF('Keyword Master Database'!H212&gt;=1000,5,IF('Keyword Master Database'!H212&gt;=500,4,IF('Keyword Master Database'!H212&gt;=200,3,IF('Keyword Master Database'!H212&gt;=80,2,1))))</f>
        <v>3</v>
      </c>
      <c r="D212" s="54">
        <f>IF('Keyword Master Database'!I212&lt;=20,5,IF('Keyword Master Database'!I212&lt;=35,4,IF('Keyword Master Database'!I212&lt;=50,3,IF('Keyword Master Database'!I212&lt;=65,2,1))))</f>
        <v>3</v>
      </c>
      <c r="E212" s="54">
        <f>IF('Keyword Master Database'!E212="Transactional",5,IF('Keyword Master Database'!E212="Commercial",4,IF('Keyword Master Database'!E212="Navigational",3,2)))</f>
        <v>4</v>
      </c>
      <c r="F212" s="53">
        <v>3.0</v>
      </c>
      <c r="G212" s="53">
        <v>3.0</v>
      </c>
      <c r="H212" s="55">
        <f t="shared" si="1"/>
        <v>3.15</v>
      </c>
      <c r="I212" s="56">
        <f t="shared" si="2"/>
        <v>63</v>
      </c>
      <c r="J212" s="54" t="str">
        <f t="shared" si="3"/>
        <v>Medium</v>
      </c>
      <c r="K212" s="8"/>
      <c r="L212" s="8"/>
      <c r="M212" s="8"/>
      <c r="N212" s="8"/>
    </row>
    <row r="213" ht="15.75" customHeight="1">
      <c r="A213" s="52" t="str">
        <f>'Keyword Master Database'!A213</f>
        <v>dentist for anxious patients tampa</v>
      </c>
      <c r="B213" s="53">
        <v>3.0</v>
      </c>
      <c r="C213" s="54">
        <f>IF('Keyword Master Database'!H213&gt;=1000,5,IF('Keyword Master Database'!H213&gt;=500,4,IF('Keyword Master Database'!H213&gt;=200,3,IF('Keyword Master Database'!H213&gt;=80,2,1))))</f>
        <v>2</v>
      </c>
      <c r="D213" s="54">
        <f>IF('Keyword Master Database'!I213&lt;=20,5,IF('Keyword Master Database'!I213&lt;=35,4,IF('Keyword Master Database'!I213&lt;=50,3,IF('Keyword Master Database'!I213&lt;=65,2,1))))</f>
        <v>4</v>
      </c>
      <c r="E213" s="54">
        <f>IF('Keyword Master Database'!E213="Transactional",5,IF('Keyword Master Database'!E213="Commercial",4,IF('Keyword Master Database'!E213="Navigational",3,2)))</f>
        <v>5</v>
      </c>
      <c r="F213" s="53">
        <v>5.0</v>
      </c>
      <c r="G213" s="53">
        <v>3.0</v>
      </c>
      <c r="H213" s="55">
        <f t="shared" si="1"/>
        <v>3.65</v>
      </c>
      <c r="I213" s="56">
        <f t="shared" si="2"/>
        <v>73</v>
      </c>
      <c r="J213" s="54" t="str">
        <f t="shared" si="3"/>
        <v>Medium</v>
      </c>
      <c r="K213" s="8"/>
      <c r="L213" s="8"/>
      <c r="M213" s="8"/>
      <c r="N213" s="8"/>
    </row>
    <row r="214" ht="15.75" customHeight="1">
      <c r="A214" s="52" t="str">
        <f>'Keyword Master Database'!A214</f>
        <v>comfortable dental care tampa</v>
      </c>
      <c r="B214" s="53">
        <v>3.0</v>
      </c>
      <c r="C214" s="54">
        <f>IF('Keyword Master Database'!H214&gt;=1000,5,IF('Keyword Master Database'!H214&gt;=500,4,IF('Keyword Master Database'!H214&gt;=200,3,IF('Keyword Master Database'!H214&gt;=80,2,1))))</f>
        <v>1</v>
      </c>
      <c r="D214" s="54">
        <f>IF('Keyword Master Database'!I214&lt;=20,5,IF('Keyword Master Database'!I214&lt;=35,4,IF('Keyword Master Database'!I214&lt;=50,3,IF('Keyword Master Database'!I214&lt;=65,2,1))))</f>
        <v>5</v>
      </c>
      <c r="E214" s="54">
        <f>IF('Keyword Master Database'!E214="Transactional",5,IF('Keyword Master Database'!E214="Commercial",4,IF('Keyword Master Database'!E214="Navigational",3,2)))</f>
        <v>4</v>
      </c>
      <c r="F214" s="53">
        <v>3.0</v>
      </c>
      <c r="G214" s="53">
        <v>3.0</v>
      </c>
      <c r="H214" s="55">
        <f t="shared" si="1"/>
        <v>3.25</v>
      </c>
      <c r="I214" s="56">
        <f t="shared" si="2"/>
        <v>65</v>
      </c>
      <c r="J214" s="54" t="str">
        <f t="shared" si="3"/>
        <v>Medium</v>
      </c>
      <c r="K214" s="8"/>
      <c r="L214" s="8"/>
      <c r="M214" s="8"/>
      <c r="N214" s="8"/>
    </row>
    <row r="215" ht="15.75" customHeight="1">
      <c r="A215" s="52" t="str">
        <f>'Keyword Master Database'!A215</f>
        <v>dentist for nervous patients near me</v>
      </c>
      <c r="B215" s="53">
        <v>3.0</v>
      </c>
      <c r="C215" s="54">
        <f>IF('Keyword Master Database'!H215&gt;=1000,5,IF('Keyword Master Database'!H215&gt;=500,4,IF('Keyword Master Database'!H215&gt;=200,3,IF('Keyword Master Database'!H215&gt;=80,2,1))))</f>
        <v>4</v>
      </c>
      <c r="D215" s="54">
        <f>IF('Keyword Master Database'!I215&lt;=20,5,IF('Keyword Master Database'!I215&lt;=35,4,IF('Keyword Master Database'!I215&lt;=50,3,IF('Keyword Master Database'!I215&lt;=65,2,1))))</f>
        <v>3</v>
      </c>
      <c r="E215" s="54">
        <f>IF('Keyword Master Database'!E215="Transactional",5,IF('Keyword Master Database'!E215="Commercial",4,IF('Keyword Master Database'!E215="Navigational",3,2)))</f>
        <v>5</v>
      </c>
      <c r="F215" s="53">
        <v>5.0</v>
      </c>
      <c r="G215" s="53">
        <v>3.0</v>
      </c>
      <c r="H215" s="55">
        <f t="shared" si="1"/>
        <v>3.75</v>
      </c>
      <c r="I215" s="56">
        <f t="shared" si="2"/>
        <v>75</v>
      </c>
      <c r="J215" s="54" t="str">
        <f t="shared" si="3"/>
        <v>High</v>
      </c>
      <c r="K215" s="8"/>
      <c r="L215" s="8"/>
      <c r="M215" s="8"/>
      <c r="N215" s="8"/>
    </row>
    <row r="216" ht="15.75" customHeight="1">
      <c r="A216" s="52" t="str">
        <f>'Keyword Master Database'!A216</f>
        <v>dental anxiety tips</v>
      </c>
      <c r="B216" s="53">
        <v>2.0</v>
      </c>
      <c r="C216" s="54">
        <f>IF('Keyword Master Database'!H216&gt;=1000,5,IF('Keyword Master Database'!H216&gt;=500,4,IF('Keyword Master Database'!H216&gt;=200,3,IF('Keyword Master Database'!H216&gt;=80,2,1))))</f>
        <v>5</v>
      </c>
      <c r="D216" s="54">
        <f>IF('Keyword Master Database'!I216&lt;=20,5,IF('Keyword Master Database'!I216&lt;=35,4,IF('Keyword Master Database'!I216&lt;=50,3,IF('Keyword Master Database'!I216&lt;=65,2,1))))</f>
        <v>4</v>
      </c>
      <c r="E216" s="54">
        <f>IF('Keyword Master Database'!E216="Transactional",5,IF('Keyword Master Database'!E216="Commercial",4,IF('Keyword Master Database'!E216="Navigational",3,2)))</f>
        <v>2</v>
      </c>
      <c r="F216" s="53">
        <v>1.0</v>
      </c>
      <c r="G216" s="53">
        <v>3.0</v>
      </c>
      <c r="H216" s="55">
        <f t="shared" si="1"/>
        <v>2.8</v>
      </c>
      <c r="I216" s="56">
        <f t="shared" si="2"/>
        <v>56</v>
      </c>
      <c r="J216" s="54" t="str">
        <f t="shared" si="3"/>
        <v>Low</v>
      </c>
      <c r="K216" s="8"/>
      <c r="L216" s="8"/>
      <c r="M216" s="8"/>
      <c r="N216" s="8"/>
    </row>
    <row r="217" ht="15.75" customHeight="1">
      <c r="A217" s="52" t="str">
        <f>'Keyword Master Database'!A217</f>
        <v>how to calm nerves before dentist</v>
      </c>
      <c r="B217" s="53">
        <v>2.0</v>
      </c>
      <c r="C217" s="54">
        <f>IF('Keyword Master Database'!H217&gt;=1000,5,IF('Keyword Master Database'!H217&gt;=500,4,IF('Keyword Master Database'!H217&gt;=200,3,IF('Keyword Master Database'!H217&gt;=80,2,1))))</f>
        <v>5</v>
      </c>
      <c r="D217" s="54">
        <f>IF('Keyword Master Database'!I217&lt;=20,5,IF('Keyword Master Database'!I217&lt;=35,4,IF('Keyword Master Database'!I217&lt;=50,3,IF('Keyword Master Database'!I217&lt;=65,2,1))))</f>
        <v>5</v>
      </c>
      <c r="E217" s="54">
        <f>IF('Keyword Master Database'!E217="Transactional",5,IF('Keyword Master Database'!E217="Commercial",4,IF('Keyword Master Database'!E217="Navigational",3,2)))</f>
        <v>2</v>
      </c>
      <c r="F217" s="53">
        <v>1.0</v>
      </c>
      <c r="G217" s="53">
        <v>3.0</v>
      </c>
      <c r="H217" s="55">
        <f t="shared" si="1"/>
        <v>3</v>
      </c>
      <c r="I217" s="56">
        <f t="shared" si="2"/>
        <v>60</v>
      </c>
      <c r="J217" s="54" t="str">
        <f t="shared" si="3"/>
        <v>Medium</v>
      </c>
      <c r="K217" s="8"/>
      <c r="L217" s="8"/>
      <c r="M217" s="8"/>
      <c r="N217" s="8"/>
    </row>
    <row r="218" ht="15.75" customHeight="1">
      <c r="A218" s="52" t="str">
        <f>'Keyword Master Database'!A218</f>
        <v>afraid of the dentist what to do</v>
      </c>
      <c r="B218" s="53">
        <v>2.0</v>
      </c>
      <c r="C218" s="54">
        <f>IF('Keyword Master Database'!H218&gt;=1000,5,IF('Keyword Master Database'!H218&gt;=500,4,IF('Keyword Master Database'!H218&gt;=200,3,IF('Keyword Master Database'!H218&gt;=80,2,1))))</f>
        <v>5</v>
      </c>
      <c r="D218" s="54">
        <f>IF('Keyword Master Database'!I218&lt;=20,5,IF('Keyword Master Database'!I218&lt;=35,4,IF('Keyword Master Database'!I218&lt;=50,3,IF('Keyword Master Database'!I218&lt;=65,2,1))))</f>
        <v>4</v>
      </c>
      <c r="E218" s="54">
        <f>IF('Keyword Master Database'!E218="Transactional",5,IF('Keyword Master Database'!E218="Commercial",4,IF('Keyword Master Database'!E218="Navigational",3,2)))</f>
        <v>2</v>
      </c>
      <c r="F218" s="53">
        <v>1.0</v>
      </c>
      <c r="G218" s="53">
        <v>3.0</v>
      </c>
      <c r="H218" s="55">
        <f t="shared" si="1"/>
        <v>2.8</v>
      </c>
      <c r="I218" s="56">
        <f t="shared" si="2"/>
        <v>56</v>
      </c>
      <c r="J218" s="54" t="str">
        <f t="shared" si="3"/>
        <v>Low</v>
      </c>
      <c r="K218" s="8"/>
      <c r="L218" s="8"/>
      <c r="M218" s="8"/>
      <c r="N218" s="8"/>
    </row>
    <row r="219" ht="15.75" customHeight="1">
      <c r="A219" s="52" t="str">
        <f>'Keyword Master Database'!A219</f>
        <v>restorative dentistry tampa</v>
      </c>
      <c r="B219" s="53">
        <v>4.0</v>
      </c>
      <c r="C219" s="54">
        <f>IF('Keyword Master Database'!H219&gt;=1000,5,IF('Keyword Master Database'!H219&gt;=500,4,IF('Keyword Master Database'!H219&gt;=200,3,IF('Keyword Master Database'!H219&gt;=80,2,1))))</f>
        <v>3</v>
      </c>
      <c r="D219" s="54">
        <f>IF('Keyword Master Database'!I219&lt;=20,5,IF('Keyword Master Database'!I219&lt;=35,4,IF('Keyword Master Database'!I219&lt;=50,3,IF('Keyword Master Database'!I219&lt;=65,2,1))))</f>
        <v>4</v>
      </c>
      <c r="E219" s="54">
        <f>IF('Keyword Master Database'!E219="Transactional",5,IF('Keyword Master Database'!E219="Commercial",4,IF('Keyword Master Database'!E219="Navigational",3,2)))</f>
        <v>5</v>
      </c>
      <c r="F219" s="53">
        <v>5.0</v>
      </c>
      <c r="G219" s="53">
        <v>5.0</v>
      </c>
      <c r="H219" s="55">
        <f t="shared" si="1"/>
        <v>4.25</v>
      </c>
      <c r="I219" s="56">
        <f t="shared" si="2"/>
        <v>85</v>
      </c>
      <c r="J219" s="54" t="str">
        <f t="shared" si="3"/>
        <v>High</v>
      </c>
      <c r="K219" s="8"/>
      <c r="L219" s="8"/>
      <c r="M219" s="8"/>
      <c r="N219" s="8"/>
    </row>
    <row r="220" ht="15.75" customHeight="1">
      <c r="A220" s="52" t="str">
        <f>'Keyword Master Database'!A220</f>
        <v>restorative dentist tampa</v>
      </c>
      <c r="B220" s="53">
        <v>4.0</v>
      </c>
      <c r="C220" s="54">
        <f>IF('Keyword Master Database'!H220&gt;=1000,5,IF('Keyword Master Database'!H220&gt;=500,4,IF('Keyword Master Database'!H220&gt;=200,3,IF('Keyword Master Database'!H220&gt;=80,2,1))))</f>
        <v>2</v>
      </c>
      <c r="D220" s="54">
        <f>IF('Keyword Master Database'!I220&lt;=20,5,IF('Keyword Master Database'!I220&lt;=35,4,IF('Keyword Master Database'!I220&lt;=50,3,IF('Keyword Master Database'!I220&lt;=65,2,1))))</f>
        <v>4</v>
      </c>
      <c r="E220" s="54">
        <f>IF('Keyword Master Database'!E220="Transactional",5,IF('Keyword Master Database'!E220="Commercial",4,IF('Keyword Master Database'!E220="Navigational",3,2)))</f>
        <v>5</v>
      </c>
      <c r="F220" s="53">
        <v>5.0</v>
      </c>
      <c r="G220" s="53">
        <v>5.0</v>
      </c>
      <c r="H220" s="55">
        <f t="shared" si="1"/>
        <v>4.1</v>
      </c>
      <c r="I220" s="56">
        <f t="shared" si="2"/>
        <v>82</v>
      </c>
      <c r="J220" s="54" t="str">
        <f t="shared" si="3"/>
        <v>High</v>
      </c>
      <c r="K220" s="8"/>
      <c r="L220" s="8"/>
      <c r="M220" s="8"/>
      <c r="N220" s="8"/>
    </row>
    <row r="221" ht="15.75" customHeight="1">
      <c r="A221" s="52" t="str">
        <f>'Keyword Master Database'!A221</f>
        <v>dental restoration services tampa</v>
      </c>
      <c r="B221" s="53">
        <v>4.0</v>
      </c>
      <c r="C221" s="54">
        <f>IF('Keyword Master Database'!H221&gt;=1000,5,IF('Keyword Master Database'!H221&gt;=500,4,IF('Keyword Master Database'!H221&gt;=200,3,IF('Keyword Master Database'!H221&gt;=80,2,1))))</f>
        <v>1</v>
      </c>
      <c r="D221" s="54">
        <f>IF('Keyword Master Database'!I221&lt;=20,5,IF('Keyword Master Database'!I221&lt;=35,4,IF('Keyword Master Database'!I221&lt;=50,3,IF('Keyword Master Database'!I221&lt;=65,2,1))))</f>
        <v>4</v>
      </c>
      <c r="E221" s="54">
        <f>IF('Keyword Master Database'!E221="Transactional",5,IF('Keyword Master Database'!E221="Commercial",4,IF('Keyword Master Database'!E221="Navigational",3,2)))</f>
        <v>5</v>
      </c>
      <c r="F221" s="53">
        <v>5.0</v>
      </c>
      <c r="G221" s="53">
        <v>5.0</v>
      </c>
      <c r="H221" s="55">
        <f t="shared" si="1"/>
        <v>3.95</v>
      </c>
      <c r="I221" s="56">
        <f t="shared" si="2"/>
        <v>79</v>
      </c>
      <c r="J221" s="54" t="str">
        <f t="shared" si="3"/>
        <v>High</v>
      </c>
      <c r="K221" s="8"/>
      <c r="L221" s="8"/>
      <c r="M221" s="8"/>
      <c r="N221" s="8"/>
    </row>
    <row r="222" ht="15.75" customHeight="1">
      <c r="A222" s="52" t="str">
        <f>'Keyword Master Database'!A222</f>
        <v>preventive dentistry tampa</v>
      </c>
      <c r="B222" s="53">
        <v>3.0</v>
      </c>
      <c r="C222" s="54">
        <f>IF('Keyword Master Database'!H222&gt;=1000,5,IF('Keyword Master Database'!H222&gt;=500,4,IF('Keyword Master Database'!H222&gt;=200,3,IF('Keyword Master Database'!H222&gt;=80,2,1))))</f>
        <v>2</v>
      </c>
      <c r="D222" s="54">
        <f>IF('Keyword Master Database'!I222&lt;=20,5,IF('Keyword Master Database'!I222&lt;=35,4,IF('Keyword Master Database'!I222&lt;=50,3,IF('Keyword Master Database'!I222&lt;=65,2,1))))</f>
        <v>4</v>
      </c>
      <c r="E222" s="54">
        <f>IF('Keyword Master Database'!E222="Transactional",5,IF('Keyword Master Database'!E222="Commercial",4,IF('Keyword Master Database'!E222="Navigational",3,2)))</f>
        <v>5</v>
      </c>
      <c r="F222" s="53">
        <v>5.0</v>
      </c>
      <c r="G222" s="53">
        <v>4.0</v>
      </c>
      <c r="H222" s="55">
        <f t="shared" si="1"/>
        <v>3.75</v>
      </c>
      <c r="I222" s="56">
        <f t="shared" si="2"/>
        <v>75</v>
      </c>
      <c r="J222" s="54" t="str">
        <f t="shared" si="3"/>
        <v>High</v>
      </c>
      <c r="K222" s="8"/>
      <c r="L222" s="8"/>
      <c r="M222" s="8"/>
      <c r="N222" s="8"/>
    </row>
    <row r="223" ht="15.75" customHeight="1">
      <c r="A223" s="52" t="str">
        <f>'Keyword Master Database'!A223</f>
        <v>preventive dental care tampa</v>
      </c>
      <c r="B223" s="53">
        <v>3.0</v>
      </c>
      <c r="C223" s="54">
        <f>IF('Keyword Master Database'!H223&gt;=1000,5,IF('Keyword Master Database'!H223&gt;=500,4,IF('Keyword Master Database'!H223&gt;=200,3,IF('Keyword Master Database'!H223&gt;=80,2,1))))</f>
        <v>1</v>
      </c>
      <c r="D223" s="54">
        <f>IF('Keyword Master Database'!I223&lt;=20,5,IF('Keyword Master Database'!I223&lt;=35,4,IF('Keyword Master Database'!I223&lt;=50,3,IF('Keyword Master Database'!I223&lt;=65,2,1))))</f>
        <v>4</v>
      </c>
      <c r="E223" s="54">
        <f>IF('Keyword Master Database'!E223="Transactional",5,IF('Keyword Master Database'!E223="Commercial",4,IF('Keyword Master Database'!E223="Navigational",3,2)))</f>
        <v>5</v>
      </c>
      <c r="F223" s="53">
        <v>5.0</v>
      </c>
      <c r="G223" s="53">
        <v>4.0</v>
      </c>
      <c r="H223" s="55">
        <f t="shared" si="1"/>
        <v>3.6</v>
      </c>
      <c r="I223" s="56">
        <f t="shared" si="2"/>
        <v>72</v>
      </c>
      <c r="J223" s="54" t="str">
        <f t="shared" si="3"/>
        <v>Medium</v>
      </c>
      <c r="K223" s="8"/>
      <c r="L223" s="8"/>
      <c r="M223" s="8"/>
      <c r="N223" s="8"/>
    </row>
    <row r="224" ht="15.75" customHeight="1">
      <c r="A224" s="52" t="str">
        <f>'Keyword Master Database'!A224</f>
        <v>routine dental care tampa</v>
      </c>
      <c r="B224" s="53">
        <v>3.0</v>
      </c>
      <c r="C224" s="54">
        <f>IF('Keyword Master Database'!H224&gt;=1000,5,IF('Keyword Master Database'!H224&gt;=500,4,IF('Keyword Master Database'!H224&gt;=200,3,IF('Keyword Master Database'!H224&gt;=80,2,1))))</f>
        <v>1</v>
      </c>
      <c r="D224" s="54">
        <f>IF('Keyword Master Database'!I224&lt;=20,5,IF('Keyword Master Database'!I224&lt;=35,4,IF('Keyword Master Database'!I224&lt;=50,3,IF('Keyword Master Database'!I224&lt;=65,2,1))))</f>
        <v>5</v>
      </c>
      <c r="E224" s="54">
        <f>IF('Keyword Master Database'!E224="Transactional",5,IF('Keyword Master Database'!E224="Commercial",4,IF('Keyword Master Database'!E224="Navigational",3,2)))</f>
        <v>5</v>
      </c>
      <c r="F224" s="53">
        <v>5.0</v>
      </c>
      <c r="G224" s="53">
        <v>4.0</v>
      </c>
      <c r="H224" s="55">
        <f t="shared" si="1"/>
        <v>3.8</v>
      </c>
      <c r="I224" s="56">
        <f t="shared" si="2"/>
        <v>76</v>
      </c>
      <c r="J224" s="54" t="str">
        <f t="shared" si="3"/>
        <v>High</v>
      </c>
      <c r="K224" s="8"/>
      <c r="L224" s="8"/>
      <c r="M224" s="8"/>
      <c r="N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</sheetData>
  <conditionalFormatting sqref="J2:J224">
    <cfRule type="cellIs" dxfId="3" priority="1" operator="equal">
      <formula>"Critical"</formula>
    </cfRule>
  </conditionalFormatting>
  <conditionalFormatting sqref="J2:J224">
    <cfRule type="cellIs" dxfId="4" priority="2" operator="equal">
      <formula>"High"</formula>
    </cfRule>
  </conditionalFormatting>
  <conditionalFormatting sqref="J2:J224">
    <cfRule type="cellIs" dxfId="5" priority="3" operator="equal">
      <formula>"Medium"</formula>
    </cfRule>
  </conditionalFormatting>
  <conditionalFormatting sqref="J2:J224">
    <cfRule type="cellIs" dxfId="6" priority="4" operator="equal">
      <formula>"Low"</formula>
    </cfRule>
  </conditionalFormatting>
  <conditionalFormatting sqref="J2:J224">
    <cfRule type="cellIs" dxfId="7" priority="5" operator="equal">
      <formula>"Optional"</formula>
    </cfRule>
  </conditionalFormatting>
  <conditionalFormatting sqref="L11:L15">
    <cfRule type="cellIs" dxfId="3" priority="6" operator="equal">
      <formula>"Critical"</formula>
    </cfRule>
  </conditionalFormatting>
  <conditionalFormatting sqref="L11:L15">
    <cfRule type="cellIs" dxfId="4" priority="7" operator="equal">
      <formula>"High"</formula>
    </cfRule>
  </conditionalFormatting>
  <conditionalFormatting sqref="L11:L15">
    <cfRule type="cellIs" dxfId="5" priority="8" operator="equal">
      <formula>"Medium"</formula>
    </cfRule>
  </conditionalFormatting>
  <conditionalFormatting sqref="L11:L15">
    <cfRule type="cellIs" dxfId="6" priority="9" operator="equal">
      <formula>"Low"</formula>
    </cfRule>
  </conditionalFormatting>
  <conditionalFormatting sqref="L11:L15">
    <cfRule type="cellIs" dxfId="7" priority="10" operator="equal">
      <formula>"Optional"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26" width="8.71"/>
  </cols>
  <sheetData>
    <row r="1" ht="31.5" customHeight="1">
      <c r="A1" s="66" t="s">
        <v>1076</v>
      </c>
      <c r="B1" s="4"/>
    </row>
    <row r="2" ht="18.0" customHeight="1">
      <c r="A2" s="67" t="s">
        <v>1077</v>
      </c>
      <c r="B2" s="4"/>
    </row>
    <row r="3">
      <c r="A3" s="8"/>
      <c r="B3" s="8"/>
    </row>
    <row r="4">
      <c r="A4" s="68" t="s">
        <v>810</v>
      </c>
      <c r="B4" s="69" t="s">
        <v>1078</v>
      </c>
    </row>
    <row r="5">
      <c r="A5" s="68" t="s">
        <v>1079</v>
      </c>
      <c r="B5" s="69" t="s">
        <v>1080</v>
      </c>
    </row>
    <row r="6">
      <c r="A6" s="68" t="s">
        <v>1081</v>
      </c>
      <c r="B6" s="69" t="s">
        <v>1082</v>
      </c>
    </row>
    <row r="7">
      <c r="A7" s="68" t="s">
        <v>1083</v>
      </c>
      <c r="B7" s="69" t="s">
        <v>1084</v>
      </c>
    </row>
    <row r="8">
      <c r="A8" s="68" t="s">
        <v>1085</v>
      </c>
      <c r="B8" s="69" t="s">
        <v>1086</v>
      </c>
    </row>
    <row r="9">
      <c r="A9" s="68" t="s">
        <v>1087</v>
      </c>
      <c r="B9" s="69" t="s">
        <v>1088</v>
      </c>
    </row>
    <row r="10">
      <c r="A10" s="68" t="s">
        <v>1089</v>
      </c>
      <c r="B10" s="69" t="s">
        <v>1090</v>
      </c>
    </row>
    <row r="11">
      <c r="A11" s="68" t="s">
        <v>1091</v>
      </c>
      <c r="B11" s="69" t="s">
        <v>1092</v>
      </c>
    </row>
    <row r="12">
      <c r="A12" s="68" t="s">
        <v>1093</v>
      </c>
      <c r="B12" s="69" t="s">
        <v>1094</v>
      </c>
    </row>
    <row r="13">
      <c r="A13" s="68" t="s">
        <v>1095</v>
      </c>
      <c r="B13" s="69" t="s">
        <v>1096</v>
      </c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>
      <c r="A26" s="8"/>
      <c r="B26" s="8"/>
    </row>
    <row r="27" ht="15.75" customHeight="1">
      <c r="A27" s="8"/>
      <c r="B27" s="8"/>
    </row>
    <row r="28" ht="15.75" customHeight="1">
      <c r="A28" s="8"/>
      <c r="B28" s="8"/>
    </row>
    <row r="29" ht="15.75" customHeight="1">
      <c r="A29" s="8"/>
      <c r="B29" s="8"/>
    </row>
    <row r="30" ht="15.75" customHeight="1">
      <c r="A30" s="8"/>
      <c r="B30" s="8"/>
    </row>
    <row r="31" ht="15.75" customHeight="1">
      <c r="A31" s="8"/>
      <c r="B31" s="8"/>
    </row>
    <row r="32" ht="15.75" customHeight="1">
      <c r="A32" s="8"/>
      <c r="B32" s="8"/>
    </row>
    <row r="33" ht="15.75" customHeight="1">
      <c r="A33" s="8"/>
      <c r="B33" s="8"/>
    </row>
    <row r="34" ht="15.75" customHeight="1">
      <c r="A34" s="8"/>
      <c r="B34" s="8"/>
    </row>
    <row r="35" ht="15.75" customHeight="1">
      <c r="A35" s="8"/>
      <c r="B35" s="8"/>
    </row>
    <row r="36" ht="15.75" customHeight="1">
      <c r="A36" s="8"/>
      <c r="B36" s="8"/>
    </row>
    <row r="37" ht="15.75" customHeight="1">
      <c r="A37" s="8"/>
      <c r="B37" s="8"/>
    </row>
    <row r="38" ht="15.75" customHeight="1">
      <c r="A38" s="8"/>
      <c r="B38" s="8"/>
    </row>
    <row r="39" ht="15.75" customHeight="1">
      <c r="A39" s="8"/>
      <c r="B39" s="8"/>
    </row>
    <row r="40" ht="15.75" customHeight="1">
      <c r="A40" s="8"/>
      <c r="B40" s="8"/>
    </row>
    <row r="41" ht="15.75" customHeight="1">
      <c r="A41" s="8"/>
      <c r="B41" s="8"/>
    </row>
    <row r="42" ht="15.75" customHeight="1">
      <c r="A42" s="8"/>
      <c r="B42" s="8"/>
    </row>
    <row r="43" ht="15.75" customHeight="1">
      <c r="A43" s="8"/>
      <c r="B43" s="8"/>
    </row>
    <row r="44" ht="15.75" customHeight="1">
      <c r="A44" s="8"/>
      <c r="B44" s="8"/>
    </row>
    <row r="45" ht="15.75" customHeight="1">
      <c r="A45" s="8"/>
      <c r="B45" s="8"/>
    </row>
    <row r="46" ht="15.75" customHeight="1">
      <c r="A46" s="8"/>
      <c r="B46" s="8"/>
    </row>
    <row r="47" ht="15.75" customHeight="1">
      <c r="A47" s="8"/>
      <c r="B47" s="8"/>
    </row>
    <row r="48" ht="15.75" customHeight="1">
      <c r="A48" s="8"/>
      <c r="B48" s="8"/>
    </row>
    <row r="49" ht="15.75" customHeight="1">
      <c r="A49" s="8"/>
      <c r="B49" s="8"/>
    </row>
    <row r="50" ht="15.75" customHeight="1">
      <c r="A50" s="8"/>
      <c r="B50" s="8"/>
    </row>
    <row r="51" ht="15.75" customHeight="1">
      <c r="A51" s="8"/>
      <c r="B51" s="8"/>
    </row>
    <row r="52" ht="15.75" customHeight="1">
      <c r="A52" s="8"/>
      <c r="B52" s="8"/>
    </row>
    <row r="53" ht="15.75" customHeight="1">
      <c r="A53" s="8"/>
      <c r="B53" s="8"/>
    </row>
    <row r="54" ht="15.75" customHeight="1">
      <c r="A54" s="8"/>
      <c r="B54" s="8"/>
    </row>
    <row r="55" ht="15.75" customHeight="1">
      <c r="A55" s="8"/>
      <c r="B55" s="8"/>
    </row>
    <row r="56" ht="15.75" customHeight="1">
      <c r="A56" s="8"/>
      <c r="B56" s="8"/>
    </row>
    <row r="57" ht="15.75" customHeight="1">
      <c r="A57" s="8"/>
      <c r="B57" s="8"/>
    </row>
    <row r="58" ht="15.75" customHeight="1">
      <c r="A58" s="8"/>
      <c r="B58" s="8"/>
    </row>
    <row r="59" ht="15.75" customHeight="1">
      <c r="A59" s="8"/>
      <c r="B59" s="8"/>
    </row>
    <row r="60" ht="15.75" customHeight="1">
      <c r="A60" s="8"/>
      <c r="B60" s="8"/>
    </row>
    <row r="61" ht="15.75" customHeight="1">
      <c r="A61" s="8"/>
      <c r="B61" s="8"/>
    </row>
    <row r="62" ht="15.75" customHeight="1">
      <c r="A62" s="8"/>
      <c r="B62" s="8"/>
    </row>
    <row r="63" ht="15.75" customHeight="1">
      <c r="A63" s="8"/>
      <c r="B63" s="8"/>
    </row>
    <row r="64" ht="15.75" customHeight="1">
      <c r="A64" s="8"/>
      <c r="B64" s="8"/>
    </row>
    <row r="65" ht="15.75" customHeight="1">
      <c r="A65" s="8"/>
      <c r="B65" s="8"/>
    </row>
    <row r="66" ht="15.75" customHeight="1">
      <c r="A66" s="8"/>
      <c r="B66" s="8"/>
    </row>
    <row r="67" ht="15.75" customHeight="1">
      <c r="A67" s="8"/>
      <c r="B67" s="8"/>
    </row>
    <row r="68" ht="15.75" customHeight="1">
      <c r="A68" s="8"/>
      <c r="B68" s="8"/>
    </row>
    <row r="69" ht="15.75" customHeight="1">
      <c r="A69" s="8"/>
      <c r="B69" s="8"/>
    </row>
    <row r="70" ht="15.75" customHeight="1">
      <c r="A70" s="8"/>
      <c r="B70" s="8"/>
    </row>
    <row r="71" ht="15.75" customHeight="1">
      <c r="A71" s="8"/>
      <c r="B71" s="8"/>
    </row>
    <row r="72" ht="15.75" customHeight="1">
      <c r="A72" s="8"/>
      <c r="B72" s="8"/>
    </row>
    <row r="73" ht="15.75" customHeight="1">
      <c r="A73" s="8"/>
      <c r="B73" s="8"/>
    </row>
    <row r="74" ht="15.75" customHeight="1">
      <c r="A74" s="8"/>
      <c r="B74" s="8"/>
    </row>
    <row r="75" ht="15.75" customHeight="1">
      <c r="A75" s="8"/>
      <c r="B75" s="8"/>
    </row>
    <row r="76" ht="15.75" customHeight="1">
      <c r="A76" s="8"/>
      <c r="B76" s="8"/>
    </row>
    <row r="77" ht="15.75" customHeight="1">
      <c r="A77" s="8"/>
      <c r="B77" s="8"/>
    </row>
    <row r="78" ht="15.75" customHeight="1">
      <c r="A78" s="8"/>
      <c r="B78" s="8"/>
    </row>
    <row r="79" ht="15.75" customHeight="1">
      <c r="A79" s="8"/>
      <c r="B79" s="8"/>
    </row>
    <row r="80" ht="15.75" customHeight="1">
      <c r="A80" s="8"/>
      <c r="B80" s="8"/>
    </row>
    <row r="81" ht="15.75" customHeight="1">
      <c r="A81" s="8"/>
      <c r="B81" s="8"/>
    </row>
    <row r="82" ht="15.75" customHeight="1">
      <c r="A82" s="8"/>
      <c r="B82" s="8"/>
    </row>
    <row r="83" ht="15.75" customHeight="1">
      <c r="A83" s="8"/>
      <c r="B83" s="8"/>
    </row>
    <row r="84" ht="15.75" customHeight="1">
      <c r="A84" s="8"/>
      <c r="B84" s="8"/>
    </row>
    <row r="85" ht="15.75" customHeight="1">
      <c r="A85" s="8"/>
      <c r="B85" s="8"/>
    </row>
    <row r="86" ht="15.75" customHeight="1">
      <c r="A86" s="8"/>
      <c r="B86" s="8"/>
    </row>
    <row r="87" ht="15.75" customHeight="1">
      <c r="A87" s="8"/>
      <c r="B87" s="8"/>
    </row>
    <row r="88" ht="15.75" customHeight="1">
      <c r="A88" s="8"/>
      <c r="B88" s="8"/>
    </row>
    <row r="89" ht="15.75" customHeight="1">
      <c r="A89" s="8"/>
      <c r="B89" s="8"/>
    </row>
    <row r="90" ht="15.75" customHeight="1">
      <c r="A90" s="8"/>
      <c r="B90" s="8"/>
    </row>
    <row r="91" ht="15.75" customHeight="1">
      <c r="A91" s="8"/>
      <c r="B91" s="8"/>
    </row>
    <row r="92" ht="15.75" customHeight="1">
      <c r="A92" s="8"/>
      <c r="B92" s="8"/>
    </row>
    <row r="93" ht="15.75" customHeight="1">
      <c r="A93" s="8"/>
      <c r="B93" s="8"/>
    </row>
    <row r="94" ht="15.75" customHeight="1">
      <c r="A94" s="8"/>
      <c r="B94" s="8"/>
    </row>
    <row r="95" ht="15.75" customHeight="1">
      <c r="A95" s="8"/>
      <c r="B95" s="8"/>
    </row>
    <row r="96" ht="15.75" customHeight="1">
      <c r="A96" s="8"/>
      <c r="B96" s="8"/>
    </row>
    <row r="97" ht="15.75" customHeight="1">
      <c r="A97" s="8"/>
      <c r="B97" s="8"/>
    </row>
    <row r="98" ht="15.75" customHeight="1">
      <c r="A98" s="8"/>
      <c r="B98" s="8"/>
    </row>
    <row r="99" ht="15.75" customHeight="1">
      <c r="A99" s="8"/>
      <c r="B99" s="8"/>
    </row>
    <row r="100" ht="15.75" customHeight="1">
      <c r="A100" s="8"/>
      <c r="B100" s="8"/>
    </row>
    <row r="101" ht="15.75" customHeight="1">
      <c r="A101" s="8"/>
      <c r="B101" s="8"/>
    </row>
    <row r="102" ht="15.75" customHeight="1">
      <c r="A102" s="8"/>
      <c r="B102" s="8"/>
    </row>
    <row r="103" ht="15.75" customHeight="1">
      <c r="A103" s="8"/>
      <c r="B103" s="8"/>
    </row>
    <row r="104" ht="15.75" customHeight="1">
      <c r="A104" s="8"/>
      <c r="B104" s="8"/>
    </row>
    <row r="105" ht="15.75" customHeight="1">
      <c r="A105" s="8"/>
      <c r="B105" s="8"/>
    </row>
    <row r="106" ht="15.75" customHeight="1">
      <c r="A106" s="8"/>
      <c r="B106" s="8"/>
    </row>
    <row r="107" ht="15.75" customHeight="1">
      <c r="A107" s="8"/>
      <c r="B107" s="8"/>
    </row>
    <row r="108" ht="15.75" customHeight="1">
      <c r="A108" s="8"/>
      <c r="B108" s="8"/>
    </row>
    <row r="109" ht="15.75" customHeight="1">
      <c r="A109" s="8"/>
      <c r="B109" s="8"/>
    </row>
    <row r="110" ht="15.75" customHeight="1">
      <c r="A110" s="8"/>
      <c r="B110" s="8"/>
    </row>
    <row r="111" ht="15.75" customHeight="1">
      <c r="A111" s="8"/>
      <c r="B111" s="8"/>
    </row>
    <row r="112" ht="15.75" customHeight="1">
      <c r="A112" s="8"/>
      <c r="B112" s="8"/>
    </row>
    <row r="113" ht="15.75" customHeight="1">
      <c r="A113" s="8"/>
      <c r="B113" s="8"/>
    </row>
    <row r="114" ht="15.75" customHeight="1">
      <c r="A114" s="8"/>
      <c r="B114" s="8"/>
    </row>
    <row r="115" ht="15.75" customHeight="1">
      <c r="A115" s="8"/>
      <c r="B115" s="8"/>
    </row>
    <row r="116" ht="15.75" customHeight="1">
      <c r="A116" s="8"/>
      <c r="B116" s="8"/>
    </row>
    <row r="117" ht="15.75" customHeight="1">
      <c r="A117" s="8"/>
      <c r="B117" s="8"/>
    </row>
    <row r="118" ht="15.75" customHeight="1">
      <c r="A118" s="8"/>
      <c r="B118" s="8"/>
    </row>
    <row r="119" ht="15.75" customHeight="1">
      <c r="A119" s="8"/>
      <c r="B119" s="8"/>
    </row>
    <row r="120" ht="15.75" customHeight="1">
      <c r="A120" s="8"/>
      <c r="B120" s="8"/>
    </row>
    <row r="121" ht="15.75" customHeight="1">
      <c r="A121" s="8"/>
      <c r="B121" s="8"/>
    </row>
    <row r="122" ht="15.75" customHeight="1">
      <c r="A122" s="8"/>
      <c r="B122" s="8"/>
    </row>
    <row r="123" ht="15.75" customHeight="1">
      <c r="A123" s="8"/>
      <c r="B123" s="8"/>
    </row>
    <row r="124" ht="15.75" customHeight="1">
      <c r="A124" s="8"/>
      <c r="B124" s="8"/>
    </row>
    <row r="125" ht="15.75" customHeight="1">
      <c r="A125" s="8"/>
      <c r="B125" s="8"/>
    </row>
    <row r="126" ht="15.75" customHeight="1">
      <c r="A126" s="8"/>
      <c r="B126" s="8"/>
    </row>
    <row r="127" ht="15.75" customHeight="1">
      <c r="A127" s="8"/>
      <c r="B127" s="8"/>
    </row>
    <row r="128" ht="15.75" customHeight="1">
      <c r="A128" s="8"/>
      <c r="B128" s="8"/>
    </row>
    <row r="129" ht="15.75" customHeight="1">
      <c r="A129" s="8"/>
      <c r="B129" s="8"/>
    </row>
    <row r="130" ht="15.75" customHeight="1">
      <c r="A130" s="8"/>
      <c r="B130" s="8"/>
    </row>
    <row r="131" ht="15.75" customHeight="1">
      <c r="A131" s="8"/>
      <c r="B131" s="8"/>
    </row>
    <row r="132" ht="15.75" customHeight="1">
      <c r="A132" s="8"/>
      <c r="B132" s="8"/>
    </row>
    <row r="133" ht="15.75" customHeight="1">
      <c r="A133" s="8"/>
      <c r="B133" s="8"/>
    </row>
    <row r="134" ht="15.75" customHeight="1">
      <c r="A134" s="8"/>
      <c r="B134" s="8"/>
    </row>
    <row r="135" ht="15.75" customHeight="1">
      <c r="A135" s="8"/>
      <c r="B135" s="8"/>
    </row>
    <row r="136" ht="15.75" customHeight="1">
      <c r="A136" s="8"/>
      <c r="B136" s="8"/>
    </row>
    <row r="137" ht="15.75" customHeight="1">
      <c r="A137" s="8"/>
      <c r="B137" s="8"/>
    </row>
    <row r="138" ht="15.75" customHeight="1">
      <c r="A138" s="8"/>
      <c r="B138" s="8"/>
    </row>
    <row r="139" ht="15.75" customHeight="1">
      <c r="A139" s="8"/>
      <c r="B139" s="8"/>
    </row>
    <row r="140" ht="15.75" customHeight="1">
      <c r="A140" s="8"/>
      <c r="B140" s="8"/>
    </row>
    <row r="141" ht="15.75" customHeight="1">
      <c r="A141" s="8"/>
      <c r="B141" s="8"/>
    </row>
    <row r="142" ht="15.75" customHeight="1">
      <c r="A142" s="8"/>
      <c r="B142" s="8"/>
    </row>
    <row r="143" ht="15.75" customHeight="1">
      <c r="A143" s="8"/>
      <c r="B143" s="8"/>
    </row>
    <row r="144" ht="15.75" customHeight="1">
      <c r="A144" s="8"/>
      <c r="B144" s="8"/>
    </row>
    <row r="145" ht="15.75" customHeight="1">
      <c r="A145" s="8"/>
      <c r="B145" s="8"/>
    </row>
    <row r="146" ht="15.75" customHeight="1">
      <c r="A146" s="8"/>
      <c r="B146" s="8"/>
    </row>
    <row r="147" ht="15.75" customHeight="1">
      <c r="A147" s="8"/>
      <c r="B147" s="8"/>
    </row>
    <row r="148" ht="15.75" customHeight="1">
      <c r="A148" s="8"/>
      <c r="B148" s="8"/>
    </row>
    <row r="149" ht="15.75" customHeight="1">
      <c r="A149" s="8"/>
      <c r="B149" s="8"/>
    </row>
    <row r="150" ht="15.75" customHeight="1">
      <c r="A150" s="8"/>
      <c r="B150" s="8"/>
    </row>
    <row r="151" ht="15.75" customHeight="1">
      <c r="A151" s="8"/>
      <c r="B151" s="8"/>
    </row>
    <row r="152" ht="15.75" customHeight="1">
      <c r="A152" s="8"/>
      <c r="B152" s="8"/>
    </row>
    <row r="153" ht="15.75" customHeight="1">
      <c r="A153" s="8"/>
      <c r="B153" s="8"/>
    </row>
    <row r="154" ht="15.75" customHeight="1">
      <c r="A154" s="8"/>
      <c r="B154" s="8"/>
    </row>
    <row r="155" ht="15.75" customHeight="1">
      <c r="A155" s="8"/>
      <c r="B155" s="8"/>
    </row>
    <row r="156" ht="15.75" customHeight="1">
      <c r="A156" s="8"/>
      <c r="B156" s="8"/>
    </row>
    <row r="157" ht="15.75" customHeight="1">
      <c r="A157" s="8"/>
      <c r="B157" s="8"/>
    </row>
    <row r="158" ht="15.75" customHeight="1">
      <c r="A158" s="8"/>
      <c r="B158" s="8"/>
    </row>
    <row r="159" ht="15.75" customHeight="1">
      <c r="A159" s="8"/>
      <c r="B159" s="8"/>
    </row>
    <row r="160" ht="15.75" customHeight="1">
      <c r="A160" s="8"/>
      <c r="B160" s="8"/>
    </row>
    <row r="161" ht="15.75" customHeight="1">
      <c r="A161" s="8"/>
      <c r="B161" s="8"/>
    </row>
    <row r="162" ht="15.75" customHeight="1">
      <c r="A162" s="8"/>
      <c r="B162" s="8"/>
    </row>
    <row r="163" ht="15.75" customHeight="1">
      <c r="A163" s="8"/>
      <c r="B163" s="8"/>
    </row>
    <row r="164" ht="15.75" customHeight="1">
      <c r="A164" s="8"/>
      <c r="B164" s="8"/>
    </row>
    <row r="165" ht="15.75" customHeight="1">
      <c r="A165" s="8"/>
      <c r="B165" s="8"/>
    </row>
    <row r="166" ht="15.75" customHeight="1">
      <c r="A166" s="8"/>
      <c r="B166" s="8"/>
    </row>
    <row r="167" ht="15.75" customHeight="1">
      <c r="A167" s="8"/>
      <c r="B167" s="8"/>
    </row>
    <row r="168" ht="15.75" customHeight="1">
      <c r="A168" s="8"/>
      <c r="B168" s="8"/>
    </row>
    <row r="169" ht="15.75" customHeight="1">
      <c r="A169" s="8"/>
      <c r="B169" s="8"/>
    </row>
    <row r="170" ht="15.75" customHeight="1">
      <c r="A170" s="8"/>
      <c r="B170" s="8"/>
    </row>
    <row r="171" ht="15.75" customHeight="1">
      <c r="A171" s="8"/>
      <c r="B171" s="8"/>
    </row>
    <row r="172" ht="15.75" customHeight="1">
      <c r="A172" s="8"/>
      <c r="B172" s="8"/>
    </row>
    <row r="173" ht="15.75" customHeight="1">
      <c r="A173" s="8"/>
      <c r="B173" s="8"/>
    </row>
    <row r="174" ht="15.75" customHeight="1">
      <c r="A174" s="8"/>
      <c r="B174" s="8"/>
    </row>
    <row r="175" ht="15.75" customHeight="1">
      <c r="A175" s="8"/>
      <c r="B175" s="8"/>
    </row>
    <row r="176" ht="15.75" customHeight="1">
      <c r="A176" s="8"/>
      <c r="B176" s="8"/>
    </row>
    <row r="177" ht="15.75" customHeight="1">
      <c r="A177" s="8"/>
      <c r="B177" s="8"/>
    </row>
    <row r="178" ht="15.75" customHeight="1">
      <c r="A178" s="8"/>
      <c r="B178" s="8"/>
    </row>
    <row r="179" ht="15.75" customHeight="1">
      <c r="A179" s="8"/>
      <c r="B179" s="8"/>
    </row>
    <row r="180" ht="15.75" customHeight="1">
      <c r="A180" s="8"/>
      <c r="B180" s="8"/>
    </row>
    <row r="181" ht="15.75" customHeight="1">
      <c r="A181" s="8"/>
      <c r="B181" s="8"/>
    </row>
    <row r="182" ht="15.75" customHeight="1">
      <c r="A182" s="8"/>
      <c r="B182" s="8"/>
    </row>
    <row r="183" ht="15.75" customHeight="1">
      <c r="A183" s="8"/>
      <c r="B183" s="8"/>
    </row>
    <row r="184" ht="15.75" customHeight="1">
      <c r="A184" s="8"/>
      <c r="B184" s="8"/>
    </row>
    <row r="185" ht="15.75" customHeight="1">
      <c r="A185" s="8"/>
      <c r="B185" s="8"/>
    </row>
    <row r="186" ht="15.75" customHeight="1">
      <c r="A186" s="8"/>
      <c r="B186" s="8"/>
    </row>
    <row r="187" ht="15.75" customHeight="1">
      <c r="A187" s="8"/>
      <c r="B187" s="8"/>
    </row>
    <row r="188" ht="15.75" customHeight="1">
      <c r="A188" s="8"/>
      <c r="B188" s="8"/>
    </row>
    <row r="189" ht="15.75" customHeight="1">
      <c r="A189" s="8"/>
      <c r="B189" s="8"/>
    </row>
    <row r="190" ht="15.75" customHeight="1">
      <c r="A190" s="8"/>
      <c r="B190" s="8"/>
    </row>
    <row r="191" ht="15.75" customHeight="1">
      <c r="A191" s="8"/>
      <c r="B191" s="8"/>
    </row>
    <row r="192" ht="15.75" customHeight="1">
      <c r="A192" s="8"/>
      <c r="B192" s="8"/>
    </row>
    <row r="193" ht="15.75" customHeight="1">
      <c r="A193" s="8"/>
      <c r="B193" s="8"/>
    </row>
    <row r="194" ht="15.75" customHeight="1">
      <c r="A194" s="8"/>
      <c r="B194" s="8"/>
    </row>
    <row r="195" ht="15.75" customHeight="1">
      <c r="A195" s="8"/>
      <c r="B195" s="8"/>
    </row>
    <row r="196" ht="15.75" customHeight="1">
      <c r="A196" s="8"/>
      <c r="B196" s="8"/>
    </row>
    <row r="197" ht="15.75" customHeight="1">
      <c r="A197" s="8"/>
      <c r="B197" s="8"/>
    </row>
    <row r="198" ht="15.75" customHeight="1">
      <c r="A198" s="8"/>
      <c r="B198" s="8"/>
    </row>
    <row r="199" ht="15.75" customHeight="1">
      <c r="A199" s="8"/>
      <c r="B199" s="8"/>
    </row>
    <row r="200" ht="15.75" customHeight="1">
      <c r="A200" s="8"/>
      <c r="B200" s="8"/>
    </row>
    <row r="201" ht="15.75" customHeight="1">
      <c r="A201" s="8"/>
      <c r="B201" s="8"/>
    </row>
    <row r="202" ht="15.75" customHeight="1">
      <c r="A202" s="8"/>
      <c r="B202" s="8"/>
    </row>
    <row r="203" ht="15.75" customHeight="1">
      <c r="A203" s="8"/>
      <c r="B203" s="8"/>
    </row>
    <row r="204" ht="15.75" customHeight="1">
      <c r="A204" s="8"/>
      <c r="B204" s="8"/>
    </row>
    <row r="205" ht="15.75" customHeight="1">
      <c r="A205" s="8"/>
      <c r="B205" s="8"/>
    </row>
    <row r="206" ht="15.75" customHeight="1">
      <c r="A206" s="8"/>
      <c r="B206" s="8"/>
    </row>
    <row r="207" ht="15.75" customHeight="1">
      <c r="A207" s="8"/>
      <c r="B207" s="8"/>
    </row>
    <row r="208" ht="15.75" customHeight="1">
      <c r="A208" s="8"/>
      <c r="B208" s="8"/>
    </row>
    <row r="209" ht="15.75" customHeight="1">
      <c r="A209" s="8"/>
      <c r="B209" s="8"/>
    </row>
    <row r="210" ht="15.75" customHeight="1">
      <c r="A210" s="8"/>
      <c r="B210" s="8"/>
    </row>
    <row r="211" ht="15.75" customHeight="1">
      <c r="A211" s="8"/>
      <c r="B211" s="8"/>
    </row>
    <row r="212" ht="15.75" customHeight="1">
      <c r="A212" s="8"/>
      <c r="B212" s="8"/>
    </row>
    <row r="213" ht="15.75" customHeight="1">
      <c r="A213" s="8"/>
      <c r="B213" s="8"/>
    </row>
    <row r="214" ht="15.75" customHeight="1">
      <c r="A214" s="8"/>
      <c r="B214" s="8"/>
    </row>
    <row r="215" ht="15.75" customHeight="1">
      <c r="A215" s="8"/>
      <c r="B215" s="8"/>
    </row>
    <row r="216" ht="15.75" customHeight="1">
      <c r="A216" s="8"/>
      <c r="B216" s="8"/>
    </row>
    <row r="217" ht="15.75" customHeight="1">
      <c r="A217" s="8"/>
      <c r="B217" s="8"/>
    </row>
    <row r="218" ht="15.75" customHeight="1">
      <c r="A218" s="8"/>
      <c r="B218" s="8"/>
    </row>
    <row r="219" ht="15.75" customHeight="1">
      <c r="A219" s="8"/>
      <c r="B219" s="8"/>
    </row>
    <row r="220" ht="15.75" customHeight="1">
      <c r="A220" s="8"/>
      <c r="B220" s="8"/>
    </row>
    <row r="221" ht="15.75" customHeight="1">
      <c r="A221" s="8"/>
      <c r="B221" s="8"/>
    </row>
    <row r="222" ht="15.75" customHeight="1">
      <c r="A222" s="8"/>
      <c r="B222" s="8"/>
    </row>
    <row r="223" ht="15.75" customHeight="1">
      <c r="A223" s="8"/>
      <c r="B223" s="8"/>
    </row>
    <row r="224" ht="15.75" customHeight="1">
      <c r="A224" s="8"/>
      <c r="B224" s="8"/>
    </row>
    <row r="225" ht="15.75" customHeight="1">
      <c r="A225" s="8"/>
      <c r="B225" s="8"/>
    </row>
    <row r="226" ht="15.75" customHeight="1">
      <c r="A226" s="8"/>
      <c r="B226" s="8"/>
    </row>
    <row r="227" ht="15.75" customHeight="1">
      <c r="A227" s="8"/>
      <c r="B227" s="8"/>
    </row>
    <row r="228" ht="15.75" customHeight="1">
      <c r="A228" s="8"/>
      <c r="B228" s="8"/>
    </row>
    <row r="229" ht="15.75" customHeight="1">
      <c r="A229" s="8"/>
      <c r="B229" s="8"/>
    </row>
    <row r="230" ht="15.75" customHeight="1">
      <c r="A230" s="8"/>
      <c r="B230" s="8"/>
    </row>
    <row r="231" ht="15.75" customHeight="1">
      <c r="A231" s="8"/>
      <c r="B231" s="8"/>
    </row>
    <row r="232" ht="15.75" customHeight="1">
      <c r="A232" s="8"/>
      <c r="B232" s="8"/>
    </row>
    <row r="233" ht="15.75" customHeight="1">
      <c r="A233" s="8"/>
      <c r="B233" s="8"/>
    </row>
    <row r="234" ht="15.75" customHeight="1">
      <c r="A234" s="8"/>
      <c r="B234" s="8"/>
    </row>
    <row r="235" ht="15.75" customHeight="1">
      <c r="A235" s="8"/>
      <c r="B235" s="8"/>
    </row>
    <row r="236" ht="15.75" customHeight="1">
      <c r="A236" s="8"/>
      <c r="B236" s="8"/>
    </row>
    <row r="237" ht="15.75" customHeight="1">
      <c r="A237" s="8"/>
      <c r="B237" s="8"/>
    </row>
    <row r="238" ht="15.75" customHeight="1">
      <c r="A238" s="8"/>
      <c r="B238" s="8"/>
    </row>
    <row r="239" ht="15.75" customHeight="1">
      <c r="A239" s="8"/>
      <c r="B239" s="8"/>
    </row>
    <row r="240" ht="15.75" customHeight="1">
      <c r="A240" s="8"/>
      <c r="B240" s="8"/>
    </row>
    <row r="241" ht="15.75" customHeight="1">
      <c r="A241" s="8"/>
      <c r="B241" s="8"/>
    </row>
    <row r="242" ht="15.75" customHeight="1">
      <c r="A242" s="8"/>
      <c r="B242" s="8"/>
    </row>
    <row r="243" ht="15.75" customHeight="1">
      <c r="A243" s="8"/>
      <c r="B243" s="8"/>
    </row>
    <row r="244" ht="15.75" customHeight="1">
      <c r="A244" s="8"/>
      <c r="B244" s="8"/>
    </row>
    <row r="245" ht="15.75" customHeight="1">
      <c r="A245" s="8"/>
      <c r="B245" s="8"/>
    </row>
    <row r="246" ht="15.75" customHeight="1">
      <c r="A246" s="8"/>
      <c r="B246" s="8"/>
    </row>
    <row r="247" ht="15.75" customHeight="1">
      <c r="A247" s="8"/>
      <c r="B247" s="8"/>
    </row>
    <row r="248" ht="15.75" customHeight="1">
      <c r="A248" s="8"/>
      <c r="B248" s="8"/>
    </row>
    <row r="249" ht="15.75" customHeight="1">
      <c r="A249" s="8"/>
      <c r="B249" s="8"/>
    </row>
    <row r="250" ht="15.75" customHeight="1">
      <c r="A250" s="8"/>
      <c r="B250" s="8"/>
    </row>
    <row r="251" ht="15.75" customHeight="1">
      <c r="A251" s="8"/>
      <c r="B251" s="8"/>
    </row>
    <row r="252" ht="15.75" customHeight="1">
      <c r="A252" s="8"/>
      <c r="B252" s="8"/>
    </row>
    <row r="253" ht="15.75" customHeight="1">
      <c r="A253" s="8"/>
      <c r="B253" s="8"/>
    </row>
    <row r="254" ht="15.75" customHeight="1">
      <c r="A254" s="8"/>
      <c r="B254" s="8"/>
    </row>
    <row r="255" ht="15.75" customHeight="1">
      <c r="A255" s="8"/>
      <c r="B255" s="8"/>
    </row>
    <row r="256" ht="15.75" customHeight="1">
      <c r="A256" s="8"/>
      <c r="B256" s="8"/>
    </row>
    <row r="257" ht="15.75" customHeight="1">
      <c r="A257" s="8"/>
      <c r="B257" s="8"/>
    </row>
    <row r="258" ht="15.75" customHeight="1">
      <c r="A258" s="8"/>
      <c r="B258" s="8"/>
    </row>
    <row r="259" ht="15.75" customHeight="1">
      <c r="A259" s="8"/>
      <c r="B259" s="8"/>
    </row>
    <row r="260" ht="15.75" customHeight="1">
      <c r="A260" s="8"/>
      <c r="B260" s="8"/>
    </row>
    <row r="261" ht="15.75" customHeight="1">
      <c r="A261" s="8"/>
      <c r="B261" s="8"/>
    </row>
    <row r="262" ht="15.75" customHeight="1">
      <c r="A262" s="8"/>
      <c r="B262" s="8"/>
    </row>
    <row r="263" ht="15.75" customHeight="1">
      <c r="A263" s="8"/>
      <c r="B263" s="8"/>
    </row>
    <row r="264" ht="15.75" customHeight="1">
      <c r="A264" s="8"/>
      <c r="B264" s="8"/>
    </row>
    <row r="265" ht="15.75" customHeight="1">
      <c r="A265" s="8"/>
      <c r="B265" s="8"/>
    </row>
    <row r="266" ht="15.75" customHeight="1">
      <c r="A266" s="8"/>
      <c r="B266" s="8"/>
    </row>
    <row r="267" ht="15.75" customHeight="1">
      <c r="A267" s="8"/>
      <c r="B267" s="8"/>
    </row>
    <row r="268" ht="15.75" customHeight="1">
      <c r="A268" s="8"/>
      <c r="B268" s="8"/>
    </row>
    <row r="269" ht="15.75" customHeight="1">
      <c r="A269" s="8"/>
      <c r="B269" s="8"/>
    </row>
    <row r="270" ht="15.75" customHeight="1">
      <c r="A270" s="8"/>
      <c r="B270" s="8"/>
    </row>
    <row r="271" ht="15.75" customHeight="1">
      <c r="A271" s="8"/>
      <c r="B271" s="8"/>
    </row>
    <row r="272" ht="15.75" customHeight="1">
      <c r="A272" s="8"/>
      <c r="B272" s="8"/>
    </row>
    <row r="273" ht="15.75" customHeight="1">
      <c r="A273" s="8"/>
      <c r="B273" s="8"/>
    </row>
    <row r="274" ht="15.75" customHeight="1">
      <c r="A274" s="8"/>
      <c r="B274" s="8"/>
    </row>
    <row r="275" ht="15.75" customHeight="1">
      <c r="A275" s="8"/>
      <c r="B275" s="8"/>
    </row>
    <row r="276" ht="15.75" customHeight="1">
      <c r="A276" s="8"/>
      <c r="B276" s="8"/>
    </row>
    <row r="277" ht="15.75" customHeight="1">
      <c r="A277" s="8"/>
      <c r="B277" s="8"/>
    </row>
    <row r="278" ht="15.75" customHeight="1">
      <c r="A278" s="8"/>
      <c r="B278" s="8"/>
    </row>
    <row r="279" ht="15.75" customHeight="1">
      <c r="A279" s="8"/>
      <c r="B279" s="8"/>
    </row>
    <row r="280" ht="15.75" customHeight="1">
      <c r="A280" s="8"/>
      <c r="B280" s="8"/>
    </row>
    <row r="281" ht="15.75" customHeight="1">
      <c r="A281" s="8"/>
      <c r="B281" s="8"/>
    </row>
    <row r="282" ht="15.75" customHeight="1">
      <c r="A282" s="8"/>
      <c r="B282" s="8"/>
    </row>
    <row r="283" ht="15.75" customHeight="1">
      <c r="A283" s="8"/>
      <c r="B283" s="8"/>
    </row>
    <row r="284" ht="15.75" customHeight="1">
      <c r="A284" s="8"/>
      <c r="B284" s="8"/>
    </row>
    <row r="285" ht="15.75" customHeight="1">
      <c r="A285" s="8"/>
      <c r="B285" s="8"/>
    </row>
    <row r="286" ht="15.75" customHeight="1">
      <c r="A286" s="8"/>
      <c r="B286" s="8"/>
    </row>
    <row r="287" ht="15.75" customHeight="1">
      <c r="A287" s="8"/>
      <c r="B287" s="8"/>
    </row>
    <row r="288" ht="15.75" customHeight="1">
      <c r="A288" s="8"/>
      <c r="B288" s="8"/>
    </row>
    <row r="289" ht="15.75" customHeight="1">
      <c r="A289" s="8"/>
      <c r="B289" s="8"/>
    </row>
    <row r="290" ht="15.75" customHeight="1">
      <c r="A290" s="8"/>
      <c r="B290" s="8"/>
    </row>
    <row r="291" ht="15.75" customHeight="1">
      <c r="A291" s="8"/>
      <c r="B291" s="8"/>
    </row>
    <row r="292" ht="15.75" customHeight="1">
      <c r="A292" s="8"/>
      <c r="B292" s="8"/>
    </row>
    <row r="293" ht="15.75" customHeight="1">
      <c r="A293" s="8"/>
      <c r="B293" s="8"/>
    </row>
    <row r="294" ht="15.75" customHeight="1">
      <c r="A294" s="8"/>
      <c r="B294" s="8"/>
    </row>
    <row r="295" ht="15.75" customHeight="1">
      <c r="A295" s="8"/>
      <c r="B295" s="8"/>
    </row>
    <row r="296" ht="15.75" customHeight="1">
      <c r="A296" s="8"/>
      <c r="B296" s="8"/>
    </row>
    <row r="297" ht="15.75" customHeight="1">
      <c r="A297" s="8"/>
      <c r="B297" s="8"/>
    </row>
    <row r="298" ht="15.75" customHeight="1">
      <c r="A298" s="8"/>
      <c r="B298" s="8"/>
    </row>
    <row r="299" ht="15.75" customHeight="1">
      <c r="A299" s="8"/>
      <c r="B299" s="8"/>
    </row>
    <row r="300" ht="15.75" customHeight="1">
      <c r="A300" s="8"/>
      <c r="B300" s="8"/>
    </row>
    <row r="301" ht="15.75" customHeight="1">
      <c r="A301" s="8"/>
      <c r="B301" s="8"/>
    </row>
    <row r="302" ht="15.75" customHeight="1">
      <c r="A302" s="8"/>
      <c r="B302" s="8"/>
    </row>
    <row r="303" ht="15.75" customHeight="1">
      <c r="A303" s="8"/>
      <c r="B303" s="8"/>
    </row>
    <row r="304" ht="15.75" customHeight="1">
      <c r="A304" s="8"/>
      <c r="B304" s="8"/>
    </row>
    <row r="305" ht="15.75" customHeight="1">
      <c r="A305" s="8"/>
      <c r="B305" s="8"/>
    </row>
    <row r="306" ht="15.75" customHeight="1">
      <c r="A306" s="8"/>
      <c r="B306" s="8"/>
    </row>
    <row r="307" ht="15.75" customHeight="1">
      <c r="A307" s="8"/>
      <c r="B307" s="8"/>
    </row>
    <row r="308" ht="15.75" customHeight="1">
      <c r="A308" s="8"/>
      <c r="B308" s="8"/>
    </row>
    <row r="309" ht="15.75" customHeight="1">
      <c r="A309" s="8"/>
      <c r="B309" s="8"/>
    </row>
    <row r="310" ht="15.75" customHeight="1">
      <c r="A310" s="8"/>
      <c r="B310" s="8"/>
    </row>
    <row r="311" ht="15.75" customHeight="1">
      <c r="A311" s="8"/>
      <c r="B311" s="8"/>
    </row>
    <row r="312" ht="15.75" customHeight="1">
      <c r="A312" s="8"/>
      <c r="B312" s="8"/>
    </row>
    <row r="313" ht="15.75" customHeight="1">
      <c r="A313" s="8"/>
      <c r="B313" s="8"/>
    </row>
    <row r="314" ht="15.75" customHeight="1">
      <c r="A314" s="8"/>
      <c r="B314" s="8"/>
    </row>
    <row r="315" ht="15.75" customHeight="1">
      <c r="A315" s="8"/>
      <c r="B315" s="8"/>
    </row>
    <row r="316" ht="15.75" customHeight="1">
      <c r="A316" s="8"/>
      <c r="B316" s="8"/>
    </row>
    <row r="317" ht="15.75" customHeight="1">
      <c r="A317" s="8"/>
      <c r="B317" s="8"/>
    </row>
    <row r="318" ht="15.75" customHeight="1">
      <c r="A318" s="8"/>
      <c r="B318" s="8"/>
    </row>
    <row r="319" ht="15.75" customHeight="1">
      <c r="A319" s="8"/>
      <c r="B319" s="8"/>
    </row>
    <row r="320" ht="15.75" customHeight="1">
      <c r="A320" s="8"/>
      <c r="B320" s="8"/>
    </row>
    <row r="321" ht="15.75" customHeight="1">
      <c r="A321" s="8"/>
      <c r="B321" s="8"/>
    </row>
    <row r="322" ht="15.75" customHeight="1">
      <c r="A322" s="8"/>
      <c r="B322" s="8"/>
    </row>
    <row r="323" ht="15.75" customHeight="1">
      <c r="A323" s="8"/>
      <c r="B323" s="8"/>
    </row>
    <row r="324" ht="15.75" customHeight="1">
      <c r="A324" s="8"/>
      <c r="B324" s="8"/>
    </row>
    <row r="325" ht="15.75" customHeight="1">
      <c r="A325" s="8"/>
      <c r="B325" s="8"/>
    </row>
    <row r="326" ht="15.75" customHeight="1">
      <c r="A326" s="8"/>
      <c r="B326" s="8"/>
    </row>
    <row r="327" ht="15.75" customHeight="1">
      <c r="A327" s="8"/>
      <c r="B327" s="8"/>
    </row>
    <row r="328" ht="15.75" customHeight="1">
      <c r="A328" s="8"/>
      <c r="B328" s="8"/>
    </row>
    <row r="329" ht="15.75" customHeight="1">
      <c r="A329" s="8"/>
      <c r="B329" s="8"/>
    </row>
    <row r="330" ht="15.75" customHeight="1">
      <c r="A330" s="8"/>
      <c r="B330" s="8"/>
    </row>
    <row r="331" ht="15.75" customHeight="1">
      <c r="A331" s="8"/>
      <c r="B331" s="8"/>
    </row>
    <row r="332" ht="15.75" customHeight="1">
      <c r="A332" s="8"/>
      <c r="B332" s="8"/>
    </row>
    <row r="333" ht="15.75" customHeight="1">
      <c r="A333" s="8"/>
      <c r="B333" s="8"/>
    </row>
    <row r="334" ht="15.75" customHeight="1">
      <c r="A334" s="8"/>
      <c r="B334" s="8"/>
    </row>
    <row r="335" ht="15.75" customHeight="1">
      <c r="A335" s="8"/>
      <c r="B335" s="8"/>
    </row>
    <row r="336" ht="15.75" customHeight="1">
      <c r="A336" s="8"/>
      <c r="B336" s="8"/>
    </row>
    <row r="337" ht="15.75" customHeight="1">
      <c r="A337" s="8"/>
      <c r="B337" s="8"/>
    </row>
    <row r="338" ht="15.75" customHeight="1">
      <c r="A338" s="8"/>
      <c r="B338" s="8"/>
    </row>
    <row r="339" ht="15.75" customHeight="1">
      <c r="A339" s="8"/>
      <c r="B339" s="8"/>
    </row>
    <row r="340" ht="15.75" customHeight="1">
      <c r="A340" s="8"/>
      <c r="B340" s="8"/>
    </row>
    <row r="341" ht="15.75" customHeight="1">
      <c r="A341" s="8"/>
      <c r="B341" s="8"/>
    </row>
    <row r="342" ht="15.75" customHeight="1">
      <c r="A342" s="8"/>
      <c r="B342" s="8"/>
    </row>
    <row r="343" ht="15.75" customHeight="1">
      <c r="A343" s="8"/>
      <c r="B343" s="8"/>
    </row>
    <row r="344" ht="15.75" customHeight="1">
      <c r="A344" s="8"/>
      <c r="B344" s="8"/>
    </row>
    <row r="345" ht="15.75" customHeight="1">
      <c r="A345" s="8"/>
      <c r="B345" s="8"/>
    </row>
    <row r="346" ht="15.75" customHeight="1">
      <c r="A346" s="8"/>
      <c r="B346" s="8"/>
    </row>
    <row r="347" ht="15.75" customHeight="1">
      <c r="A347" s="8"/>
      <c r="B347" s="8"/>
    </row>
    <row r="348" ht="15.75" customHeight="1">
      <c r="A348" s="8"/>
      <c r="B348" s="8"/>
    </row>
    <row r="349" ht="15.75" customHeight="1">
      <c r="A349" s="8"/>
      <c r="B349" s="8"/>
    </row>
    <row r="350" ht="15.75" customHeight="1">
      <c r="A350" s="8"/>
      <c r="B350" s="8"/>
    </row>
    <row r="351" ht="15.75" customHeight="1">
      <c r="A351" s="8"/>
      <c r="B351" s="8"/>
    </row>
    <row r="352" ht="15.75" customHeight="1">
      <c r="A352" s="8"/>
      <c r="B352" s="8"/>
    </row>
    <row r="353" ht="15.75" customHeight="1">
      <c r="A353" s="8"/>
      <c r="B353" s="8"/>
    </row>
    <row r="354" ht="15.75" customHeight="1">
      <c r="A354" s="8"/>
      <c r="B354" s="8"/>
    </row>
    <row r="355" ht="15.75" customHeight="1">
      <c r="A355" s="8"/>
      <c r="B355" s="8"/>
    </row>
    <row r="356" ht="15.75" customHeight="1">
      <c r="A356" s="8"/>
      <c r="B356" s="8"/>
    </row>
    <row r="357" ht="15.75" customHeight="1">
      <c r="A357" s="8"/>
      <c r="B357" s="8"/>
    </row>
    <row r="358" ht="15.75" customHeight="1">
      <c r="A358" s="8"/>
      <c r="B358" s="8"/>
    </row>
    <row r="359" ht="15.75" customHeight="1">
      <c r="A359" s="8"/>
      <c r="B359" s="8"/>
    </row>
    <row r="360" ht="15.75" customHeight="1">
      <c r="A360" s="8"/>
      <c r="B360" s="8"/>
    </row>
    <row r="361" ht="15.75" customHeight="1">
      <c r="A361" s="8"/>
      <c r="B361" s="8"/>
    </row>
    <row r="362" ht="15.75" customHeight="1">
      <c r="A362" s="8"/>
      <c r="B362" s="8"/>
    </row>
    <row r="363" ht="15.75" customHeight="1">
      <c r="A363" s="8"/>
      <c r="B363" s="8"/>
    </row>
    <row r="364" ht="15.75" customHeight="1">
      <c r="A364" s="8"/>
      <c r="B364" s="8"/>
    </row>
    <row r="365" ht="15.75" customHeight="1">
      <c r="A365" s="8"/>
      <c r="B365" s="8"/>
    </row>
    <row r="366" ht="15.75" customHeight="1">
      <c r="A366" s="8"/>
      <c r="B366" s="8"/>
    </row>
    <row r="367" ht="15.75" customHeight="1">
      <c r="A367" s="8"/>
      <c r="B367" s="8"/>
    </row>
    <row r="368" ht="15.75" customHeight="1">
      <c r="A368" s="8"/>
      <c r="B368" s="8"/>
    </row>
    <row r="369" ht="15.75" customHeight="1">
      <c r="A369" s="8"/>
      <c r="B369" s="8"/>
    </row>
    <row r="370" ht="15.75" customHeight="1">
      <c r="A370" s="8"/>
      <c r="B370" s="8"/>
    </row>
    <row r="371" ht="15.75" customHeight="1">
      <c r="A371" s="8"/>
      <c r="B371" s="8"/>
    </row>
    <row r="372" ht="15.75" customHeight="1">
      <c r="A372" s="8"/>
      <c r="B372" s="8"/>
    </row>
    <row r="373" ht="15.75" customHeight="1">
      <c r="A373" s="8"/>
      <c r="B373" s="8"/>
    </row>
    <row r="374" ht="15.75" customHeight="1">
      <c r="A374" s="8"/>
      <c r="B374" s="8"/>
    </row>
    <row r="375" ht="15.75" customHeight="1">
      <c r="A375" s="8"/>
      <c r="B375" s="8"/>
    </row>
    <row r="376" ht="15.75" customHeight="1">
      <c r="A376" s="8"/>
      <c r="B376" s="8"/>
    </row>
    <row r="377" ht="15.75" customHeight="1">
      <c r="A377" s="8"/>
      <c r="B377" s="8"/>
    </row>
    <row r="378" ht="15.75" customHeight="1">
      <c r="A378" s="8"/>
      <c r="B378" s="8"/>
    </row>
    <row r="379" ht="15.75" customHeight="1">
      <c r="A379" s="8"/>
      <c r="B379" s="8"/>
    </row>
    <row r="380" ht="15.75" customHeight="1">
      <c r="A380" s="8"/>
      <c r="B380" s="8"/>
    </row>
    <row r="381" ht="15.75" customHeight="1">
      <c r="A381" s="8"/>
      <c r="B381" s="8"/>
    </row>
    <row r="382" ht="15.75" customHeight="1">
      <c r="A382" s="8"/>
      <c r="B382" s="8"/>
    </row>
    <row r="383" ht="15.75" customHeight="1">
      <c r="A383" s="8"/>
      <c r="B383" s="8"/>
    </row>
    <row r="384" ht="15.75" customHeight="1">
      <c r="A384" s="8"/>
      <c r="B384" s="8"/>
    </row>
    <row r="385" ht="15.75" customHeight="1">
      <c r="A385" s="8"/>
      <c r="B385" s="8"/>
    </row>
    <row r="386" ht="15.75" customHeight="1">
      <c r="A386" s="8"/>
      <c r="B386" s="8"/>
    </row>
    <row r="387" ht="15.75" customHeight="1">
      <c r="A387" s="8"/>
      <c r="B387" s="8"/>
    </row>
    <row r="388" ht="15.75" customHeight="1">
      <c r="A388" s="8"/>
      <c r="B388" s="8"/>
    </row>
    <row r="389" ht="15.75" customHeight="1">
      <c r="A389" s="8"/>
      <c r="B389" s="8"/>
    </row>
    <row r="390" ht="15.75" customHeight="1">
      <c r="A390" s="8"/>
      <c r="B390" s="8"/>
    </row>
    <row r="391" ht="15.75" customHeight="1">
      <c r="A391" s="8"/>
      <c r="B391" s="8"/>
    </row>
    <row r="392" ht="15.75" customHeight="1">
      <c r="A392" s="8"/>
      <c r="B392" s="8"/>
    </row>
    <row r="393" ht="15.75" customHeight="1">
      <c r="A393" s="8"/>
      <c r="B393" s="8"/>
    </row>
    <row r="394" ht="15.75" customHeight="1">
      <c r="A394" s="8"/>
      <c r="B394" s="8"/>
    </row>
    <row r="395" ht="15.75" customHeight="1">
      <c r="A395" s="8"/>
      <c r="B395" s="8"/>
    </row>
    <row r="396" ht="15.75" customHeight="1">
      <c r="A396" s="8"/>
      <c r="B396" s="8"/>
    </row>
    <row r="397" ht="15.75" customHeight="1">
      <c r="A397" s="8"/>
      <c r="B397" s="8"/>
    </row>
    <row r="398" ht="15.75" customHeight="1">
      <c r="A398" s="8"/>
      <c r="B398" s="8"/>
    </row>
    <row r="399" ht="15.75" customHeight="1">
      <c r="A399" s="8"/>
      <c r="B399" s="8"/>
    </row>
    <row r="400" ht="15.75" customHeight="1">
      <c r="A400" s="8"/>
      <c r="B400" s="8"/>
    </row>
    <row r="401" ht="15.75" customHeight="1">
      <c r="A401" s="8"/>
      <c r="B401" s="8"/>
    </row>
    <row r="402" ht="15.75" customHeight="1">
      <c r="A402" s="8"/>
      <c r="B402" s="8"/>
    </row>
    <row r="403" ht="15.75" customHeight="1">
      <c r="A403" s="8"/>
      <c r="B403" s="8"/>
    </row>
    <row r="404" ht="15.75" customHeight="1">
      <c r="A404" s="8"/>
      <c r="B404" s="8"/>
    </row>
    <row r="405" ht="15.75" customHeight="1">
      <c r="A405" s="8"/>
      <c r="B405" s="8"/>
    </row>
    <row r="406" ht="15.75" customHeight="1">
      <c r="A406" s="8"/>
      <c r="B406" s="8"/>
    </row>
    <row r="407" ht="15.75" customHeight="1">
      <c r="A407" s="8"/>
      <c r="B407" s="8"/>
    </row>
    <row r="408" ht="15.75" customHeight="1">
      <c r="A408" s="8"/>
      <c r="B408" s="8"/>
    </row>
    <row r="409" ht="15.75" customHeight="1">
      <c r="A409" s="8"/>
      <c r="B409" s="8"/>
    </row>
    <row r="410" ht="15.75" customHeight="1">
      <c r="A410" s="8"/>
      <c r="B410" s="8"/>
    </row>
    <row r="411" ht="15.75" customHeight="1">
      <c r="A411" s="8"/>
      <c r="B411" s="8"/>
    </row>
    <row r="412" ht="15.75" customHeight="1">
      <c r="A412" s="8"/>
      <c r="B412" s="8"/>
    </row>
    <row r="413" ht="15.75" customHeight="1">
      <c r="A413" s="8"/>
      <c r="B413" s="8"/>
    </row>
    <row r="414" ht="15.75" customHeight="1">
      <c r="A414" s="8"/>
      <c r="B414" s="8"/>
    </row>
    <row r="415" ht="15.75" customHeight="1">
      <c r="A415" s="8"/>
      <c r="B415" s="8"/>
    </row>
    <row r="416" ht="15.75" customHeight="1">
      <c r="A416" s="8"/>
      <c r="B416" s="8"/>
    </row>
    <row r="417" ht="15.75" customHeight="1">
      <c r="A417" s="8"/>
      <c r="B417" s="8"/>
    </row>
    <row r="418" ht="15.75" customHeight="1">
      <c r="A418" s="8"/>
      <c r="B418" s="8"/>
    </row>
    <row r="419" ht="15.75" customHeight="1">
      <c r="A419" s="8"/>
      <c r="B419" s="8"/>
    </row>
    <row r="420" ht="15.75" customHeight="1">
      <c r="A420" s="8"/>
      <c r="B420" s="8"/>
    </row>
    <row r="421" ht="15.75" customHeight="1">
      <c r="A421" s="8"/>
      <c r="B421" s="8"/>
    </row>
    <row r="422" ht="15.75" customHeight="1">
      <c r="A422" s="8"/>
      <c r="B422" s="8"/>
    </row>
    <row r="423" ht="15.75" customHeight="1">
      <c r="A423" s="8"/>
      <c r="B423" s="8"/>
    </row>
    <row r="424" ht="15.75" customHeight="1">
      <c r="A424" s="8"/>
      <c r="B424" s="8"/>
    </row>
    <row r="425" ht="15.75" customHeight="1">
      <c r="A425" s="8"/>
      <c r="B425" s="8"/>
    </row>
    <row r="426" ht="15.75" customHeight="1">
      <c r="A426" s="8"/>
      <c r="B426" s="8"/>
    </row>
    <row r="427" ht="15.75" customHeight="1">
      <c r="A427" s="8"/>
      <c r="B427" s="8"/>
    </row>
    <row r="428" ht="15.75" customHeight="1">
      <c r="A428" s="8"/>
      <c r="B428" s="8"/>
    </row>
    <row r="429" ht="15.75" customHeight="1">
      <c r="A429" s="8"/>
      <c r="B429" s="8"/>
    </row>
    <row r="430" ht="15.75" customHeight="1">
      <c r="A430" s="8"/>
      <c r="B430" s="8"/>
    </row>
    <row r="431" ht="15.75" customHeight="1">
      <c r="A431" s="8"/>
      <c r="B431" s="8"/>
    </row>
    <row r="432" ht="15.75" customHeight="1">
      <c r="A432" s="8"/>
      <c r="B432" s="8"/>
    </row>
    <row r="433" ht="15.75" customHeight="1">
      <c r="A433" s="8"/>
      <c r="B433" s="8"/>
    </row>
    <row r="434" ht="15.75" customHeight="1">
      <c r="A434" s="8"/>
      <c r="B434" s="8"/>
    </row>
    <row r="435" ht="15.75" customHeight="1">
      <c r="A435" s="8"/>
      <c r="B435" s="8"/>
    </row>
    <row r="436" ht="15.75" customHeight="1">
      <c r="A436" s="8"/>
      <c r="B436" s="8"/>
    </row>
    <row r="437" ht="15.75" customHeight="1">
      <c r="A437" s="8"/>
      <c r="B437" s="8"/>
    </row>
    <row r="438" ht="15.75" customHeight="1">
      <c r="A438" s="8"/>
      <c r="B438" s="8"/>
    </row>
    <row r="439" ht="15.75" customHeight="1">
      <c r="A439" s="8"/>
      <c r="B439" s="8"/>
    </row>
    <row r="440" ht="15.75" customHeight="1">
      <c r="A440" s="8"/>
      <c r="B440" s="8"/>
    </row>
    <row r="441" ht="15.75" customHeight="1">
      <c r="A441" s="8"/>
      <c r="B441" s="8"/>
    </row>
    <row r="442" ht="15.75" customHeight="1">
      <c r="A442" s="8"/>
      <c r="B442" s="8"/>
    </row>
    <row r="443" ht="15.75" customHeight="1">
      <c r="A443" s="8"/>
      <c r="B443" s="8"/>
    </row>
    <row r="444" ht="15.75" customHeight="1">
      <c r="A444" s="8"/>
      <c r="B444" s="8"/>
    </row>
    <row r="445" ht="15.75" customHeight="1">
      <c r="A445" s="8"/>
      <c r="B445" s="8"/>
    </row>
    <row r="446" ht="15.75" customHeight="1">
      <c r="A446" s="8"/>
      <c r="B446" s="8"/>
    </row>
    <row r="447" ht="15.75" customHeight="1">
      <c r="A447" s="8"/>
      <c r="B447" s="8"/>
    </row>
    <row r="448" ht="15.75" customHeight="1">
      <c r="A448" s="8"/>
      <c r="B448" s="8"/>
    </row>
    <row r="449" ht="15.75" customHeight="1">
      <c r="A449" s="8"/>
      <c r="B449" s="8"/>
    </row>
    <row r="450" ht="15.75" customHeight="1">
      <c r="A450" s="8"/>
      <c r="B450" s="8"/>
    </row>
    <row r="451" ht="15.75" customHeight="1">
      <c r="A451" s="8"/>
      <c r="B451" s="8"/>
    </row>
    <row r="452" ht="15.75" customHeight="1">
      <c r="A452" s="8"/>
      <c r="B452" s="8"/>
    </row>
    <row r="453" ht="15.75" customHeight="1">
      <c r="A453" s="8"/>
      <c r="B453" s="8"/>
    </row>
    <row r="454" ht="15.75" customHeight="1">
      <c r="A454" s="8"/>
      <c r="B454" s="8"/>
    </row>
    <row r="455" ht="15.75" customHeight="1">
      <c r="A455" s="8"/>
      <c r="B455" s="8"/>
    </row>
    <row r="456" ht="15.75" customHeight="1">
      <c r="A456" s="8"/>
      <c r="B456" s="8"/>
    </row>
    <row r="457" ht="15.75" customHeight="1">
      <c r="A457" s="8"/>
      <c r="B457" s="8"/>
    </row>
    <row r="458" ht="15.75" customHeight="1">
      <c r="A458" s="8"/>
      <c r="B458" s="8"/>
    </row>
    <row r="459" ht="15.75" customHeight="1">
      <c r="A459" s="8"/>
      <c r="B459" s="8"/>
    </row>
    <row r="460" ht="15.75" customHeight="1">
      <c r="A460" s="8"/>
      <c r="B460" s="8"/>
    </row>
    <row r="461" ht="15.75" customHeight="1">
      <c r="A461" s="8"/>
      <c r="B461" s="8"/>
    </row>
    <row r="462" ht="15.75" customHeight="1">
      <c r="A462" s="8"/>
      <c r="B462" s="8"/>
    </row>
    <row r="463" ht="15.75" customHeight="1">
      <c r="A463" s="8"/>
      <c r="B463" s="8"/>
    </row>
    <row r="464" ht="15.75" customHeight="1">
      <c r="A464" s="8"/>
      <c r="B464" s="8"/>
    </row>
    <row r="465" ht="15.75" customHeight="1">
      <c r="A465" s="8"/>
      <c r="B465" s="8"/>
    </row>
    <row r="466" ht="15.75" customHeight="1">
      <c r="A466" s="8"/>
      <c r="B466" s="8"/>
    </row>
    <row r="467" ht="15.75" customHeight="1">
      <c r="A467" s="8"/>
      <c r="B467" s="8"/>
    </row>
    <row r="468" ht="15.75" customHeight="1">
      <c r="A468" s="8"/>
      <c r="B468" s="8"/>
    </row>
    <row r="469" ht="15.75" customHeight="1">
      <c r="A469" s="8"/>
      <c r="B469" s="8"/>
    </row>
    <row r="470" ht="15.75" customHeight="1">
      <c r="A470" s="8"/>
      <c r="B470" s="8"/>
    </row>
    <row r="471" ht="15.75" customHeight="1">
      <c r="A471" s="8"/>
      <c r="B471" s="8"/>
    </row>
    <row r="472" ht="15.75" customHeight="1">
      <c r="A472" s="8"/>
      <c r="B472" s="8"/>
    </row>
    <row r="473" ht="15.75" customHeight="1">
      <c r="A473" s="8"/>
      <c r="B473" s="8"/>
    </row>
    <row r="474" ht="15.75" customHeight="1">
      <c r="A474" s="8"/>
      <c r="B474" s="8"/>
    </row>
    <row r="475" ht="15.75" customHeight="1">
      <c r="A475" s="8"/>
      <c r="B475" s="8"/>
    </row>
    <row r="476" ht="15.75" customHeight="1">
      <c r="A476" s="8"/>
      <c r="B476" s="8"/>
    </row>
    <row r="477" ht="15.75" customHeight="1">
      <c r="A477" s="8"/>
      <c r="B477" s="8"/>
    </row>
    <row r="478" ht="15.75" customHeight="1">
      <c r="A478" s="8"/>
      <c r="B478" s="8"/>
    </row>
    <row r="479" ht="15.75" customHeight="1">
      <c r="A479" s="8"/>
      <c r="B479" s="8"/>
    </row>
    <row r="480" ht="15.75" customHeight="1">
      <c r="A480" s="8"/>
      <c r="B480" s="8"/>
    </row>
    <row r="481" ht="15.75" customHeight="1">
      <c r="A481" s="8"/>
      <c r="B481" s="8"/>
    </row>
    <row r="482" ht="15.75" customHeight="1">
      <c r="A482" s="8"/>
      <c r="B482" s="8"/>
    </row>
    <row r="483" ht="15.75" customHeight="1">
      <c r="A483" s="8"/>
      <c r="B483" s="8"/>
    </row>
    <row r="484" ht="15.75" customHeight="1">
      <c r="A484" s="8"/>
      <c r="B484" s="8"/>
    </row>
    <row r="485" ht="15.75" customHeight="1">
      <c r="A485" s="8"/>
      <c r="B485" s="8"/>
    </row>
    <row r="486" ht="15.75" customHeight="1">
      <c r="A486" s="8"/>
      <c r="B486" s="8"/>
    </row>
    <row r="487" ht="15.75" customHeight="1">
      <c r="A487" s="8"/>
      <c r="B487" s="8"/>
    </row>
    <row r="488" ht="15.75" customHeight="1">
      <c r="A488" s="8"/>
      <c r="B488" s="8"/>
    </row>
    <row r="489" ht="15.75" customHeight="1">
      <c r="A489" s="8"/>
      <c r="B489" s="8"/>
    </row>
    <row r="490" ht="15.75" customHeight="1">
      <c r="A490" s="8"/>
      <c r="B490" s="8"/>
    </row>
    <row r="491" ht="15.75" customHeight="1">
      <c r="A491" s="8"/>
      <c r="B491" s="8"/>
    </row>
    <row r="492" ht="15.75" customHeight="1">
      <c r="A492" s="8"/>
      <c r="B492" s="8"/>
    </row>
    <row r="493" ht="15.75" customHeight="1">
      <c r="A493" s="8"/>
      <c r="B493" s="8"/>
    </row>
    <row r="494" ht="15.75" customHeight="1">
      <c r="A494" s="8"/>
      <c r="B494" s="8"/>
    </row>
    <row r="495" ht="15.75" customHeight="1">
      <c r="A495" s="8"/>
      <c r="B495" s="8"/>
    </row>
    <row r="496" ht="15.75" customHeight="1">
      <c r="A496" s="8"/>
      <c r="B496" s="8"/>
    </row>
    <row r="497" ht="15.75" customHeight="1">
      <c r="A497" s="8"/>
      <c r="B497" s="8"/>
    </row>
    <row r="498" ht="15.75" customHeight="1">
      <c r="A498" s="8"/>
      <c r="B498" s="8"/>
    </row>
    <row r="499" ht="15.75" customHeight="1">
      <c r="A499" s="8"/>
      <c r="B499" s="8"/>
    </row>
    <row r="500" ht="15.75" customHeight="1">
      <c r="A500" s="8"/>
      <c r="B500" s="8"/>
    </row>
    <row r="501" ht="15.75" customHeight="1">
      <c r="A501" s="8"/>
      <c r="B501" s="8"/>
    </row>
    <row r="502" ht="15.75" customHeight="1">
      <c r="A502" s="8"/>
      <c r="B502" s="8"/>
    </row>
    <row r="503" ht="15.75" customHeight="1">
      <c r="A503" s="8"/>
      <c r="B503" s="8"/>
    </row>
    <row r="504" ht="15.75" customHeight="1">
      <c r="A504" s="8"/>
      <c r="B504" s="8"/>
    </row>
    <row r="505" ht="15.75" customHeight="1">
      <c r="A505" s="8"/>
      <c r="B505" s="8"/>
    </row>
    <row r="506" ht="15.75" customHeight="1">
      <c r="A506" s="8"/>
      <c r="B506" s="8"/>
    </row>
    <row r="507" ht="15.75" customHeight="1">
      <c r="A507" s="8"/>
      <c r="B507" s="8"/>
    </row>
    <row r="508" ht="15.75" customHeight="1">
      <c r="A508" s="8"/>
      <c r="B508" s="8"/>
    </row>
    <row r="509" ht="15.75" customHeight="1">
      <c r="A509" s="8"/>
      <c r="B509" s="8"/>
    </row>
    <row r="510" ht="15.75" customHeight="1">
      <c r="A510" s="8"/>
      <c r="B510" s="8"/>
    </row>
    <row r="511" ht="15.75" customHeight="1">
      <c r="A511" s="8"/>
      <c r="B511" s="8"/>
    </row>
    <row r="512" ht="15.75" customHeight="1">
      <c r="A512" s="8"/>
      <c r="B512" s="8"/>
    </row>
    <row r="513" ht="15.75" customHeight="1">
      <c r="A513" s="8"/>
      <c r="B513" s="8"/>
    </row>
    <row r="514" ht="15.75" customHeight="1">
      <c r="A514" s="8"/>
      <c r="B514" s="8"/>
    </row>
    <row r="515" ht="15.75" customHeight="1">
      <c r="A515" s="8"/>
      <c r="B515" s="8"/>
    </row>
    <row r="516" ht="15.75" customHeight="1">
      <c r="A516" s="8"/>
      <c r="B516" s="8"/>
    </row>
    <row r="517" ht="15.75" customHeight="1">
      <c r="A517" s="8"/>
      <c r="B517" s="8"/>
    </row>
    <row r="518" ht="15.75" customHeight="1">
      <c r="A518" s="8"/>
      <c r="B518" s="8"/>
    </row>
    <row r="519" ht="15.75" customHeight="1">
      <c r="A519" s="8"/>
      <c r="B519" s="8"/>
    </row>
    <row r="520" ht="15.75" customHeight="1">
      <c r="A520" s="8"/>
      <c r="B520" s="8"/>
    </row>
    <row r="521" ht="15.75" customHeight="1">
      <c r="A521" s="8"/>
      <c r="B521" s="8"/>
    </row>
    <row r="522" ht="15.75" customHeight="1">
      <c r="A522" s="8"/>
      <c r="B522" s="8"/>
    </row>
    <row r="523" ht="15.75" customHeight="1">
      <c r="A523" s="8"/>
      <c r="B523" s="8"/>
    </row>
    <row r="524" ht="15.75" customHeight="1">
      <c r="A524" s="8"/>
      <c r="B524" s="8"/>
    </row>
    <row r="525" ht="15.75" customHeight="1">
      <c r="A525" s="8"/>
      <c r="B525" s="8"/>
    </row>
    <row r="526" ht="15.75" customHeight="1">
      <c r="A526" s="8"/>
      <c r="B526" s="8"/>
    </row>
    <row r="527" ht="15.75" customHeight="1">
      <c r="A527" s="8"/>
      <c r="B527" s="8"/>
    </row>
    <row r="528" ht="15.75" customHeight="1">
      <c r="A528" s="8"/>
      <c r="B528" s="8"/>
    </row>
    <row r="529" ht="15.75" customHeight="1">
      <c r="A529" s="8"/>
      <c r="B529" s="8"/>
    </row>
    <row r="530" ht="15.75" customHeight="1">
      <c r="A530" s="8"/>
      <c r="B530" s="8"/>
    </row>
    <row r="531" ht="15.75" customHeight="1">
      <c r="A531" s="8"/>
      <c r="B531" s="8"/>
    </row>
    <row r="532" ht="15.75" customHeight="1">
      <c r="A532" s="8"/>
      <c r="B532" s="8"/>
    </row>
    <row r="533" ht="15.75" customHeight="1">
      <c r="A533" s="8"/>
      <c r="B533" s="8"/>
    </row>
    <row r="534" ht="15.75" customHeight="1">
      <c r="A534" s="8"/>
      <c r="B534" s="8"/>
    </row>
    <row r="535" ht="15.75" customHeight="1">
      <c r="A535" s="8"/>
      <c r="B535" s="8"/>
    </row>
    <row r="536" ht="15.75" customHeight="1">
      <c r="A536" s="8"/>
      <c r="B536" s="8"/>
    </row>
    <row r="537" ht="15.75" customHeight="1">
      <c r="A537" s="8"/>
      <c r="B537" s="8"/>
    </row>
    <row r="538" ht="15.75" customHeight="1">
      <c r="A538" s="8"/>
      <c r="B538" s="8"/>
    </row>
    <row r="539" ht="15.75" customHeight="1">
      <c r="A539" s="8"/>
      <c r="B539" s="8"/>
    </row>
    <row r="540" ht="15.75" customHeight="1">
      <c r="A540" s="8"/>
      <c r="B540" s="8"/>
    </row>
    <row r="541" ht="15.75" customHeight="1">
      <c r="A541" s="8"/>
      <c r="B541" s="8"/>
    </row>
    <row r="542" ht="15.75" customHeight="1">
      <c r="A542" s="8"/>
      <c r="B542" s="8"/>
    </row>
    <row r="543" ht="15.75" customHeight="1">
      <c r="A543" s="8"/>
      <c r="B543" s="8"/>
    </row>
    <row r="544" ht="15.75" customHeight="1">
      <c r="A544" s="8"/>
      <c r="B544" s="8"/>
    </row>
    <row r="545" ht="15.75" customHeight="1">
      <c r="A545" s="8"/>
      <c r="B545" s="8"/>
    </row>
    <row r="546" ht="15.75" customHeight="1">
      <c r="A546" s="8"/>
      <c r="B546" s="8"/>
    </row>
    <row r="547" ht="15.75" customHeight="1">
      <c r="A547" s="8"/>
      <c r="B547" s="8"/>
    </row>
    <row r="548" ht="15.75" customHeight="1">
      <c r="A548" s="8"/>
      <c r="B548" s="8"/>
    </row>
    <row r="549" ht="15.75" customHeight="1">
      <c r="A549" s="8"/>
      <c r="B549" s="8"/>
    </row>
    <row r="550" ht="15.75" customHeight="1">
      <c r="A550" s="8"/>
      <c r="B550" s="8"/>
    </row>
    <row r="551" ht="15.75" customHeight="1">
      <c r="A551" s="8"/>
      <c r="B551" s="8"/>
    </row>
    <row r="552" ht="15.75" customHeight="1">
      <c r="A552" s="8"/>
      <c r="B552" s="8"/>
    </row>
    <row r="553" ht="15.75" customHeight="1">
      <c r="A553" s="8"/>
      <c r="B553" s="8"/>
    </row>
    <row r="554" ht="15.75" customHeight="1">
      <c r="A554" s="8"/>
      <c r="B554" s="8"/>
    </row>
    <row r="555" ht="15.75" customHeight="1">
      <c r="A555" s="8"/>
      <c r="B555" s="8"/>
    </row>
    <row r="556" ht="15.75" customHeight="1">
      <c r="A556" s="8"/>
      <c r="B556" s="8"/>
    </row>
    <row r="557" ht="15.75" customHeight="1">
      <c r="A557" s="8"/>
      <c r="B557" s="8"/>
    </row>
    <row r="558" ht="15.75" customHeight="1">
      <c r="A558" s="8"/>
      <c r="B558" s="8"/>
    </row>
    <row r="559" ht="15.75" customHeight="1">
      <c r="A559" s="8"/>
      <c r="B559" s="8"/>
    </row>
    <row r="560" ht="15.75" customHeight="1">
      <c r="A560" s="8"/>
      <c r="B560" s="8"/>
    </row>
    <row r="561" ht="15.75" customHeight="1">
      <c r="A561" s="8"/>
      <c r="B561" s="8"/>
    </row>
    <row r="562" ht="15.75" customHeight="1">
      <c r="A562" s="8"/>
      <c r="B562" s="8"/>
    </row>
    <row r="563" ht="15.75" customHeight="1">
      <c r="A563" s="8"/>
      <c r="B563" s="8"/>
    </row>
    <row r="564" ht="15.75" customHeight="1">
      <c r="A564" s="8"/>
      <c r="B564" s="8"/>
    </row>
    <row r="565" ht="15.75" customHeight="1">
      <c r="A565" s="8"/>
      <c r="B565" s="8"/>
    </row>
    <row r="566" ht="15.75" customHeight="1">
      <c r="A566" s="8"/>
      <c r="B566" s="8"/>
    </row>
    <row r="567" ht="15.75" customHeight="1">
      <c r="A567" s="8"/>
      <c r="B567" s="8"/>
    </row>
    <row r="568" ht="15.75" customHeight="1">
      <c r="A568" s="8"/>
      <c r="B568" s="8"/>
    </row>
    <row r="569" ht="15.75" customHeight="1">
      <c r="A569" s="8"/>
      <c r="B569" s="8"/>
    </row>
    <row r="570" ht="15.75" customHeight="1">
      <c r="A570" s="8"/>
      <c r="B570" s="8"/>
    </row>
    <row r="571" ht="15.75" customHeight="1">
      <c r="A571" s="8"/>
      <c r="B571" s="8"/>
    </row>
    <row r="572" ht="15.75" customHeight="1">
      <c r="A572" s="8"/>
      <c r="B572" s="8"/>
    </row>
    <row r="573" ht="15.75" customHeight="1">
      <c r="A573" s="8"/>
      <c r="B573" s="8"/>
    </row>
    <row r="574" ht="15.75" customHeight="1">
      <c r="A574" s="8"/>
      <c r="B574" s="8"/>
    </row>
    <row r="575" ht="15.75" customHeight="1">
      <c r="A575" s="8"/>
      <c r="B575" s="8"/>
    </row>
    <row r="576" ht="15.75" customHeight="1">
      <c r="A576" s="8"/>
      <c r="B576" s="8"/>
    </row>
    <row r="577" ht="15.75" customHeight="1">
      <c r="A577" s="8"/>
      <c r="B577" s="8"/>
    </row>
    <row r="578" ht="15.75" customHeight="1">
      <c r="A578" s="8"/>
      <c r="B578" s="8"/>
    </row>
    <row r="579" ht="15.75" customHeight="1">
      <c r="A579" s="8"/>
      <c r="B579" s="8"/>
    </row>
    <row r="580" ht="15.75" customHeight="1">
      <c r="A580" s="8"/>
      <c r="B580" s="8"/>
    </row>
    <row r="581" ht="15.75" customHeight="1">
      <c r="A581" s="8"/>
      <c r="B581" s="8"/>
    </row>
    <row r="582" ht="15.75" customHeight="1">
      <c r="A582" s="8"/>
      <c r="B582" s="8"/>
    </row>
    <row r="583" ht="15.75" customHeight="1">
      <c r="A583" s="8"/>
      <c r="B583" s="8"/>
    </row>
    <row r="584" ht="15.75" customHeight="1">
      <c r="A584" s="8"/>
      <c r="B584" s="8"/>
    </row>
    <row r="585" ht="15.75" customHeight="1">
      <c r="A585" s="8"/>
      <c r="B585" s="8"/>
    </row>
    <row r="586" ht="15.75" customHeight="1">
      <c r="A586" s="8"/>
      <c r="B586" s="8"/>
    </row>
    <row r="587" ht="15.75" customHeight="1">
      <c r="A587" s="8"/>
      <c r="B587" s="8"/>
    </row>
    <row r="588" ht="15.75" customHeight="1">
      <c r="A588" s="8"/>
      <c r="B588" s="8"/>
    </row>
    <row r="589" ht="15.75" customHeight="1">
      <c r="A589" s="8"/>
      <c r="B589" s="8"/>
    </row>
    <row r="590" ht="15.75" customHeight="1">
      <c r="A590" s="8"/>
      <c r="B590" s="8"/>
    </row>
    <row r="591" ht="15.75" customHeight="1">
      <c r="A591" s="8"/>
      <c r="B591" s="8"/>
    </row>
    <row r="592" ht="15.75" customHeight="1">
      <c r="A592" s="8"/>
      <c r="B592" s="8"/>
    </row>
    <row r="593" ht="15.75" customHeight="1">
      <c r="A593" s="8"/>
      <c r="B593" s="8"/>
    </row>
    <row r="594" ht="15.75" customHeight="1">
      <c r="A594" s="8"/>
      <c r="B594" s="8"/>
    </row>
    <row r="595" ht="15.75" customHeight="1">
      <c r="A595" s="8"/>
      <c r="B595" s="8"/>
    </row>
    <row r="596" ht="15.75" customHeight="1">
      <c r="A596" s="8"/>
      <c r="B596" s="8"/>
    </row>
    <row r="597" ht="15.75" customHeight="1">
      <c r="A597" s="8"/>
      <c r="B597" s="8"/>
    </row>
    <row r="598" ht="15.75" customHeight="1">
      <c r="A598" s="8"/>
      <c r="B598" s="8"/>
    </row>
    <row r="599" ht="15.75" customHeight="1">
      <c r="A599" s="8"/>
      <c r="B599" s="8"/>
    </row>
    <row r="600" ht="15.75" customHeight="1">
      <c r="A600" s="8"/>
      <c r="B600" s="8"/>
    </row>
    <row r="601" ht="15.75" customHeight="1">
      <c r="A601" s="8"/>
      <c r="B601" s="8"/>
    </row>
    <row r="602" ht="15.75" customHeight="1">
      <c r="A602" s="8"/>
      <c r="B602" s="8"/>
    </row>
    <row r="603" ht="15.75" customHeight="1">
      <c r="A603" s="8"/>
      <c r="B603" s="8"/>
    </row>
    <row r="604" ht="15.75" customHeight="1">
      <c r="A604" s="8"/>
      <c r="B604" s="8"/>
    </row>
    <row r="605" ht="15.75" customHeight="1">
      <c r="A605" s="8"/>
      <c r="B605" s="8"/>
    </row>
    <row r="606" ht="15.75" customHeight="1">
      <c r="A606" s="8"/>
      <c r="B606" s="8"/>
    </row>
    <row r="607" ht="15.75" customHeight="1">
      <c r="A607" s="8"/>
      <c r="B607" s="8"/>
    </row>
    <row r="608" ht="15.75" customHeight="1">
      <c r="A608" s="8"/>
      <c r="B608" s="8"/>
    </row>
    <row r="609" ht="15.75" customHeight="1">
      <c r="A609" s="8"/>
      <c r="B609" s="8"/>
    </row>
    <row r="610" ht="15.75" customHeight="1">
      <c r="A610" s="8"/>
      <c r="B610" s="8"/>
    </row>
    <row r="611" ht="15.75" customHeight="1">
      <c r="A611" s="8"/>
      <c r="B611" s="8"/>
    </row>
    <row r="612" ht="15.75" customHeight="1">
      <c r="A612" s="8"/>
      <c r="B612" s="8"/>
    </row>
    <row r="613" ht="15.75" customHeight="1">
      <c r="A613" s="8"/>
      <c r="B613" s="8"/>
    </row>
    <row r="614" ht="15.75" customHeight="1">
      <c r="A614" s="8"/>
      <c r="B614" s="8"/>
    </row>
    <row r="615" ht="15.75" customHeight="1">
      <c r="A615" s="8"/>
      <c r="B615" s="8"/>
    </row>
    <row r="616" ht="15.75" customHeight="1">
      <c r="A616" s="8"/>
      <c r="B616" s="8"/>
    </row>
    <row r="617" ht="15.75" customHeight="1">
      <c r="A617" s="8"/>
      <c r="B617" s="8"/>
    </row>
    <row r="618" ht="15.75" customHeight="1">
      <c r="A618" s="8"/>
      <c r="B618" s="8"/>
    </row>
    <row r="619" ht="15.75" customHeight="1">
      <c r="A619" s="8"/>
      <c r="B619" s="8"/>
    </row>
    <row r="620" ht="15.75" customHeight="1">
      <c r="A620" s="8"/>
      <c r="B620" s="8"/>
    </row>
    <row r="621" ht="15.75" customHeight="1">
      <c r="A621" s="8"/>
      <c r="B621" s="8"/>
    </row>
    <row r="622" ht="15.75" customHeight="1">
      <c r="A622" s="8"/>
      <c r="B622" s="8"/>
    </row>
    <row r="623" ht="15.75" customHeight="1">
      <c r="A623" s="8"/>
      <c r="B623" s="8"/>
    </row>
    <row r="624" ht="15.75" customHeight="1">
      <c r="A624" s="8"/>
      <c r="B624" s="8"/>
    </row>
    <row r="625" ht="15.75" customHeight="1">
      <c r="A625" s="8"/>
      <c r="B625" s="8"/>
    </row>
    <row r="626" ht="15.75" customHeight="1">
      <c r="A626" s="8"/>
      <c r="B626" s="8"/>
    </row>
    <row r="627" ht="15.75" customHeight="1">
      <c r="A627" s="8"/>
      <c r="B627" s="8"/>
    </row>
    <row r="628" ht="15.75" customHeight="1">
      <c r="A628" s="8"/>
      <c r="B628" s="8"/>
    </row>
    <row r="629" ht="15.75" customHeight="1">
      <c r="A629" s="8"/>
      <c r="B629" s="8"/>
    </row>
    <row r="630" ht="15.75" customHeight="1">
      <c r="A630" s="8"/>
      <c r="B630" s="8"/>
    </row>
    <row r="631" ht="15.75" customHeight="1">
      <c r="A631" s="8"/>
      <c r="B631" s="8"/>
    </row>
    <row r="632" ht="15.75" customHeight="1">
      <c r="A632" s="8"/>
      <c r="B632" s="8"/>
    </row>
    <row r="633" ht="15.75" customHeight="1">
      <c r="A633" s="8"/>
      <c r="B633" s="8"/>
    </row>
    <row r="634" ht="15.75" customHeight="1">
      <c r="A634" s="8"/>
      <c r="B634" s="8"/>
    </row>
    <row r="635" ht="15.75" customHeight="1">
      <c r="A635" s="8"/>
      <c r="B635" s="8"/>
    </row>
    <row r="636" ht="15.75" customHeight="1">
      <c r="A636" s="8"/>
      <c r="B636" s="8"/>
    </row>
    <row r="637" ht="15.75" customHeight="1">
      <c r="A637" s="8"/>
      <c r="B637" s="8"/>
    </row>
    <row r="638" ht="15.75" customHeight="1">
      <c r="A638" s="8"/>
      <c r="B638" s="8"/>
    </row>
    <row r="639" ht="15.75" customHeight="1">
      <c r="A639" s="8"/>
      <c r="B639" s="8"/>
    </row>
    <row r="640" ht="15.75" customHeight="1">
      <c r="A640" s="8"/>
      <c r="B640" s="8"/>
    </row>
    <row r="641" ht="15.75" customHeight="1">
      <c r="A641" s="8"/>
      <c r="B641" s="8"/>
    </row>
    <row r="642" ht="15.75" customHeight="1">
      <c r="A642" s="8"/>
      <c r="B642" s="8"/>
    </row>
    <row r="643" ht="15.75" customHeight="1">
      <c r="A643" s="8"/>
      <c r="B643" s="8"/>
    </row>
    <row r="644" ht="15.75" customHeight="1">
      <c r="A644" s="8"/>
      <c r="B644" s="8"/>
    </row>
    <row r="645" ht="15.75" customHeight="1">
      <c r="A645" s="8"/>
      <c r="B645" s="8"/>
    </row>
    <row r="646" ht="15.75" customHeight="1">
      <c r="A646" s="8"/>
      <c r="B646" s="8"/>
    </row>
    <row r="647" ht="15.75" customHeight="1">
      <c r="A647" s="8"/>
      <c r="B647" s="8"/>
    </row>
    <row r="648" ht="15.75" customHeight="1">
      <c r="A648" s="8"/>
      <c r="B648" s="8"/>
    </row>
    <row r="649" ht="15.75" customHeight="1">
      <c r="A649" s="8"/>
      <c r="B649" s="8"/>
    </row>
    <row r="650" ht="15.75" customHeight="1">
      <c r="A650" s="8"/>
      <c r="B650" s="8"/>
    </row>
    <row r="651" ht="15.75" customHeight="1">
      <c r="A651" s="8"/>
      <c r="B651" s="8"/>
    </row>
    <row r="652" ht="15.75" customHeight="1">
      <c r="A652" s="8"/>
      <c r="B652" s="8"/>
    </row>
    <row r="653" ht="15.75" customHeight="1">
      <c r="A653" s="8"/>
      <c r="B653" s="8"/>
    </row>
    <row r="654" ht="15.75" customHeight="1">
      <c r="A654" s="8"/>
      <c r="B654" s="8"/>
    </row>
    <row r="655" ht="15.75" customHeight="1">
      <c r="A655" s="8"/>
      <c r="B655" s="8"/>
    </row>
    <row r="656" ht="15.75" customHeight="1">
      <c r="A656" s="8"/>
      <c r="B656" s="8"/>
    </row>
    <row r="657" ht="15.75" customHeight="1">
      <c r="A657" s="8"/>
      <c r="B657" s="8"/>
    </row>
    <row r="658" ht="15.75" customHeight="1">
      <c r="A658" s="8"/>
      <c r="B658" s="8"/>
    </row>
    <row r="659" ht="15.75" customHeight="1">
      <c r="A659" s="8"/>
      <c r="B659" s="8"/>
    </row>
    <row r="660" ht="15.75" customHeight="1">
      <c r="A660" s="8"/>
      <c r="B660" s="8"/>
    </row>
    <row r="661" ht="15.75" customHeight="1">
      <c r="A661" s="8"/>
      <c r="B661" s="8"/>
    </row>
    <row r="662" ht="15.75" customHeight="1">
      <c r="A662" s="8"/>
      <c r="B662" s="8"/>
    </row>
    <row r="663" ht="15.75" customHeight="1">
      <c r="A663" s="8"/>
      <c r="B663" s="8"/>
    </row>
    <row r="664" ht="15.75" customHeight="1">
      <c r="A664" s="8"/>
      <c r="B664" s="8"/>
    </row>
    <row r="665" ht="15.75" customHeight="1">
      <c r="A665" s="8"/>
      <c r="B665" s="8"/>
    </row>
    <row r="666" ht="15.75" customHeight="1">
      <c r="A666" s="8"/>
      <c r="B666" s="8"/>
    </row>
    <row r="667" ht="15.75" customHeight="1">
      <c r="A667" s="8"/>
      <c r="B667" s="8"/>
    </row>
    <row r="668" ht="15.75" customHeight="1">
      <c r="A668" s="8"/>
      <c r="B668" s="8"/>
    </row>
    <row r="669" ht="15.75" customHeight="1">
      <c r="A669" s="8"/>
      <c r="B669" s="8"/>
    </row>
    <row r="670" ht="15.75" customHeight="1">
      <c r="A670" s="8"/>
      <c r="B670" s="8"/>
    </row>
    <row r="671" ht="15.75" customHeight="1">
      <c r="A671" s="8"/>
      <c r="B671" s="8"/>
    </row>
    <row r="672" ht="15.75" customHeight="1">
      <c r="A672" s="8"/>
      <c r="B672" s="8"/>
    </row>
    <row r="673" ht="15.75" customHeight="1">
      <c r="A673" s="8"/>
      <c r="B673" s="8"/>
    </row>
    <row r="674" ht="15.75" customHeight="1">
      <c r="A674" s="8"/>
      <c r="B674" s="8"/>
    </row>
    <row r="675" ht="15.75" customHeight="1">
      <c r="A675" s="8"/>
      <c r="B675" s="8"/>
    </row>
    <row r="676" ht="15.75" customHeight="1">
      <c r="A676" s="8"/>
      <c r="B676" s="8"/>
    </row>
    <row r="677" ht="15.75" customHeight="1">
      <c r="A677" s="8"/>
      <c r="B677" s="8"/>
    </row>
    <row r="678" ht="15.75" customHeight="1">
      <c r="A678" s="8"/>
      <c r="B678" s="8"/>
    </row>
    <row r="679" ht="15.75" customHeight="1">
      <c r="A679" s="8"/>
      <c r="B679" s="8"/>
    </row>
    <row r="680" ht="15.75" customHeight="1">
      <c r="A680" s="8"/>
      <c r="B680" s="8"/>
    </row>
    <row r="681" ht="15.75" customHeight="1">
      <c r="A681" s="8"/>
      <c r="B681" s="8"/>
    </row>
    <row r="682" ht="15.75" customHeight="1">
      <c r="A682" s="8"/>
      <c r="B682" s="8"/>
    </row>
    <row r="683" ht="15.75" customHeight="1">
      <c r="A683" s="8"/>
      <c r="B683" s="8"/>
    </row>
    <row r="684" ht="15.75" customHeight="1">
      <c r="A684" s="8"/>
      <c r="B684" s="8"/>
    </row>
    <row r="685" ht="15.75" customHeight="1">
      <c r="A685" s="8"/>
      <c r="B685" s="8"/>
    </row>
    <row r="686" ht="15.75" customHeight="1">
      <c r="A686" s="8"/>
      <c r="B686" s="8"/>
    </row>
    <row r="687" ht="15.75" customHeight="1">
      <c r="A687" s="8"/>
      <c r="B687" s="8"/>
    </row>
    <row r="688" ht="15.75" customHeight="1">
      <c r="A688" s="8"/>
      <c r="B688" s="8"/>
    </row>
    <row r="689" ht="15.75" customHeight="1">
      <c r="A689" s="8"/>
      <c r="B689" s="8"/>
    </row>
    <row r="690" ht="15.75" customHeight="1">
      <c r="A690" s="8"/>
      <c r="B690" s="8"/>
    </row>
    <row r="691" ht="15.75" customHeight="1">
      <c r="A691" s="8"/>
      <c r="B691" s="8"/>
    </row>
    <row r="692" ht="15.75" customHeight="1">
      <c r="A692" s="8"/>
      <c r="B692" s="8"/>
    </row>
    <row r="693" ht="15.75" customHeight="1">
      <c r="A693" s="8"/>
      <c r="B693" s="8"/>
    </row>
    <row r="694" ht="15.75" customHeight="1">
      <c r="A694" s="8"/>
      <c r="B694" s="8"/>
    </row>
    <row r="695" ht="15.75" customHeight="1">
      <c r="A695" s="8"/>
      <c r="B695" s="8"/>
    </row>
    <row r="696" ht="15.75" customHeight="1">
      <c r="A696" s="8"/>
      <c r="B696" s="8"/>
    </row>
    <row r="697" ht="15.75" customHeight="1">
      <c r="A697" s="8"/>
      <c r="B697" s="8"/>
    </row>
    <row r="698" ht="15.75" customHeight="1">
      <c r="A698" s="8"/>
      <c r="B698" s="8"/>
    </row>
    <row r="699" ht="15.75" customHeight="1">
      <c r="A699" s="8"/>
      <c r="B699" s="8"/>
    </row>
    <row r="700" ht="15.75" customHeight="1">
      <c r="A700" s="8"/>
      <c r="B700" s="8"/>
    </row>
    <row r="701" ht="15.75" customHeight="1">
      <c r="A701" s="8"/>
      <c r="B701" s="8"/>
    </row>
    <row r="702" ht="15.75" customHeight="1">
      <c r="A702" s="8"/>
      <c r="B702" s="8"/>
    </row>
    <row r="703" ht="15.75" customHeight="1">
      <c r="A703" s="8"/>
      <c r="B703" s="8"/>
    </row>
    <row r="704" ht="15.75" customHeight="1">
      <c r="A704" s="8"/>
      <c r="B704" s="8"/>
    </row>
    <row r="705" ht="15.75" customHeight="1">
      <c r="A705" s="8"/>
      <c r="B705" s="8"/>
    </row>
    <row r="706" ht="15.75" customHeight="1">
      <c r="A706" s="8"/>
      <c r="B706" s="8"/>
    </row>
    <row r="707" ht="15.75" customHeight="1">
      <c r="A707" s="8"/>
      <c r="B707" s="8"/>
    </row>
    <row r="708" ht="15.75" customHeight="1">
      <c r="A708" s="8"/>
      <c r="B708" s="8"/>
    </row>
    <row r="709" ht="15.75" customHeight="1">
      <c r="A709" s="8"/>
      <c r="B709" s="8"/>
    </row>
    <row r="710" ht="15.75" customHeight="1">
      <c r="A710" s="8"/>
      <c r="B710" s="8"/>
    </row>
    <row r="711" ht="15.75" customHeight="1">
      <c r="A711" s="8"/>
      <c r="B711" s="8"/>
    </row>
    <row r="712" ht="15.75" customHeight="1">
      <c r="A712" s="8"/>
      <c r="B712" s="8"/>
    </row>
    <row r="713" ht="15.75" customHeight="1">
      <c r="A713" s="8"/>
      <c r="B713" s="8"/>
    </row>
    <row r="714" ht="15.75" customHeight="1">
      <c r="A714" s="8"/>
      <c r="B714" s="8"/>
    </row>
    <row r="715" ht="15.75" customHeight="1">
      <c r="A715" s="8"/>
      <c r="B715" s="8"/>
    </row>
    <row r="716" ht="15.75" customHeight="1">
      <c r="A716" s="8"/>
      <c r="B716" s="8"/>
    </row>
    <row r="717" ht="15.75" customHeight="1">
      <c r="A717" s="8"/>
      <c r="B717" s="8"/>
    </row>
    <row r="718" ht="15.75" customHeight="1">
      <c r="A718" s="8"/>
      <c r="B718" s="8"/>
    </row>
    <row r="719" ht="15.75" customHeight="1">
      <c r="A719" s="8"/>
      <c r="B719" s="8"/>
    </row>
    <row r="720" ht="15.75" customHeight="1">
      <c r="A720" s="8"/>
      <c r="B720" s="8"/>
    </row>
    <row r="721" ht="15.75" customHeight="1">
      <c r="A721" s="8"/>
      <c r="B721" s="8"/>
    </row>
    <row r="722" ht="15.75" customHeight="1">
      <c r="A722" s="8"/>
      <c r="B722" s="8"/>
    </row>
    <row r="723" ht="15.75" customHeight="1">
      <c r="A723" s="8"/>
      <c r="B723" s="8"/>
    </row>
    <row r="724" ht="15.75" customHeight="1">
      <c r="A724" s="8"/>
      <c r="B724" s="8"/>
    </row>
    <row r="725" ht="15.75" customHeight="1">
      <c r="A725" s="8"/>
      <c r="B725" s="8"/>
    </row>
    <row r="726" ht="15.75" customHeight="1">
      <c r="A726" s="8"/>
      <c r="B726" s="8"/>
    </row>
    <row r="727" ht="15.75" customHeight="1">
      <c r="A727" s="8"/>
      <c r="B727" s="8"/>
    </row>
    <row r="728" ht="15.75" customHeight="1">
      <c r="A728" s="8"/>
      <c r="B728" s="8"/>
    </row>
    <row r="729" ht="15.75" customHeight="1">
      <c r="A729" s="8"/>
      <c r="B729" s="8"/>
    </row>
    <row r="730" ht="15.75" customHeight="1">
      <c r="A730" s="8"/>
      <c r="B730" s="8"/>
    </row>
    <row r="731" ht="15.75" customHeight="1">
      <c r="A731" s="8"/>
      <c r="B731" s="8"/>
    </row>
    <row r="732" ht="15.75" customHeight="1">
      <c r="A732" s="8"/>
      <c r="B732" s="8"/>
    </row>
    <row r="733" ht="15.75" customHeight="1">
      <c r="A733" s="8"/>
      <c r="B733" s="8"/>
    </row>
    <row r="734" ht="15.75" customHeight="1">
      <c r="A734" s="8"/>
      <c r="B734" s="8"/>
    </row>
    <row r="735" ht="15.75" customHeight="1">
      <c r="A735" s="8"/>
      <c r="B735" s="8"/>
    </row>
    <row r="736" ht="15.75" customHeight="1">
      <c r="A736" s="8"/>
      <c r="B736" s="8"/>
    </row>
    <row r="737" ht="15.75" customHeight="1">
      <c r="A737" s="8"/>
      <c r="B737" s="8"/>
    </row>
    <row r="738" ht="15.75" customHeight="1">
      <c r="A738" s="8"/>
      <c r="B738" s="8"/>
    </row>
    <row r="739" ht="15.75" customHeight="1">
      <c r="A739" s="8"/>
      <c r="B739" s="8"/>
    </row>
    <row r="740" ht="15.75" customHeight="1">
      <c r="A740" s="8"/>
      <c r="B740" s="8"/>
    </row>
    <row r="741" ht="15.75" customHeight="1">
      <c r="A741" s="8"/>
      <c r="B741" s="8"/>
    </row>
    <row r="742" ht="15.75" customHeight="1">
      <c r="A742" s="8"/>
      <c r="B742" s="8"/>
    </row>
    <row r="743" ht="15.75" customHeight="1">
      <c r="A743" s="8"/>
      <c r="B743" s="8"/>
    </row>
    <row r="744" ht="15.75" customHeight="1">
      <c r="A744" s="8"/>
      <c r="B744" s="8"/>
    </row>
    <row r="745" ht="15.75" customHeight="1">
      <c r="A745" s="8"/>
      <c r="B745" s="8"/>
    </row>
    <row r="746" ht="15.75" customHeight="1">
      <c r="A746" s="8"/>
      <c r="B746" s="8"/>
    </row>
    <row r="747" ht="15.75" customHeight="1">
      <c r="A747" s="8"/>
      <c r="B747" s="8"/>
    </row>
    <row r="748" ht="15.75" customHeight="1">
      <c r="A748" s="8"/>
      <c r="B748" s="8"/>
    </row>
    <row r="749" ht="15.75" customHeight="1">
      <c r="A749" s="8"/>
      <c r="B749" s="8"/>
    </row>
    <row r="750" ht="15.75" customHeight="1">
      <c r="A750" s="8"/>
      <c r="B750" s="8"/>
    </row>
    <row r="751" ht="15.75" customHeight="1">
      <c r="A751" s="8"/>
      <c r="B751" s="8"/>
    </row>
    <row r="752" ht="15.75" customHeight="1">
      <c r="A752" s="8"/>
      <c r="B752" s="8"/>
    </row>
    <row r="753" ht="15.75" customHeight="1">
      <c r="A753" s="8"/>
      <c r="B753" s="8"/>
    </row>
    <row r="754" ht="15.75" customHeight="1">
      <c r="A754" s="8"/>
      <c r="B754" s="8"/>
    </row>
    <row r="755" ht="15.75" customHeight="1">
      <c r="A755" s="8"/>
      <c r="B755" s="8"/>
    </row>
    <row r="756" ht="15.75" customHeight="1">
      <c r="A756" s="8"/>
      <c r="B756" s="8"/>
    </row>
    <row r="757" ht="15.75" customHeight="1">
      <c r="A757" s="8"/>
      <c r="B757" s="8"/>
    </row>
    <row r="758" ht="15.75" customHeight="1">
      <c r="A758" s="8"/>
      <c r="B758" s="8"/>
    </row>
    <row r="759" ht="15.75" customHeight="1">
      <c r="A759" s="8"/>
      <c r="B759" s="8"/>
    </row>
    <row r="760" ht="15.75" customHeight="1">
      <c r="A760" s="8"/>
      <c r="B760" s="8"/>
    </row>
    <row r="761" ht="15.75" customHeight="1">
      <c r="A761" s="8"/>
      <c r="B761" s="8"/>
    </row>
    <row r="762" ht="15.75" customHeight="1">
      <c r="A762" s="8"/>
      <c r="B762" s="8"/>
    </row>
    <row r="763" ht="15.75" customHeight="1">
      <c r="A763" s="8"/>
      <c r="B763" s="8"/>
    </row>
    <row r="764" ht="15.75" customHeight="1">
      <c r="A764" s="8"/>
      <c r="B764" s="8"/>
    </row>
    <row r="765" ht="15.75" customHeight="1">
      <c r="A765" s="8"/>
      <c r="B765" s="8"/>
    </row>
    <row r="766" ht="15.75" customHeight="1">
      <c r="A766" s="8"/>
      <c r="B766" s="8"/>
    </row>
    <row r="767" ht="15.75" customHeight="1">
      <c r="A767" s="8"/>
      <c r="B767" s="8"/>
    </row>
    <row r="768" ht="15.75" customHeight="1">
      <c r="A768" s="8"/>
      <c r="B768" s="8"/>
    </row>
    <row r="769" ht="15.75" customHeight="1">
      <c r="A769" s="8"/>
      <c r="B769" s="8"/>
    </row>
    <row r="770" ht="15.75" customHeight="1">
      <c r="A770" s="8"/>
      <c r="B770" s="8"/>
    </row>
    <row r="771" ht="15.75" customHeight="1">
      <c r="A771" s="8"/>
      <c r="B771" s="8"/>
    </row>
    <row r="772" ht="15.75" customHeight="1">
      <c r="A772" s="8"/>
      <c r="B772" s="8"/>
    </row>
    <row r="773" ht="15.75" customHeight="1">
      <c r="A773" s="8"/>
      <c r="B773" s="8"/>
    </row>
    <row r="774" ht="15.75" customHeight="1">
      <c r="A774" s="8"/>
      <c r="B774" s="8"/>
    </row>
    <row r="775" ht="15.75" customHeight="1">
      <c r="A775" s="8"/>
      <c r="B775" s="8"/>
    </row>
    <row r="776" ht="15.75" customHeight="1">
      <c r="A776" s="8"/>
      <c r="B776" s="8"/>
    </row>
    <row r="777" ht="15.75" customHeight="1">
      <c r="A777" s="8"/>
      <c r="B777" s="8"/>
    </row>
    <row r="778" ht="15.75" customHeight="1">
      <c r="A778" s="8"/>
      <c r="B778" s="8"/>
    </row>
    <row r="779" ht="15.75" customHeight="1">
      <c r="A779" s="8"/>
      <c r="B779" s="8"/>
    </row>
    <row r="780" ht="15.75" customHeight="1">
      <c r="A780" s="8"/>
      <c r="B780" s="8"/>
    </row>
    <row r="781" ht="15.75" customHeight="1">
      <c r="A781" s="8"/>
      <c r="B781" s="8"/>
    </row>
    <row r="782" ht="15.75" customHeight="1">
      <c r="A782" s="8"/>
      <c r="B782" s="8"/>
    </row>
    <row r="783" ht="15.75" customHeight="1">
      <c r="A783" s="8"/>
      <c r="B783" s="8"/>
    </row>
    <row r="784" ht="15.75" customHeight="1">
      <c r="A784" s="8"/>
      <c r="B784" s="8"/>
    </row>
    <row r="785" ht="15.75" customHeight="1">
      <c r="A785" s="8"/>
      <c r="B785" s="8"/>
    </row>
    <row r="786" ht="15.75" customHeight="1">
      <c r="A786" s="8"/>
      <c r="B786" s="8"/>
    </row>
    <row r="787" ht="15.75" customHeight="1">
      <c r="A787" s="8"/>
      <c r="B787" s="8"/>
    </row>
    <row r="788" ht="15.75" customHeight="1">
      <c r="A788" s="8"/>
      <c r="B788" s="8"/>
    </row>
    <row r="789" ht="15.75" customHeight="1">
      <c r="A789" s="8"/>
      <c r="B789" s="8"/>
    </row>
    <row r="790" ht="15.75" customHeight="1">
      <c r="A790" s="8"/>
      <c r="B790" s="8"/>
    </row>
    <row r="791" ht="15.75" customHeight="1">
      <c r="A791" s="8"/>
      <c r="B791" s="8"/>
    </row>
    <row r="792" ht="15.75" customHeight="1">
      <c r="A792" s="8"/>
      <c r="B792" s="8"/>
    </row>
    <row r="793" ht="15.75" customHeight="1">
      <c r="A793" s="8"/>
      <c r="B793" s="8"/>
    </row>
    <row r="794" ht="15.75" customHeight="1">
      <c r="A794" s="8"/>
      <c r="B794" s="8"/>
    </row>
    <row r="795" ht="15.75" customHeight="1">
      <c r="A795" s="8"/>
      <c r="B795" s="8"/>
    </row>
    <row r="796" ht="15.75" customHeight="1">
      <c r="A796" s="8"/>
      <c r="B796" s="8"/>
    </row>
    <row r="797" ht="15.75" customHeight="1">
      <c r="A797" s="8"/>
      <c r="B797" s="8"/>
    </row>
    <row r="798" ht="15.75" customHeight="1">
      <c r="A798" s="8"/>
      <c r="B798" s="8"/>
    </row>
    <row r="799" ht="15.75" customHeight="1">
      <c r="A799" s="8"/>
      <c r="B799" s="8"/>
    </row>
    <row r="800" ht="15.75" customHeight="1">
      <c r="A800" s="8"/>
      <c r="B800" s="8"/>
    </row>
    <row r="801" ht="15.75" customHeight="1">
      <c r="A801" s="8"/>
      <c r="B801" s="8"/>
    </row>
    <row r="802" ht="15.75" customHeight="1">
      <c r="A802" s="8"/>
      <c r="B802" s="8"/>
    </row>
    <row r="803" ht="15.75" customHeight="1">
      <c r="A803" s="8"/>
      <c r="B803" s="8"/>
    </row>
    <row r="804" ht="15.75" customHeight="1">
      <c r="A804" s="8"/>
      <c r="B804" s="8"/>
    </row>
    <row r="805" ht="15.75" customHeight="1">
      <c r="A805" s="8"/>
      <c r="B805" s="8"/>
    </row>
    <row r="806" ht="15.75" customHeight="1">
      <c r="A806" s="8"/>
      <c r="B806" s="8"/>
    </row>
    <row r="807" ht="15.75" customHeight="1">
      <c r="A807" s="8"/>
      <c r="B807" s="8"/>
    </row>
    <row r="808" ht="15.75" customHeight="1">
      <c r="A808" s="8"/>
      <c r="B808" s="8"/>
    </row>
    <row r="809" ht="15.75" customHeight="1">
      <c r="A809" s="8"/>
      <c r="B809" s="8"/>
    </row>
    <row r="810" ht="15.75" customHeight="1">
      <c r="A810" s="8"/>
      <c r="B810" s="8"/>
    </row>
    <row r="811" ht="15.75" customHeight="1">
      <c r="A811" s="8"/>
      <c r="B811" s="8"/>
    </row>
    <row r="812" ht="15.75" customHeight="1">
      <c r="A812" s="8"/>
      <c r="B812" s="8"/>
    </row>
    <row r="813" ht="15.75" customHeight="1">
      <c r="A813" s="8"/>
      <c r="B813" s="8"/>
    </row>
    <row r="814" ht="15.75" customHeight="1">
      <c r="A814" s="8"/>
      <c r="B814" s="8"/>
    </row>
    <row r="815" ht="15.75" customHeight="1">
      <c r="A815" s="8"/>
      <c r="B815" s="8"/>
    </row>
    <row r="816" ht="15.75" customHeight="1">
      <c r="A816" s="8"/>
      <c r="B816" s="8"/>
    </row>
    <row r="817" ht="15.75" customHeight="1">
      <c r="A817" s="8"/>
      <c r="B817" s="8"/>
    </row>
    <row r="818" ht="15.75" customHeight="1">
      <c r="A818" s="8"/>
      <c r="B818" s="8"/>
    </row>
    <row r="819" ht="15.75" customHeight="1">
      <c r="A819" s="8"/>
      <c r="B819" s="8"/>
    </row>
    <row r="820" ht="15.75" customHeight="1">
      <c r="A820" s="8"/>
      <c r="B820" s="8"/>
    </row>
    <row r="821" ht="15.75" customHeight="1">
      <c r="A821" s="8"/>
      <c r="B821" s="8"/>
    </row>
    <row r="822" ht="15.75" customHeight="1">
      <c r="A822" s="8"/>
      <c r="B822" s="8"/>
    </row>
    <row r="823" ht="15.75" customHeight="1">
      <c r="A823" s="8"/>
      <c r="B823" s="8"/>
    </row>
    <row r="824" ht="15.75" customHeight="1">
      <c r="A824" s="8"/>
      <c r="B824" s="8"/>
    </row>
    <row r="825" ht="15.75" customHeight="1">
      <c r="A825" s="8"/>
      <c r="B825" s="8"/>
    </row>
    <row r="826" ht="15.75" customHeight="1">
      <c r="A826" s="8"/>
      <c r="B826" s="8"/>
    </row>
    <row r="827" ht="15.75" customHeight="1">
      <c r="A827" s="8"/>
      <c r="B827" s="8"/>
    </row>
    <row r="828" ht="15.75" customHeight="1">
      <c r="A828" s="8"/>
      <c r="B828" s="8"/>
    </row>
    <row r="829" ht="15.75" customHeight="1">
      <c r="A829" s="8"/>
      <c r="B829" s="8"/>
    </row>
    <row r="830" ht="15.75" customHeight="1">
      <c r="A830" s="8"/>
      <c r="B830" s="8"/>
    </row>
    <row r="831" ht="15.75" customHeight="1">
      <c r="A831" s="8"/>
      <c r="B831" s="8"/>
    </row>
    <row r="832" ht="15.75" customHeight="1">
      <c r="A832" s="8"/>
      <c r="B832" s="8"/>
    </row>
    <row r="833" ht="15.75" customHeight="1">
      <c r="A833" s="8"/>
      <c r="B833" s="8"/>
    </row>
    <row r="834" ht="15.75" customHeight="1">
      <c r="A834" s="8"/>
      <c r="B834" s="8"/>
    </row>
    <row r="835" ht="15.75" customHeight="1">
      <c r="A835" s="8"/>
      <c r="B835" s="8"/>
    </row>
    <row r="836" ht="15.75" customHeight="1">
      <c r="A836" s="8"/>
      <c r="B836" s="8"/>
    </row>
    <row r="837" ht="15.75" customHeight="1">
      <c r="A837" s="8"/>
      <c r="B837" s="8"/>
    </row>
    <row r="838" ht="15.75" customHeight="1">
      <c r="A838" s="8"/>
      <c r="B838" s="8"/>
    </row>
    <row r="839" ht="15.75" customHeight="1">
      <c r="A839" s="8"/>
      <c r="B839" s="8"/>
    </row>
    <row r="840" ht="15.75" customHeight="1">
      <c r="A840" s="8"/>
      <c r="B840" s="8"/>
    </row>
    <row r="841" ht="15.75" customHeight="1">
      <c r="A841" s="8"/>
      <c r="B841" s="8"/>
    </row>
    <row r="842" ht="15.75" customHeight="1">
      <c r="A842" s="8"/>
      <c r="B842" s="8"/>
    </row>
    <row r="843" ht="15.75" customHeight="1">
      <c r="A843" s="8"/>
      <c r="B843" s="8"/>
    </row>
    <row r="844" ht="15.75" customHeight="1">
      <c r="A844" s="8"/>
      <c r="B844" s="8"/>
    </row>
    <row r="845" ht="15.75" customHeight="1">
      <c r="A845" s="8"/>
      <c r="B845" s="8"/>
    </row>
    <row r="846" ht="15.75" customHeight="1">
      <c r="A846" s="8"/>
      <c r="B846" s="8"/>
    </row>
    <row r="847" ht="15.75" customHeight="1">
      <c r="A847" s="8"/>
      <c r="B847" s="8"/>
    </row>
    <row r="848" ht="15.75" customHeight="1">
      <c r="A848" s="8"/>
      <c r="B848" s="8"/>
    </row>
    <row r="849" ht="15.75" customHeight="1">
      <c r="A849" s="8"/>
      <c r="B849" s="8"/>
    </row>
    <row r="850" ht="15.75" customHeight="1">
      <c r="A850" s="8"/>
      <c r="B850" s="8"/>
    </row>
    <row r="851" ht="15.75" customHeight="1">
      <c r="A851" s="8"/>
      <c r="B851" s="8"/>
    </row>
    <row r="852" ht="15.75" customHeight="1">
      <c r="A852" s="8"/>
      <c r="B852" s="8"/>
    </row>
    <row r="853" ht="15.75" customHeight="1">
      <c r="A853" s="8"/>
      <c r="B853" s="8"/>
    </row>
    <row r="854" ht="15.75" customHeight="1">
      <c r="A854" s="8"/>
      <c r="B854" s="8"/>
    </row>
    <row r="855" ht="15.75" customHeight="1">
      <c r="A855" s="8"/>
      <c r="B855" s="8"/>
    </row>
    <row r="856" ht="15.75" customHeight="1">
      <c r="A856" s="8"/>
      <c r="B856" s="8"/>
    </row>
    <row r="857" ht="15.75" customHeight="1">
      <c r="A857" s="8"/>
      <c r="B857" s="8"/>
    </row>
    <row r="858" ht="15.75" customHeight="1">
      <c r="A858" s="8"/>
      <c r="B858" s="8"/>
    </row>
    <row r="859" ht="15.75" customHeight="1">
      <c r="A859" s="8"/>
      <c r="B859" s="8"/>
    </row>
    <row r="860" ht="15.75" customHeight="1">
      <c r="A860" s="8"/>
      <c r="B860" s="8"/>
    </row>
    <row r="861" ht="15.75" customHeight="1">
      <c r="A861" s="8"/>
      <c r="B861" s="8"/>
    </row>
    <row r="862" ht="15.75" customHeight="1">
      <c r="A862" s="8"/>
      <c r="B862" s="8"/>
    </row>
    <row r="863" ht="15.75" customHeight="1">
      <c r="A863" s="8"/>
      <c r="B863" s="8"/>
    </row>
    <row r="864" ht="15.75" customHeight="1">
      <c r="A864" s="8"/>
      <c r="B864" s="8"/>
    </row>
    <row r="865" ht="15.75" customHeight="1">
      <c r="A865" s="8"/>
      <c r="B865" s="8"/>
    </row>
    <row r="866" ht="15.75" customHeight="1">
      <c r="A866" s="8"/>
      <c r="B866" s="8"/>
    </row>
    <row r="867" ht="15.75" customHeight="1">
      <c r="A867" s="8"/>
      <c r="B867" s="8"/>
    </row>
    <row r="868" ht="15.75" customHeight="1">
      <c r="A868" s="8"/>
      <c r="B868" s="8"/>
    </row>
    <row r="869" ht="15.75" customHeight="1">
      <c r="A869" s="8"/>
      <c r="B869" s="8"/>
    </row>
    <row r="870" ht="15.75" customHeight="1">
      <c r="A870" s="8"/>
      <c r="B870" s="8"/>
    </row>
    <row r="871" ht="15.75" customHeight="1">
      <c r="A871" s="8"/>
      <c r="B871" s="8"/>
    </row>
    <row r="872" ht="15.75" customHeight="1">
      <c r="A872" s="8"/>
      <c r="B872" s="8"/>
    </row>
    <row r="873" ht="15.75" customHeight="1">
      <c r="A873" s="8"/>
      <c r="B873" s="8"/>
    </row>
    <row r="874" ht="15.75" customHeight="1">
      <c r="A874" s="8"/>
      <c r="B874" s="8"/>
    </row>
    <row r="875" ht="15.75" customHeight="1">
      <c r="A875" s="8"/>
      <c r="B875" s="8"/>
    </row>
    <row r="876" ht="15.75" customHeight="1">
      <c r="A876" s="8"/>
      <c r="B876" s="8"/>
    </row>
    <row r="877" ht="15.75" customHeight="1">
      <c r="A877" s="8"/>
      <c r="B877" s="8"/>
    </row>
    <row r="878" ht="15.75" customHeight="1">
      <c r="A878" s="8"/>
      <c r="B878" s="8"/>
    </row>
    <row r="879" ht="15.75" customHeight="1">
      <c r="A879" s="8"/>
      <c r="B879" s="8"/>
    </row>
    <row r="880" ht="15.75" customHeight="1">
      <c r="A880" s="8"/>
      <c r="B880" s="8"/>
    </row>
    <row r="881" ht="15.75" customHeight="1">
      <c r="A881" s="8"/>
      <c r="B881" s="8"/>
    </row>
    <row r="882" ht="15.75" customHeight="1">
      <c r="A882" s="8"/>
      <c r="B882" s="8"/>
    </row>
    <row r="883" ht="15.75" customHeight="1">
      <c r="A883" s="8"/>
      <c r="B883" s="8"/>
    </row>
    <row r="884" ht="15.75" customHeight="1">
      <c r="A884" s="8"/>
      <c r="B884" s="8"/>
    </row>
    <row r="885" ht="15.75" customHeight="1">
      <c r="A885" s="8"/>
      <c r="B885" s="8"/>
    </row>
    <row r="886" ht="15.75" customHeight="1">
      <c r="A886" s="8"/>
      <c r="B886" s="8"/>
    </row>
    <row r="887" ht="15.75" customHeight="1">
      <c r="A887" s="8"/>
      <c r="B887" s="8"/>
    </row>
    <row r="888" ht="15.75" customHeight="1">
      <c r="A888" s="8"/>
      <c r="B888" s="8"/>
    </row>
    <row r="889" ht="15.75" customHeight="1">
      <c r="A889" s="8"/>
      <c r="B889" s="8"/>
    </row>
    <row r="890" ht="15.75" customHeight="1">
      <c r="A890" s="8"/>
      <c r="B890" s="8"/>
    </row>
    <row r="891" ht="15.75" customHeight="1">
      <c r="A891" s="8"/>
      <c r="B891" s="8"/>
    </row>
    <row r="892" ht="15.75" customHeight="1">
      <c r="A892" s="8"/>
      <c r="B892" s="8"/>
    </row>
    <row r="893" ht="15.75" customHeight="1">
      <c r="A893" s="8"/>
      <c r="B893" s="8"/>
    </row>
    <row r="894" ht="15.75" customHeight="1">
      <c r="A894" s="8"/>
      <c r="B894" s="8"/>
    </row>
    <row r="895" ht="15.75" customHeight="1">
      <c r="A895" s="8"/>
      <c r="B895" s="8"/>
    </row>
    <row r="896" ht="15.75" customHeight="1">
      <c r="A896" s="8"/>
      <c r="B896" s="8"/>
    </row>
    <row r="897" ht="15.75" customHeight="1">
      <c r="A897" s="8"/>
      <c r="B897" s="8"/>
    </row>
    <row r="898" ht="15.75" customHeight="1">
      <c r="A898" s="8"/>
      <c r="B898" s="8"/>
    </row>
    <row r="899" ht="15.75" customHeight="1">
      <c r="A899" s="8"/>
      <c r="B899" s="8"/>
    </row>
    <row r="900" ht="15.75" customHeight="1">
      <c r="A900" s="8"/>
      <c r="B900" s="8"/>
    </row>
    <row r="901" ht="15.75" customHeight="1">
      <c r="A901" s="8"/>
      <c r="B901" s="8"/>
    </row>
    <row r="902" ht="15.75" customHeight="1">
      <c r="A902" s="8"/>
      <c r="B902" s="8"/>
    </row>
    <row r="903" ht="15.75" customHeight="1">
      <c r="A903" s="8"/>
      <c r="B903" s="8"/>
    </row>
    <row r="904" ht="15.75" customHeight="1">
      <c r="A904" s="8"/>
      <c r="B904" s="8"/>
    </row>
    <row r="905" ht="15.75" customHeight="1">
      <c r="A905" s="8"/>
      <c r="B905" s="8"/>
    </row>
    <row r="906" ht="15.75" customHeight="1">
      <c r="A906" s="8"/>
      <c r="B906" s="8"/>
    </row>
    <row r="907" ht="15.75" customHeight="1">
      <c r="A907" s="8"/>
      <c r="B907" s="8"/>
    </row>
    <row r="908" ht="15.75" customHeight="1">
      <c r="A908" s="8"/>
      <c r="B908" s="8"/>
    </row>
    <row r="909" ht="15.75" customHeight="1">
      <c r="A909" s="8"/>
      <c r="B909" s="8"/>
    </row>
    <row r="910" ht="15.75" customHeight="1">
      <c r="A910" s="8"/>
      <c r="B910" s="8"/>
    </row>
    <row r="911" ht="15.75" customHeight="1">
      <c r="A911" s="8"/>
      <c r="B911" s="8"/>
    </row>
    <row r="912" ht="15.75" customHeight="1">
      <c r="A912" s="8"/>
      <c r="B912" s="8"/>
    </row>
    <row r="913" ht="15.75" customHeight="1">
      <c r="A913" s="8"/>
      <c r="B913" s="8"/>
    </row>
    <row r="914" ht="15.75" customHeight="1">
      <c r="A914" s="8"/>
      <c r="B914" s="8"/>
    </row>
    <row r="915" ht="15.75" customHeight="1">
      <c r="A915" s="8"/>
      <c r="B915" s="8"/>
    </row>
    <row r="916" ht="15.75" customHeight="1">
      <c r="A916" s="8"/>
      <c r="B916" s="8"/>
    </row>
    <row r="917" ht="15.75" customHeight="1">
      <c r="A917" s="8"/>
      <c r="B917" s="8"/>
    </row>
    <row r="918" ht="15.75" customHeight="1">
      <c r="A918" s="8"/>
      <c r="B918" s="8"/>
    </row>
    <row r="919" ht="15.75" customHeight="1">
      <c r="A919" s="8"/>
      <c r="B919" s="8"/>
    </row>
    <row r="920" ht="15.75" customHeight="1">
      <c r="A920" s="8"/>
      <c r="B920" s="8"/>
    </row>
    <row r="921" ht="15.75" customHeight="1">
      <c r="A921" s="8"/>
      <c r="B921" s="8"/>
    </row>
    <row r="922" ht="15.75" customHeight="1">
      <c r="A922" s="8"/>
      <c r="B922" s="8"/>
    </row>
    <row r="923" ht="15.75" customHeight="1">
      <c r="A923" s="8"/>
      <c r="B923" s="8"/>
    </row>
    <row r="924" ht="15.75" customHeight="1">
      <c r="A924" s="8"/>
      <c r="B924" s="8"/>
    </row>
    <row r="925" ht="15.75" customHeight="1">
      <c r="A925" s="8"/>
      <c r="B925" s="8"/>
    </row>
    <row r="926" ht="15.75" customHeight="1">
      <c r="A926" s="8"/>
      <c r="B926" s="8"/>
    </row>
    <row r="927" ht="15.75" customHeight="1">
      <c r="A927" s="8"/>
      <c r="B927" s="8"/>
    </row>
    <row r="928" ht="15.75" customHeight="1">
      <c r="A928" s="8"/>
      <c r="B928" s="8"/>
    </row>
    <row r="929" ht="15.75" customHeight="1">
      <c r="A929" s="8"/>
      <c r="B929" s="8"/>
    </row>
    <row r="930" ht="15.75" customHeight="1">
      <c r="A930" s="8"/>
      <c r="B930" s="8"/>
    </row>
    <row r="931" ht="15.75" customHeight="1">
      <c r="A931" s="8"/>
      <c r="B931" s="8"/>
    </row>
    <row r="932" ht="15.75" customHeight="1">
      <c r="A932" s="8"/>
      <c r="B932" s="8"/>
    </row>
    <row r="933" ht="15.75" customHeight="1">
      <c r="A933" s="8"/>
      <c r="B933" s="8"/>
    </row>
    <row r="934" ht="15.75" customHeight="1">
      <c r="A934" s="8"/>
      <c r="B934" s="8"/>
    </row>
    <row r="935" ht="15.75" customHeight="1">
      <c r="A935" s="8"/>
      <c r="B935" s="8"/>
    </row>
    <row r="936" ht="15.75" customHeight="1">
      <c r="A936" s="8"/>
      <c r="B936" s="8"/>
    </row>
    <row r="937" ht="15.75" customHeight="1">
      <c r="A937" s="8"/>
      <c r="B937" s="8"/>
    </row>
    <row r="938" ht="15.75" customHeight="1">
      <c r="A938" s="8"/>
      <c r="B938" s="8"/>
    </row>
    <row r="939" ht="15.75" customHeight="1">
      <c r="A939" s="8"/>
      <c r="B939" s="8"/>
    </row>
    <row r="940" ht="15.75" customHeight="1">
      <c r="A940" s="8"/>
      <c r="B940" s="8"/>
    </row>
    <row r="941" ht="15.75" customHeight="1">
      <c r="A941" s="8"/>
      <c r="B941" s="8"/>
    </row>
    <row r="942" ht="15.75" customHeight="1">
      <c r="A942" s="8"/>
      <c r="B942" s="8"/>
    </row>
    <row r="943" ht="15.75" customHeight="1">
      <c r="A943" s="8"/>
      <c r="B943" s="8"/>
    </row>
    <row r="944" ht="15.75" customHeight="1">
      <c r="A944" s="8"/>
      <c r="B944" s="8"/>
    </row>
    <row r="945" ht="15.75" customHeight="1">
      <c r="A945" s="8"/>
      <c r="B945" s="8"/>
    </row>
    <row r="946" ht="15.75" customHeight="1">
      <c r="A946" s="8"/>
      <c r="B946" s="8"/>
    </row>
    <row r="947" ht="15.75" customHeight="1">
      <c r="A947" s="8"/>
      <c r="B947" s="8"/>
    </row>
    <row r="948" ht="15.75" customHeight="1">
      <c r="A948" s="8"/>
      <c r="B948" s="8"/>
    </row>
    <row r="949" ht="15.75" customHeight="1">
      <c r="A949" s="8"/>
      <c r="B949" s="8"/>
    </row>
    <row r="950" ht="15.75" customHeight="1">
      <c r="A950" s="8"/>
      <c r="B950" s="8"/>
    </row>
    <row r="951" ht="15.75" customHeight="1">
      <c r="A951" s="8"/>
      <c r="B951" s="8"/>
    </row>
    <row r="952" ht="15.75" customHeight="1">
      <c r="A952" s="8"/>
      <c r="B952" s="8"/>
    </row>
    <row r="953" ht="15.75" customHeight="1">
      <c r="A953" s="8"/>
      <c r="B953" s="8"/>
    </row>
    <row r="954" ht="15.75" customHeight="1">
      <c r="A954" s="8"/>
      <c r="B954" s="8"/>
    </row>
    <row r="955" ht="15.75" customHeight="1">
      <c r="A955" s="8"/>
      <c r="B955" s="8"/>
    </row>
    <row r="956" ht="15.75" customHeight="1">
      <c r="A956" s="8"/>
      <c r="B956" s="8"/>
    </row>
    <row r="957" ht="15.75" customHeight="1">
      <c r="A957" s="8"/>
      <c r="B957" s="8"/>
    </row>
    <row r="958" ht="15.75" customHeight="1">
      <c r="A958" s="8"/>
      <c r="B958" s="8"/>
    </row>
    <row r="959" ht="15.75" customHeight="1">
      <c r="A959" s="8"/>
      <c r="B959" s="8"/>
    </row>
    <row r="960" ht="15.75" customHeight="1">
      <c r="A960" s="8"/>
      <c r="B960" s="8"/>
    </row>
    <row r="961" ht="15.75" customHeight="1">
      <c r="A961" s="8"/>
      <c r="B961" s="8"/>
    </row>
    <row r="962" ht="15.75" customHeight="1">
      <c r="A962" s="8"/>
      <c r="B962" s="8"/>
    </row>
    <row r="963" ht="15.75" customHeight="1">
      <c r="A963" s="8"/>
      <c r="B963" s="8"/>
    </row>
    <row r="964" ht="15.75" customHeight="1">
      <c r="A964" s="8"/>
      <c r="B964" s="8"/>
    </row>
    <row r="965" ht="15.75" customHeight="1">
      <c r="A965" s="8"/>
      <c r="B965" s="8"/>
    </row>
    <row r="966" ht="15.75" customHeight="1">
      <c r="A966" s="8"/>
      <c r="B966" s="8"/>
    </row>
    <row r="967" ht="15.75" customHeight="1">
      <c r="A967" s="8"/>
      <c r="B967" s="8"/>
    </row>
    <row r="968" ht="15.75" customHeight="1">
      <c r="A968" s="8"/>
      <c r="B968" s="8"/>
    </row>
    <row r="969" ht="15.75" customHeight="1">
      <c r="A969" s="8"/>
      <c r="B969" s="8"/>
    </row>
    <row r="970" ht="15.75" customHeight="1">
      <c r="A970" s="8"/>
      <c r="B970" s="8"/>
    </row>
    <row r="971" ht="15.75" customHeight="1">
      <c r="A971" s="8"/>
      <c r="B971" s="8"/>
    </row>
    <row r="972" ht="15.75" customHeight="1">
      <c r="A972" s="8"/>
      <c r="B972" s="8"/>
    </row>
    <row r="973" ht="15.75" customHeight="1">
      <c r="A973" s="8"/>
      <c r="B973" s="8"/>
    </row>
    <row r="974" ht="15.75" customHeight="1">
      <c r="A974" s="8"/>
      <c r="B974" s="8"/>
    </row>
    <row r="975" ht="15.75" customHeight="1">
      <c r="A975" s="8"/>
      <c r="B975" s="8"/>
    </row>
    <row r="976" ht="15.75" customHeight="1">
      <c r="A976" s="8"/>
      <c r="B976" s="8"/>
    </row>
    <row r="977" ht="15.75" customHeight="1">
      <c r="A977" s="8"/>
      <c r="B977" s="8"/>
    </row>
    <row r="978" ht="15.75" customHeight="1">
      <c r="A978" s="8"/>
      <c r="B978" s="8"/>
    </row>
    <row r="979" ht="15.75" customHeight="1">
      <c r="A979" s="8"/>
      <c r="B979" s="8"/>
    </row>
    <row r="980" ht="15.75" customHeight="1">
      <c r="A980" s="8"/>
      <c r="B980" s="8"/>
    </row>
    <row r="981" ht="15.75" customHeight="1">
      <c r="A981" s="8"/>
      <c r="B981" s="8"/>
    </row>
    <row r="982" ht="15.75" customHeight="1">
      <c r="A982" s="8"/>
      <c r="B982" s="8"/>
    </row>
    <row r="983" ht="15.75" customHeight="1">
      <c r="A983" s="8"/>
      <c r="B983" s="8"/>
    </row>
    <row r="984" ht="15.75" customHeight="1">
      <c r="A984" s="8"/>
      <c r="B984" s="8"/>
    </row>
    <row r="985" ht="15.75" customHeight="1">
      <c r="A985" s="8"/>
      <c r="B985" s="8"/>
    </row>
    <row r="986" ht="15.75" customHeight="1">
      <c r="A986" s="8"/>
      <c r="B986" s="8"/>
    </row>
    <row r="987" ht="15.75" customHeight="1">
      <c r="A987" s="8"/>
      <c r="B987" s="8"/>
    </row>
    <row r="988" ht="15.75" customHeight="1">
      <c r="A988" s="8"/>
      <c r="B988" s="8"/>
    </row>
    <row r="989" ht="15.75" customHeight="1">
      <c r="A989" s="8"/>
      <c r="B989" s="8"/>
    </row>
    <row r="990" ht="15.75" customHeight="1">
      <c r="A990" s="8"/>
      <c r="B990" s="8"/>
    </row>
    <row r="991" ht="15.75" customHeight="1">
      <c r="A991" s="8"/>
      <c r="B991" s="8"/>
    </row>
    <row r="992" ht="15.75" customHeight="1">
      <c r="A992" s="8"/>
      <c r="B992" s="8"/>
    </row>
    <row r="993" ht="15.75" customHeight="1">
      <c r="A993" s="8"/>
      <c r="B993" s="8"/>
    </row>
    <row r="994" ht="15.75" customHeight="1">
      <c r="A994" s="8"/>
      <c r="B994" s="8"/>
    </row>
    <row r="995" ht="15.75" customHeight="1">
      <c r="A995" s="8"/>
      <c r="B995" s="8"/>
    </row>
    <row r="996" ht="15.75" customHeight="1">
      <c r="A996" s="8"/>
      <c r="B996" s="8"/>
    </row>
    <row r="997" ht="15.75" customHeight="1">
      <c r="A997" s="8"/>
      <c r="B997" s="8"/>
    </row>
    <row r="998" ht="15.75" customHeight="1">
      <c r="A998" s="8"/>
      <c r="B998" s="8"/>
    </row>
    <row r="999" ht="15.75" customHeight="1">
      <c r="A999" s="8"/>
      <c r="B999" s="8"/>
    </row>
    <row r="1000" ht="15.75" customHeight="1">
      <c r="A1000" s="8"/>
      <c r="B1000" s="8"/>
    </row>
  </sheetData>
  <mergeCells count="2">
    <mergeCell ref="A1:B1"/>
    <mergeCell ref="A2:B2"/>
  </mergeCells>
  <printOptions/>
  <pageMargins bottom="1.0" footer="0.0" header="0.0" left="0.75" right="0.75" top="1.0"/>
  <pageSetup fitToHeight="0" orientation="landscape"/>
  <drawing r:id="rId1"/>
</worksheet>
</file>