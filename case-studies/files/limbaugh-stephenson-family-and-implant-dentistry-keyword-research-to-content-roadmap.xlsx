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Business Analysis" sheetId="2" r:id="rId6"/>
    <sheet state="visible" name="Keyword Master Database" sheetId="3" r:id="rId7"/>
    <sheet state="visible" name="Keyword Clusters" sheetId="4" r:id="rId8"/>
    <sheet state="visible" name="Competitor Analysis" sheetId="5" r:id="rId9"/>
    <sheet state="visible" name="Keyword Mapping" sheetId="6" r:id="rId10"/>
    <sheet state="visible" name="Topical Authority Map" sheetId="7" r:id="rId11"/>
    <sheet state="visible" name="SEO Silo Architecture" sheetId="8" r:id="rId12"/>
    <sheet state="visible" name="Internal Linking Blueprint" sheetId="9" r:id="rId13"/>
    <sheet state="visible" name="Content Roadmap" sheetId="10" r:id="rId14"/>
    <sheet state="visible" name="Quick Wins" sheetId="11" r:id="rId15"/>
  </sheets>
  <definedNames/>
  <calcPr/>
</workbook>
</file>

<file path=xl/sharedStrings.xml><?xml version="1.0" encoding="utf-8"?>
<sst xmlns="http://schemas.openxmlformats.org/spreadsheetml/2006/main" count="4967" uniqueCount="1070">
  <si>
    <t>BUSINESS ANALYSIS</t>
  </si>
  <si>
    <t>Keyword</t>
  </si>
  <si>
    <t>Keyword Type</t>
  </si>
  <si>
    <t>Parent Topic</t>
  </si>
  <si>
    <t>Cluster</t>
  </si>
  <si>
    <t>Search Intent</t>
  </si>
  <si>
    <t>Funnel Stage</t>
  </si>
  <si>
    <t>Primary/Secondary</t>
  </si>
  <si>
    <t>Search Volume</t>
  </si>
  <si>
    <t>Volume Source</t>
  </si>
  <si>
    <t>Estimated KD</t>
  </si>
  <si>
    <t>KD Source</t>
  </si>
  <si>
    <t>BUSINESS PROFILE</t>
  </si>
  <si>
    <t>Estimated CPC</t>
  </si>
  <si>
    <t>CPC Source</t>
  </si>
  <si>
    <t>SERP Competition</t>
  </si>
  <si>
    <t>Ranking Competitors</t>
  </si>
  <si>
    <t>Business Value Score (1-5)</t>
  </si>
  <si>
    <t>Search Demand Score (1-5)</t>
  </si>
  <si>
    <t>Ranking Opportunity Score (1-5)</t>
  </si>
  <si>
    <t>Intent Strength Score (1-5)</t>
  </si>
  <si>
    <t>Conversion Potential Score (1-5)</t>
  </si>
  <si>
    <t>Topical Importance Score (1-5)</t>
  </si>
  <si>
    <t>SEO Priority Score</t>
  </si>
  <si>
    <t>Priority Level</t>
  </si>
  <si>
    <t>Target URL</t>
  </si>
  <si>
    <t>Recommended Action</t>
  </si>
  <si>
    <t>Business Name</t>
  </si>
  <si>
    <t>Notes</t>
  </si>
  <si>
    <t>limbaugh and stephenson dentistry</t>
  </si>
  <si>
    <t>Drs. Limbaugh &amp; Stephenson Family and Implant Dentistry</t>
  </si>
  <si>
    <t>Brand</t>
  </si>
  <si>
    <t>Brand &amp; Practice Name</t>
  </si>
  <si>
    <t>Navigational</t>
  </si>
  <si>
    <t>Website</t>
  </si>
  <si>
    <t>BOFU</t>
  </si>
  <si>
    <t>Primary</t>
  </si>
  <si>
    <t>https://familyandimplantdentists.com/</t>
  </si>
  <si>
    <t>SEO Market Estimate</t>
  </si>
  <si>
    <t>Industry</t>
  </si>
  <si>
    <t>Dental Clinic (family, implant and cosmetic dentistry)</t>
  </si>
  <si>
    <t>SERP Competition Analysis</t>
  </si>
  <si>
    <t>Country</t>
  </si>
  <si>
    <t>United States</t>
  </si>
  <si>
    <t>Commercial Intent Analysis</t>
  </si>
  <si>
    <t>Target Location</t>
  </si>
  <si>
    <t>4605 Bellewood Cir SE, Huntsville, AL 35802, United States</t>
  </si>
  <si>
    <t>Phone</t>
  </si>
  <si>
    <t>(256) 539-6634</t>
  </si>
  <si>
    <t>Target Audience</t>
  </si>
  <si>
    <t>Cluster Name</t>
  </si>
  <si>
    <t>Primary Keyword</t>
  </si>
  <si>
    <t>Secondary Keywords</t>
  </si>
  <si>
    <t>Questions</t>
  </si>
  <si>
    <t>Entities</t>
  </si>
  <si>
    <t>Intent</t>
  </si>
  <si>
    <t>familyandimplantdentists.com (own); Healthgrades; Yelp; Facebook</t>
  </si>
  <si>
    <t>Recommended Page</t>
  </si>
  <si>
    <t>Page Type</t>
  </si>
  <si>
    <t>Keywords in Cluster</t>
  </si>
  <si>
    <t>Total Est. Cluster Volume</t>
  </si>
  <si>
    <t>drs limbaugh and stephenson huntsville al; limbaugh stephenson family and implant dentistry; family and implant dentists huntsville; limbaugh and stephenson dentistry reviews; limbaugh and stephenson dentist phone number; dentist bellewood circle huntsville al</t>
  </si>
  <si>
    <t>Is Limbaugh &amp; Stephenson accepting new patients?</t>
  </si>
  <si>
    <t>Limbaugh &amp; Stephenson; SNL Dental PC; 4605 Bellewood Circle; (256) 539-6634; Dr. Limbaugh; Dr. Stephenson</t>
  </si>
  <si>
    <t>Services</t>
  </si>
  <si>
    <t>Fillings; Tooth Whitening; Sealants; Dental Crowns; Bridges; Veneers; Dental Implants; Dentures; Root Canals; Extractions; Full Mouth Reconstruction</t>
  </si>
  <si>
    <t>Products</t>
  </si>
  <si>
    <t>None - service-based practice (no physical products)</t>
  </si>
  <si>
    <t>/</t>
  </si>
  <si>
    <t>Homepage</t>
  </si>
  <si>
    <t>Primary Business Goals</t>
  </si>
  <si>
    <t>Generate more local leads; increase organic traffic; improve service page rankings; build topical authority; rank in AI search</t>
  </si>
  <si>
    <t>Primary SEO Focus</t>
  </si>
  <si>
    <t>Local SEO + AI SEO (Generative Engine Optimization)</t>
  </si>
  <si>
    <t>Prepared By</t>
  </si>
  <si>
    <t>Md. Abdul Alim - Local SEO &amp; AI Search Optimization Consultant</t>
  </si>
  <si>
    <t>WEBSITE ANALYSIS - KEYWORD TARGETING, STRENGTHS &amp; GAPS</t>
  </si>
  <si>
    <t>Optimize</t>
  </si>
  <si>
    <t>Brand SERP control - own the knowledge panel, reviews and sitelinks.</t>
  </si>
  <si>
    <t>drs limbaugh and stephenson huntsville al</t>
  </si>
  <si>
    <t>Area</t>
  </si>
  <si>
    <t>Finding (observed on website)</t>
  </si>
  <si>
    <t>SEO Opportunity</t>
  </si>
  <si>
    <t>Priority</t>
  </si>
  <si>
    <t>Homepage title / meta</t>
  </si>
  <si>
    <t>Title tag is 'Home - Limbaugh &amp; Stephenson' - no service or city keyword. H1 reads 'Comprehensive Dental Care'.</t>
  </si>
  <si>
    <t>Rewrite title, H1 and meta description around 'Dentist in Huntsville, AL' + family/implant positioning.</t>
  </si>
  <si>
    <t>High</t>
  </si>
  <si>
    <t>Homepage content</t>
  </si>
  <si>
    <t>Includes 'Your Huntsville Dentists' section, FAQ-style answers (implant candidacy, children, payment) and three testimonials.</t>
  </si>
  <si>
    <t>Turn existing Q&amp;A into FAQPage schema; add services grid with city-modified anchors; add review schema.</t>
  </si>
  <si>
    <t>Service pages</t>
  </si>
  <si>
    <t>All 11 services have dedicated URLs (e.g. /tooth-implants/, /veneers-for-teeth/, /full-mouth-reconstruction/). Implants page title is 'Dental Implants - Limbaugh &amp; Stephenson' - no location modifier.</t>
  </si>
  <si>
    <t>Add 'Huntsville, AL' modifiers, FAQs, cost ranges and procedure steps to every service page; target ~800-1,200 words.</t>
  </si>
  <si>
    <t>Dr. Matt Limbaugh Profile</t>
  </si>
  <si>
    <t>Dental implants page</t>
  </si>
  <si>
    <t>Covers single-tooth, implant-supported bridges and implant-supported dentures (lower dentures with as few as two implants). No cost, candidacy, recovery or FAQ sections. Page metadata shows 2019 modification.</t>
  </si>
  <si>
    <t>dr matt limbaugh dmd</t>
  </si>
  <si>
    <t>Expand pillar page + build supporting cluster (cost, candidacy, recovery, comparisons, implant-supported dentures).</t>
  </si>
  <si>
    <t>dr matthew limbaugh dentist huntsville al; matt limbaugh dmd huntsville reviews</t>
  </si>
  <si>
    <t>N/A (navigational / transactional cluster)</t>
  </si>
  <si>
    <t>Matt Limbaugh DMD; University of Alabama School of Dentistry; Huntsville</t>
  </si>
  <si>
    <t>Blog / content</t>
  </si>
  <si>
    <t>Blog contains only two posts: 'Cosmetic Dentistry: Let Your Smile Tell the Story' and 'Professional Teeth Whitening: Say Cheese!' (both 2019-era).</t>
  </si>
  <si>
    <t>Major topical-authority gap - 23 new pages planned in the Content Roadmap.</t>
  </si>
  <si>
    <t>Missing service pages</t>
  </si>
  <si>
    <t>Homepage references Cleanings &amp; Exams and pediatric care, but neither has a dedicated page; no cosmetic or family dentistry hub; no emergency page.</t>
  </si>
  <si>
    <t>Create Family Dentistry, Cleanings &amp; Exams, Pediatric, Emergency (confirm availability), Cosmetic Hub and Restorative Hub.</t>
  </si>
  <si>
    <t>Local signals</t>
  </si>
  <si>
    <t>NAP shown in footer: 4605 Bellewood Circle, Huntsville, AL 35802; (256) 539-6634. No area/neighborhood landing pages.</t>
  </si>
  <si>
    <t>Add Southeast Huntsville/35802, Hampton Cove and Madison service-area pages; keep NAP identical to Google Business Profile.</t>
  </si>
  <si>
    <t>Secondary</t>
  </si>
  <si>
    <t>Medium</t>
  </si>
  <si>
    <t>Financing &amp; insurance</t>
  </si>
  <si>
    <t>/financial-arrangements/ lists CareCredit, Citi Health Card, major cards and claim submission.</t>
  </si>
  <si>
    <t>Rewrite to target 'dentist that accepts insurance Huntsville' and financing queries; link from every high-ticket service page.</t>
  </si>
  <si>
    <t>Trust / E-E-A-T</t>
  </si>
  <si>
    <t>Doctor profile pages exist (Dr. Limbaugh, Dr. Stephenson) and an office tour page.</t>
  </si>
  <si>
    <t>Add credentials, Person schema, memberships, before/after gallery and review feeds.</t>
  </si>
  <si>
    <t>Technical notes</t>
  </si>
  <si>
    <t>WordPress 6.8 on Dentricity; indexable (robots index, follow). Viewport meta disables user zoom (maximum-scale=1.0, user-scalable=0).</t>
  </si>
  <si>
    <t>Remove zoom restriction (accessibility), add Dentist/LocalBusiness schema, validate Core Web Vitals.</t>
  </si>
  <si>
    <t>Competitor set review</t>
  </si>
  <si>
    <t>Of 5 supplied competitors, only 2 operate in the Huntsville area (smilehsv.com; huntsvilleperio.com in Madison). The other 3 are out-of-market (Conroe TX; Indianapolis IN; North Providence RI).</t>
  </si>
  <si>
    <t>/matt-limbaugh-dmd/</t>
  </si>
  <si>
    <t>Added 4 Huntsville organic competitors found via SERP research - see Competitor Analysis.</t>
  </si>
  <si>
    <t>Doctor Profile</t>
  </si>
  <si>
    <t>Info</t>
  </si>
  <si>
    <t>SCORING MODEL (SEO PRIORITY SCORE)</t>
  </si>
  <si>
    <t>Score Component (1-5)</t>
  </si>
  <si>
    <t>How It Is Measured</t>
  </si>
  <si>
    <t>Calculation in Workbook</t>
  </si>
  <si>
    <t>Weight</t>
  </si>
  <si>
    <t>Business Value Score</t>
  </si>
  <si>
    <t>Revenue / appointment value of the service and funnel stage</t>
  </si>
  <si>
    <t>Assigned by service value (implants, full mouth, veneers = highest); reduced 1 point at MOFU and 2 at TOFU</t>
  </si>
  <si>
    <t>Dr. Matt Stephenson Profile</t>
  </si>
  <si>
    <t>dr matt stephenson dentist huntsville al</t>
  </si>
  <si>
    <t>matt stephenson dmd huntsville; dr stephenson dental implants huntsville</t>
  </si>
  <si>
    <t>Search Demand Score</t>
  </si>
  <si>
    <t>Estimated monthly search volume</t>
  </si>
  <si>
    <t>Matt Stephenson DMD; Birmingham-Southern College; Hartselle AL; Huntsville</t>
  </si>
  <si>
    <t>Formula: &gt;=2,000 = 5; &gt;=800 = 4; &gt;=300 = 3; &gt;=100 = 2; else 1</t>
  </si>
  <si>
    <t>Ranking Opportunity Score</t>
  </si>
  <si>
    <t>Realistic ability to rank given SERP difficulty</t>
  </si>
  <si>
    <t>Formula from KD (local-market calibration): &lt;=25 = 5; &lt;=35 = 4; &lt;=45 = 3; &lt;=60 = 2; else 1</t>
  </si>
  <si>
    <t>Intent Strength Score</t>
  </si>
  <si>
    <t>How close the searcher is to taking action</t>
  </si>
  <si>
    <t>Transactional 5; Navigational 4; Commercial 3-4 (4 if local); Informational 1-2</t>
  </si>
  <si>
    <t>Conversion Potential Score</t>
  </si>
  <si>
    <t>Likelihood of generating a lead or appointment</t>
  </si>
  <si>
    <t>BOFU transactional 5; local commercial 4; informational 1-2</t>
  </si>
  <si>
    <t>Topical Importance Score</t>
  </si>
  <si>
    <t>Importance for building topical authority</t>
  </si>
  <si>
    <t>Cluster importance; primary keywords +1</t>
  </si>
  <si>
    <t>Total Weight</t>
  </si>
  <si>
    <t>/matt-stephenson-dmd/</t>
  </si>
  <si>
    <t>Support keyword - weave into H2s, FAQs and internal anchor text.</t>
  </si>
  <si>
    <t>limbaugh stephenson family and implant dentistry</t>
  </si>
  <si>
    <t>Huntsville Dentist (Local Hub)</t>
  </si>
  <si>
    <t>dentist huntsville al</t>
  </si>
  <si>
    <t>SEO Priority Score = ROUND((Business Value x w1 + Demand x w2 + Opportunity x w3 + Intent x w4 + Conversion x w5 + Topical x w6) / 5 x 100, 0). Weights in blue are editable inputs.</t>
  </si>
  <si>
    <t>dentist in huntsville alabama; huntsville dentist; best dentist in huntsville al; dentist near me huntsville al; dental office huntsville al; general dentist huntsville al; top rated dentist huntsville al; dentist accepting new patients huntsville al</t>
  </si>
  <si>
    <t>Who is a good family dentist in Huntsville, AL?</t>
  </si>
  <si>
    <t>Huntsville; Madison County; Southeast Huntsville; family dentist; general dentist; new patients</t>
  </si>
  <si>
    <t>Meaning</t>
  </si>
  <si>
    <t>Critical</t>
  </si>
  <si>
    <t>90 - 100</t>
  </si>
  <si>
    <t>Build / optimize first - highest revenue + ranking potential</t>
  </si>
  <si>
    <t>75 - 89</t>
  </si>
  <si>
    <t>Core targets for months 1-3</t>
  </si>
  <si>
    <t>60 - 74</t>
  </si>
  <si>
    <t>Support content and secondary pages</t>
  </si>
  <si>
    <t>Low</t>
  </si>
  <si>
    <t>40 - 59</t>
  </si>
  <si>
    <t>Long-term / opportunistic</t>
  </si>
  <si>
    <t>Optional</t>
  </si>
  <si>
    <t>Below 40</t>
  </si>
  <si>
    <t>Monitor only</t>
  </si>
  <si>
    <t>METHODOLOGY &amp; ASSUMPTIONS</t>
  </si>
  <si>
    <t>Family Dentistry</t>
  </si>
  <si>
    <t>family dentist huntsville al</t>
  </si>
  <si>
    <t>family dentist vs general dentist; family dentistry huntsville; family dentist near me huntsville al; dentist for the whole family huntsville</t>
  </si>
  <si>
    <t>What does a family dentist do?</t>
  </si>
  <si>
    <t>family dentist; general dentist; children; adults; seniors; preventive care; cleanings; exams</t>
  </si>
  <si>
    <t>- Search volume, keyword difficulty (KD) and CPC are portfolio ESTIMATES (sources labelled 'SEO Market Estimate', 'SERP Competition Analysis' and 'Commercial Intent Analysis'). They are not exports from Semrush, Ahrefs or Google Keyword Planner and should be validated with a live tool before client forecasting.</t>
  </si>
  <si>
    <t>- Local volumes are calibrated to a mid-sized U.S. metro (Huntsville, AL); national informational keywords are included for topical authority and AI-search coverage and carry much higher volume and KD.</t>
  </si>
  <si>
    <t>- Estimated Monthly Search Volume on the Cover is the simple sum of all keywords and overlaps across closely related terms - treat it as a demand index, not a traffic forecast.</t>
  </si>
  <si>
    <t>- 'Ranking Competitors' lists the typical SERP landscape (local practices for local terms; health publishers for informational terms) and should be confirmed with live SERP checks.</t>
  </si>
  <si>
    <t>/family-dentistry-huntsville-al/  (new)</t>
  </si>
  <si>
    <t>Service Hub Page</t>
  </si>
  <si>
    <t>- Services flagged VERIFY (emergency dentistry, wisdom-tooth removal, implant-supported denture page, pediatric positioning) were inferred from the website or market norms and must be confirmed with the practice before publishing.</t>
  </si>
  <si>
    <t>- Target URLs for new pages are recommended slugs; confirm CMS (Dentricity/WordPress) constraints. Existing URLs were taken from the live site navigation.</t>
  </si>
  <si>
    <t>- Search intent is assigned once per keyword (Informational, Navigational, Commercial or Transactional); funnel stage: TOFU = awareness, MOFU = comparison, BOFU = ready to book.</t>
  </si>
  <si>
    <t>Cleanings &amp; Exams</t>
  </si>
  <si>
    <t>teeth cleaning huntsville al</t>
  </si>
  <si>
    <t>dental cleaning cost without insurance; dental cleaning huntsville al; dental checkup huntsville al; dental exam and cleaning huntsville</t>
  </si>
  <si>
    <t>How often should you get your teeth cleaned? | What happens during a dental cleaning?</t>
  </si>
  <si>
    <t>dental cleaning; hygienist; X-rays; oral exam; checkup; preventive care</t>
  </si>
  <si>
    <t>family and implant dentists huntsville</t>
  </si>
  <si>
    <t>/dental-cleanings-exams-huntsville-al/  (new)</t>
  </si>
  <si>
    <t>Service Page</t>
  </si>
  <si>
    <t>Pediatric &amp; Kids Dentistry</t>
  </si>
  <si>
    <t>kids dentist huntsville al</t>
  </si>
  <si>
    <t>children's dentist huntsville al; pediatric dentistry huntsville al</t>
  </si>
  <si>
    <t>When should a child first see a dentist?</t>
  </si>
  <si>
    <t>children's teeth; first dental visit; sealants; fluoride; family dentist</t>
  </si>
  <si>
    <t>limbaugh and stephenson dentistry reviews</t>
  </si>
  <si>
    <t>MOFU</t>
  </si>
  <si>
    <t>/pediatric-dentistry-huntsville-al/  (new)</t>
  </si>
  <si>
    <t>Emergency Dentistry</t>
  </si>
  <si>
    <t>emergency dentist huntsville al</t>
  </si>
  <si>
    <t>cracked tooth symptoms; emergency dentist near me huntsville al; same day dentist appointment huntsville al; toothache dentist huntsville al; broken tooth repair huntsville al; chipped tooth repair huntsville al</t>
  </si>
  <si>
    <t>What to do for a broken tooth?</t>
  </si>
  <si>
    <t>toothache; broken tooth; chipped tooth; same-day appointment; dental pain</t>
  </si>
  <si>
    <t>limbaugh and stephenson dentist phone number</t>
  </si>
  <si>
    <t>/emergency-dentist-huntsville-al/  (new)</t>
  </si>
  <si>
    <t>dentist bellewood circle huntsville al</t>
  </si>
  <si>
    <t>Dental Implants (Core)</t>
  </si>
  <si>
    <t>dental implants huntsville al</t>
  </si>
  <si>
    <t>dental implants huntsville alabama; dental implant dentist huntsville al; dental implants near me huntsville; best dental implants huntsville al; tooth implants huntsville al; implant dentist near me huntsville; single tooth implant huntsville al</t>
  </si>
  <si>
    <t>dental implant; titanium post; abutment; implant crown; osseointegration; single tooth implant; implant dentist</t>
  </si>
  <si>
    <t>/tooth-implants/</t>
  </si>
  <si>
    <t>Pillar Service Page</t>
  </si>
  <si>
    <t>Healthline; WebMD; Cleveland Clinic; Colgate</t>
  </si>
  <si>
    <t>Implant Cost &amp; Financing</t>
  </si>
  <si>
    <t>dental implant cost huntsville al</t>
  </si>
  <si>
    <t>dental implant cost; single tooth implant cost; carecredit dental implants; affordable dental implants huntsville al; dental implants financing huntsville al</t>
  </si>
  <si>
    <t>How much do dental implants cost in alabama? | Does dental insurance cover implants?</t>
  </si>
  <si>
    <t>implant cost; CareCredit; Citi Health Card; dental insurance; financing; payment plans</t>
  </si>
  <si>
    <t>/dental-implant-cost-huntsville-al/  (new)</t>
  </si>
  <si>
    <t>Cost Guide Page</t>
  </si>
  <si>
    <t>Doctor E-E-A-T page - add credentials, Person schema and review snippets.</t>
  </si>
  <si>
    <t>dr matthew limbaugh dentist huntsville al</t>
  </si>
  <si>
    <t>Implant Candidacy &amp; Procedure</t>
  </si>
  <si>
    <t>am i a candidate for dental implants</t>
  </si>
  <si>
    <t>dental implant procedure step by step; dental implants with diabetes; enough bone for dental implants</t>
  </si>
  <si>
    <t>Am i a candidate for dental implants? | Are dental implants painful? | How long do dental implants last? | Can smokers get dental implants? | What is a dental implant?</t>
  </si>
  <si>
    <t>bone density; healthy gums; smokers; diabetes; implant procedure; consultation; 3D imaging</t>
  </si>
  <si>
    <t>Healthgrades; Vitals; familyandimplantdentists.com (own)</t>
  </si>
  <si>
    <t>/blog/am-i-a-candidate-for-dental-implants/  (new)</t>
  </si>
  <si>
    <t>Blog Guide</t>
  </si>
  <si>
    <t>matt limbaugh dmd huntsville reviews</t>
  </si>
  <si>
    <t>Implant Recovery &amp; Aftercare</t>
  </si>
  <si>
    <t>dental implant recovery time</t>
  </si>
  <si>
    <t>dental implant healing stages; signs of dental implant failure; dental implant aftercare instructions</t>
  </si>
  <si>
    <t>What to eat after dental implant surgery?</t>
  </si>
  <si>
    <t>healing stages; aftercare; soft foods; implant failure; osseointegration</t>
  </si>
  <si>
    <t>/blog/dental-implant-recovery-timeline/  (new)</t>
  </si>
  <si>
    <t>Tooth Replacement Options</t>
  </si>
  <si>
    <t>replace missing tooth huntsville al</t>
  </si>
  <si>
    <t>dental implants vs dentures; dental implants vs bridge; missing tooth replacement options; implant vs bridge cost; partial denture vs implant; options for missing teeth huntsville al</t>
  </si>
  <si>
    <t>How to replace a missing tooth?</t>
  </si>
  <si>
    <t>missing tooth; implant; bridge; partial denture; full denture; bone loss</t>
  </si>
  <si>
    <t>Doctor E-E-A-T page - differentiate from other 'Stephenson' dentists nationally.</t>
  </si>
  <si>
    <t>matt stephenson dmd huntsville</t>
  </si>
  <si>
    <t>Competitor</t>
  </si>
  <si>
    <t>URL</t>
  </si>
  <si>
    <t>Ranking Topics</t>
  </si>
  <si>
    <t>Strong Pages</t>
  </si>
  <si>
    <t>Weakness</t>
  </si>
  <si>
    <t>Content Gap</t>
  </si>
  <si>
    <t>Opportunity</t>
  </si>
  <si>
    <t>Dr. Mark Stephenson DDS - Conroe, TX</t>
  </si>
  <si>
    <t>https://www.markstephensondds.com/</t>
  </si>
  <si>
    <t>Hospital sedation dentistry; special-needs and medically compromised patient care; pediatric hospital-based dentistry (Conroe, TX).</t>
  </si>
  <si>
    <t>Homepage (credentials, hospital privileges); Meet Your Dentists.</t>
  </si>
  <si>
    <t>Out of market (Texas); referral-based practice; small Wix site with limited service content.</t>
  </si>
  <si>
    <t>No general, cosmetic or implant service pages.</t>
  </si>
  <si>
    <t>Not a Huntsville competitor - very low keyword overlap. Reference only; do not benchmark rankings against it.</t>
  </si>
  <si>
    <t>Smile HSV - Jennifer H. Drummond DMD</t>
  </si>
  <si>
    <t>https://smilehsv.com/</t>
  </si>
  <si>
    <t>Huntsville general dentistry and brand terms; new-patient and payments pages.</t>
  </si>
  <si>
    <t>Homepage; Services page; New Patient page.</t>
  </si>
  <si>
    <t>Homepage title is only 'Smile HSV'; thin copy; site-builder template; single Services page rather than individual treatment pages.</t>
  </si>
  <si>
    <t>No visible blog, cost guides, location pages or per-service landing pages in site navigation.</t>
  </si>
  <si>
    <t>Genuine local competitor. Outrank with dedicated service+Huntsville pages, FAQs and cost content.</t>
  </si>
  <si>
    <t>dr stephenson dental implants huntsville</t>
  </si>
  <si>
    <t>Stevenson Dental - Indianapolis, IN</t>
  </si>
  <si>
    <t>https://stevensondds.com/</t>
  </si>
  <si>
    <t>/replacing-missing-teeth-huntsville-al/  (new)</t>
  </si>
  <si>
    <t>Indianapolis family dentistry with focus on implant restorations.</t>
  </si>
  <si>
    <t>Comparison Guide Hub</t>
  </si>
  <si>
    <t>Homepage with Google-reviews widget (5.0 stars, 231 reviews shown) and click-to-call / click-to-text CTAs.</t>
  </si>
  <si>
    <t>Out of market (Indiana); single-page style site.</t>
  </si>
  <si>
    <t>Few dedicated treatment pages visible from the homepage.</t>
  </si>
  <si>
    <t>Not a local competitor. Borrow conversion patterns: city in title tag, on-page review feed, text-us CTA.</t>
  </si>
  <si>
    <t>Huntsville Periodontal &amp; Implant Specialists - Madison, AL</t>
  </si>
  <si>
    <t>https://huntsvilleperio.com/</t>
  </si>
  <si>
    <t>Dental implants, immediate implants, full-arch, ridge augmentation, sinus lift, gum grafting, scaling &amp; root planing, crown lengthening, extractions.</t>
  </si>
  <si>
    <t>/services/ (long page with anchor sections); patient-education and post-operative instruction pages; referral page.</t>
  </si>
  <si>
    <t>All treatments live on one /services/ page via anchors (no individual URLs); homepage title duplicates the brand name; specialist/referral model, limited restorative and family care.</t>
  </si>
  <si>
    <t>No visible cost guides, comparison content or family-dentistry content.</t>
  </si>
  <si>
    <t>Most important implant competitor. Win 'dental implants Huntsville' with dedicated pages, cost + FAQ content and the one-office implant-plus-restoration advantage.</t>
  </si>
  <si>
    <t>Lawrence P. Stephenson DDS - North Providence, RI</t>
  </si>
  <si>
    <t>https://lawrencepstephenson.com/</t>
  </si>
  <si>
    <t>North Providence dentistry; cosmetic, emergency, sleep-apnea mouth guards, teeth whitening.</t>
  </si>
  <si>
    <t>Homepage; Sleep Apnea page.</t>
  </si>
  <si>
    <t>Dentist vs Specialist for Implants</t>
  </si>
  <si>
    <t>Core Service</t>
  </si>
  <si>
    <t>Out of market (Rhode Island).</t>
  </si>
  <si>
    <t>dentist vs periodontist for dental implants</t>
  </si>
  <si>
    <t>Local General Dentistry</t>
  </si>
  <si>
    <t>Not applicable to Huntsville.</t>
  </si>
  <si>
    <t>oral surgeon vs dentist for implants; general dentist vs prosthodontist; implant dentist vs oral surgeon huntsville al</t>
  </si>
  <si>
    <t>Transactional</t>
  </si>
  <si>
    <t>Not a local competitor. Name-match only - exclude from rank benchmarking.</t>
  </si>
  <si>
    <t>Who places dental implants?</t>
  </si>
  <si>
    <t>periodontist; oral surgeon; prosthodontist; general dentist; implant placement; restoration</t>
  </si>
  <si>
    <t>W. Timothy Brooks DMD, PC</t>
  </si>
  <si>
    <t>https://my.officite.com/0074099 (Officite-hosted; confirm primary domain)</t>
  </si>
  <si>
    <t>Family dentistry Huntsville; implants, mini implants, implant-supported dentures; TMJ, sleep apnea, sedation; Opalescence whitening; Invisalign; serves Huntsville, Madison and Decatur.</t>
  </si>
  <si>
    <t>Family dentistry page; blog posts such as 'Find a Family Dentist in Huntsville, AL'.</t>
  </si>
  <si>
    <t>To validate with a live crawl (template-based site; page depth and schema not yet audited).</t>
  </si>
  <si>
    <t>W. Timothy Brooks DMD; Dentistry Today; Smile HSV; Aspen Dental Huntsville</t>
  </si>
  <si>
    <t>To validate.</t>
  </si>
  <si>
    <t>Closest content competitor for 'family dentist Huntsville' and implant queries. Out-build with richer city-modified pages and cost/FAQ content.</t>
  </si>
  <si>
    <t>King Dental - David King, DMD</t>
  </si>
  <si>
    <t>https://www.drkingdentistry.com/</t>
  </si>
  <si>
    <t>Dental implants positioning; same-day crowns, Invisalign, veneers, dentures, whitening, laser treatment, composite bonding (1108 Gleneagles Dr SW).</t>
  </si>
  <si>
    <t>/services/dental-implants/ (promoted via an October 2023 press release).</t>
  </si>
  <si>
    <t>To validate with a live crawl.</t>
  </si>
  <si>
    <t>Implant-focused competitor. Compete on cost transparency, FAQs and comparison content.</t>
  </si>
  <si>
    <t>JDR, Inc. (drjdreed.com)</t>
  </si>
  <si>
    <t>https://www.drjdreed.com</t>
  </si>
  <si>
    <t>Family, cosmetic and implant dentistry; crowns, veneers, dentures, root canals, extractions, Zoom whitening (2338 Pansy St SW; solo practice per directory listing).</t>
  </si>
  <si>
    <t>Practice site (service pages to be audited).</t>
  </si>
  <si>
    <t>Direct service overlap with the client. Monitor for family + implant keyword overlap.</t>
  </si>
  <si>
    <t>Dentistry Today</t>
  </si>
  <si>
    <t>Directory profile: practicefinder.newpatientsinc.com/dental/dentistry-today-huntsville-al/</t>
  </si>
  <si>
    <t>Cosmetic, general and family dentistry; same-day crowns, veneers, Invisalign, whitening; online booking (2801 Memorial Pkwy SW).</t>
  </si>
  <si>
    <t>Practice profile lists 4.9/5 on about 200 Google reviews (directory data).</t>
  </si>
  <si>
    <t>Review-volume and online-booking benchmark for local pack competition.</t>
  </si>
  <si>
    <t>/blog/who-places-dental-implants-dentist-periodontist-oral-surgeon/  (new)</t>
  </si>
  <si>
    <t>Blog Comparison</t>
  </si>
  <si>
    <t>Homepage money term - rewrite title/H1/meta with 'Dentist in Huntsville, AL' and add Dentist schema.</t>
  </si>
  <si>
    <t>dentist in huntsville alabama</t>
  </si>
  <si>
    <t>Location</t>
  </si>
  <si>
    <t>Dentures (Local)</t>
  </si>
  <si>
    <t>dentures huntsville al</t>
  </si>
  <si>
    <t>dentures near me huntsville al; affordable dentures huntsville al; partial dentures huntsville al; full dentures huntsville al; denture cost huntsville al; best dentures huntsville</t>
  </si>
  <si>
    <t>full denture; partial denture; immediate denture; relining; adjustments</t>
  </si>
  <si>
    <t>huntsville dentist</t>
  </si>
  <si>
    <t>/dentures/</t>
  </si>
  <si>
    <t>Denture Cost &amp; Care</t>
  </si>
  <si>
    <t>how much do dentures cost</t>
  </si>
  <si>
    <t>partial denture cost</t>
  </si>
  <si>
    <t>How much do dentures cost? | How long do dentures last? | How to clean dentures? | Can you sleep with dentures in?</t>
  </si>
  <si>
    <t>denture cost; partial denture; denture care; adhesive; relining</t>
  </si>
  <si>
    <t>dentist near me huntsville al</t>
  </si>
  <si>
    <t>/blog/how-much-do-dentures-cost-in-alabama/  (new)</t>
  </si>
  <si>
    <t>Implant-Supported Dentures</t>
  </si>
  <si>
    <t>implant supported dentures huntsville al</t>
  </si>
  <si>
    <t>implant supported dentures; snap in dentures; implant retained dentures cost</t>
  </si>
  <si>
    <t>implant overdenture; snap-in denture; attachments; lower denture; full arch</t>
  </si>
  <si>
    <t>best dentist in huntsville al</t>
  </si>
  <si>
    <t>Commercial</t>
  </si>
  <si>
    <t>/implant-supported-dentures-huntsville-al/  (new)</t>
  </si>
  <si>
    <t>top rated dentist huntsville al</t>
  </si>
  <si>
    <t>Dental Crowns (Local)</t>
  </si>
  <si>
    <t>dental crowns huntsville al</t>
  </si>
  <si>
    <t>dental crown cost huntsville al; dental crowns near me huntsville; porcelain crowns huntsville al; crown dentist huntsville al</t>
  </si>
  <si>
    <t>porcelain crown; ceramic; zirconia; cap; crown preparation; impression</t>
  </si>
  <si>
    <t>new patient dentist huntsville al</t>
  </si>
  <si>
    <t>/dental-crowns/</t>
  </si>
  <si>
    <t>Crown Education</t>
  </si>
  <si>
    <t>how long do dental crowns last</t>
  </si>
  <si>
    <t>types of dental crowns; dental crown procedure; dental crown cost without insurance; dental crown vs filling</t>
  </si>
  <si>
    <t>How long do dental crowns last? | Does getting a crown hurt?</t>
  </si>
  <si>
    <t>crown types; lifespan; procedure; crown vs filling; recovery</t>
  </si>
  <si>
    <t>dentist accepting new patients huntsville al</t>
  </si>
  <si>
    <t>/blog/dental-crowns-guide-types-cost-lifespan/  (new)</t>
  </si>
  <si>
    <t>general dentist huntsville al</t>
  </si>
  <si>
    <t>Dental Bridges</t>
  </si>
  <si>
    <t>dental bridge huntsville al</t>
  </si>
  <si>
    <t>types of dental bridges; dental bridges near me huntsville; dental bridge cost huntsville al</t>
  </si>
  <si>
    <t>How long does a dental bridge last?</t>
  </si>
  <si>
    <t>traditional bridge; Maryland bridge; cantilever bridge; abutment teeth; pontic</t>
  </si>
  <si>
    <t>/dental-bridges/</t>
  </si>
  <si>
    <t>dental office huntsville al</t>
  </si>
  <si>
    <t>Family &amp; Preventive Dentistry</t>
  </si>
  <si>
    <t>W. Timothy Brooks DMD; JDR Inc; Dentistry Today; Smile HSV</t>
  </si>
  <si>
    <t>Porcelain Veneers (Local)</t>
  </si>
  <si>
    <t>porcelain veneers huntsville al</t>
  </si>
  <si>
    <t>veneers huntsville al; veneers near me huntsville al; dental veneers cost huntsville al; best veneers dentist huntsville al</t>
  </si>
  <si>
    <t>/family-dentistry-huntsville-al/</t>
  </si>
  <si>
    <t>Create</t>
  </si>
  <si>
    <t>porcelain veneers; laminates; smile design; shade matching; consultation</t>
  </si>
  <si>
    <t>New hub page - practice name literally says 'Family'; no dedicated family dentistry page exists.</t>
  </si>
  <si>
    <t>family dentistry huntsville</t>
  </si>
  <si>
    <t>/veneers-for-teeth/</t>
  </si>
  <si>
    <t>family dentist near me huntsville al</t>
  </si>
  <si>
    <t>Veneers Education</t>
  </si>
  <si>
    <t>how long do veneers last</t>
  </si>
  <si>
    <t>veneers cost; veneers pros and cons; veneers vs crowns; veneers vs bonding</t>
  </si>
  <si>
    <t>How long do veneers last? | Do veneers ruin your teeth?</t>
  </si>
  <si>
    <t>veneers vs crowns; veneers vs bonding; lifespan; pros and cons; cost</t>
  </si>
  <si>
    <t>dentist for the whole family huntsville</t>
  </si>
  <si>
    <t>Solution-Based</t>
  </si>
  <si>
    <t>Page Name</t>
  </si>
  <si>
    <t>Existing/New</t>
  </si>
  <si>
    <t>/blog/porcelain-veneers-pros-cons-lifespan/  (new)</t>
  </si>
  <si>
    <t>Action</t>
  </si>
  <si>
    <t>Cannibalization Risk</t>
  </si>
  <si>
    <t>drs limbaugh and stephenson huntsville al; limbaugh stephenson family and implant dentistry; family and implant dentists huntsville; limbaugh and stephenson dentistry reviews; dentist huntsville al; dentist in huntsville alabama</t>
  </si>
  <si>
    <t>Cosmetic Dentistry Hub</t>
  </si>
  <si>
    <t>cosmetic dentist huntsville al</t>
  </si>
  <si>
    <t>cosmetic dentistry procedures; cosmetic dentistry huntsville al; best cosmetic dentist in huntsville al; cosmetic dentist near me huntsville; smile makeover huntsville al</t>
  </si>
  <si>
    <t>smile makeover; veneers; whitening; bonding; cosmetic dentist</t>
  </si>
  <si>
    <t>/cosmetic-dentistry-huntsville-al/  (new)</t>
  </si>
  <si>
    <t>Existing</t>
  </si>
  <si>
    <t>what does a family dentist do</t>
  </si>
  <si>
    <t>Informational</t>
  </si>
  <si>
    <t>TOFU</t>
  </si>
  <si>
    <t>Teeth Whitening (Local)</t>
  </si>
  <si>
    <t>Meet Dr. Limbaugh</t>
  </si>
  <si>
    <t>teeth whitening huntsville al</t>
  </si>
  <si>
    <t>teeth whitening cost at dentist; teeth whitening near me huntsville; professional teeth whitening huntsville al; dentist teeth whitening huntsville al; take home teeth whitening trays huntsville</t>
  </si>
  <si>
    <t>professional whitening; take-home trays; bleaching; shade guide; sensitivity</t>
  </si>
  <si>
    <t>/teeth-whitening/</t>
  </si>
  <si>
    <t>family dentist vs general dentist</t>
  </si>
  <si>
    <t>Comparison</t>
  </si>
  <si>
    <t>Meet Dr. Stephenson</t>
  </si>
  <si>
    <t>Whitening Education</t>
  </si>
  <si>
    <t>professional teeth whitening vs at home</t>
  </si>
  <si>
    <t>why are my teeth yellow; teeth whitening sensitivity tips</t>
  </si>
  <si>
    <t>Is teeth whitening safe? | Does teeth whitening damage enamel? | How long does teeth whitening last?</t>
  </si>
  <si>
    <t>enamel; sensitivity; stains; peroxide; trays; strips</t>
  </si>
  <si>
    <t>Family Dentistry Huntsville</t>
  </si>
  <si>
    <t>/dental-cleanings-exams-huntsville-al/</t>
  </si>
  <si>
    <t>Homepage lists 'Cleanings &amp; Exams' but no landing page exists - recall/hygiene demand.</t>
  </si>
  <si>
    <t>dental cleaning huntsville al</t>
  </si>
  <si>
    <t>New</t>
  </si>
  <si>
    <t>/professional-teeth-whitening-say-cheese/</t>
  </si>
  <si>
    <t>dental exam and cleaning huntsville</t>
  </si>
  <si>
    <t>Blog Post (existing)</t>
  </si>
  <si>
    <t>KEYWORD RESEARCH &amp; STRATEGY WORKBOOK</t>
  </si>
  <si>
    <t>/pediatric-dentistry-huntsville-al/</t>
  </si>
  <si>
    <t>Pediatric Dentistry</t>
  </si>
  <si>
    <t>dental checkup huntsville al</t>
  </si>
  <si>
    <t>Root Canals (Local)</t>
  </si>
  <si>
    <t>root canal huntsville al</t>
  </si>
  <si>
    <t>root canal near me huntsville; root canal dentist huntsville al; root canal treatment huntsville; root canal cost huntsville al</t>
  </si>
  <si>
    <t>endodontic; pulp; infection; crown after root canal; tooth pain</t>
  </si>
  <si>
    <t>Huntsville, Alabama, United States</t>
  </si>
  <si>
    <t>Prepared By:  Md. Abdul Alim | Local SEO &amp; AI Search Optimization Consultant</t>
  </si>
  <si>
    <t>/emergency-dentist-huntsville-al/</t>
  </si>
  <si>
    <t>Emergency Dentist</t>
  </si>
  <si>
    <t>/root-canals/</t>
  </si>
  <si>
    <t>how often should you get your teeth cleaned</t>
  </si>
  <si>
    <t>cracked tooth symptoms; emergency dentist near me huntsville al; same day dentist appointment huntsville al; toothache dentist huntsville al</t>
  </si>
  <si>
    <t>KEYWORD RESEARCH DASHBOARD</t>
  </si>
  <si>
    <t>Total Keywords Researched</t>
  </si>
  <si>
    <t>Keyword Clusters</t>
  </si>
  <si>
    <t>Est. Monthly Search Volume</t>
  </si>
  <si>
    <t>Local / National Keywords</t>
  </si>
  <si>
    <t>Average Keyword Difficulty</t>
  </si>
  <si>
    <t>Root Canal Education</t>
  </si>
  <si>
    <t>root canal vs extraction</t>
  </si>
  <si>
    <t>signs you need a root canal; root canal cost without insurance; root canal recovery time</t>
  </si>
  <si>
    <t>Is a root canal painful? | How long does a root canal take?</t>
  </si>
  <si>
    <t>root canal vs extraction; symptoms; recovery; pain; infection</t>
  </si>
  <si>
    <t>Dental Implants</t>
  </si>
  <si>
    <t>dental implants huntsville alabama; dental implant dentist huntsville al; dental implants near me huntsville; best dental implants huntsville al</t>
  </si>
  <si>
    <t>/blog/root-canal-vs-extraction-what-to-expect/  (new)</t>
  </si>
  <si>
    <t>/dental-implant-cost-huntsville-al/</t>
  </si>
  <si>
    <t>Dental Implant Cost</t>
  </si>
  <si>
    <t>dental implant cost; single tooth implant cost; carecredit dental implants; affordable dental implants huntsville al</t>
  </si>
  <si>
    <t>Tooth Extractions (Local)</t>
  </si>
  <si>
    <t>tooth extraction huntsville al</t>
  </si>
  <si>
    <t>wisdom tooth removal huntsville al; tooth extraction near me huntsville; tooth removal huntsville al; tooth extraction cost huntsville al</t>
  </si>
  <si>
    <t>simple extraction; surgical extraction; wisdom teeth; socket preservation; bone graft</t>
  </si>
  <si>
    <t>/blog/am-i-a-candidate-for-dental-implants/</t>
  </si>
  <si>
    <t>Am I a Candidate for Dental Implants?</t>
  </si>
  <si>
    <t>/extractions/</t>
  </si>
  <si>
    <t>what happens during a dental cleaning</t>
  </si>
  <si>
    <t>Extraction Aftercare</t>
  </si>
  <si>
    <t>tooth extraction aftercare</t>
  </si>
  <si>
    <t>dry socket symptoms</t>
  </si>
  <si>
    <t>What to eat after tooth extraction? | How long does tooth extraction take to heal?</t>
  </si>
  <si>
    <t>dry socket; healing; soft diet; bleeding; socket</t>
  </si>
  <si>
    <t>/blog/dental-implant-recovery-timeline/</t>
  </si>
  <si>
    <t>Dental Implant Recovery Timeline</t>
  </si>
  <si>
    <t>Critical + High Priority Keywords</t>
  </si>
  <si>
    <t>Pages Mapped</t>
  </si>
  <si>
    <t>New Pages Recommended</t>
  </si>
  <si>
    <t>Internal Links Planned</t>
  </si>
  <si>
    <t>/blog/tooth-extraction-aftercare-guide/  (new)</t>
  </si>
  <si>
    <t>Content Opportunities</t>
  </si>
  <si>
    <t>/replacing-missing-teeth-huntsville-al/</t>
  </si>
  <si>
    <t>Replacing Missing Teeth</t>
  </si>
  <si>
    <t>dental implants vs dentures; dental implants vs bridge; missing tooth replacement options; implant vs bridge cost</t>
  </si>
  <si>
    <t>dental cleaning cost without insurance</t>
  </si>
  <si>
    <t>Healthline; Forbes Health; NerdWallet; Delta Dental</t>
  </si>
  <si>
    <t>Dental Fillings (Local)</t>
  </si>
  <si>
    <t>dental fillings huntsville al</t>
  </si>
  <si>
    <t>cavity filling huntsville al; dentist for cavities near me huntsville; tooth colored fillings huntsville al; composite fillings huntsville</t>
  </si>
  <si>
    <t>composite resin; tooth-colored fillings; cavity; decay; amalgam</t>
  </si>
  <si>
    <t>/tooth-fillings/</t>
  </si>
  <si>
    <t>Children's Dentistry of Huntsville; Dentistry Today; W. Timothy Brooks DMD</t>
  </si>
  <si>
    <t>Fillings Education</t>
  </si>
  <si>
    <t>composite vs amalgam fillings</t>
  </si>
  <si>
    <t>Homepage states 'we love children' - build page; position as family-friendly (specialist pediatric dentists will compete).</t>
  </si>
  <si>
    <t>signs of a cavity; cavity filling cost without insurance</t>
  </si>
  <si>
    <t>How long do fillings last?</t>
  </si>
  <si>
    <t>children's dentist huntsville al</t>
  </si>
  <si>
    <t>composite; amalgam; lifespan; cavity signs; cost</t>
  </si>
  <si>
    <t>KEYWORD DISTRIBUTION ANALYSIS</t>
  </si>
  <si>
    <t>Keywords</t>
  </si>
  <si>
    <t>Share</t>
  </si>
  <si>
    <t>Remark</t>
  </si>
  <si>
    <t>/blog/tooth-colored-fillings-vs-silver-amalgam/  (new)</t>
  </si>
  <si>
    <t>/blog/who-places-dental-implants-dentist-periodontist-oral-surgeon/</t>
  </si>
  <si>
    <t>Who Places Dental Implants?</t>
  </si>
  <si>
    <t>Dental Sealants</t>
  </si>
  <si>
    <t>dental sealants huntsville al</t>
  </si>
  <si>
    <t>dental sealants cost; sealants for kids huntsville</t>
  </si>
  <si>
    <t>Are dental sealants worth it? | How long do dental sealants last? | Do adults need sealants?</t>
  </si>
  <si>
    <t>sealants; molars; cavity prevention; fluoride; children</t>
  </si>
  <si>
    <t>pediatric dentistry huntsville al</t>
  </si>
  <si>
    <t>Dentures</t>
  </si>
  <si>
    <t>dentures near me huntsville al; affordable dentures huntsville al; partial dentures huntsville al; full dentures huntsville al</t>
  </si>
  <si>
    <t>/sealants/</t>
  </si>
  <si>
    <t>/blog/how-much-do-dentures-cost-in-alabama/</t>
  </si>
  <si>
    <t>Full Mouth Reconstruction (Local)</t>
  </si>
  <si>
    <t>How Much Do Dentures Cost?</t>
  </si>
  <si>
    <t>full mouth reconstruction huntsville al</t>
  </si>
  <si>
    <t>full mouth dental implants huntsville al; full mouth rehabilitation huntsville; full mouth restoration huntsville al; full mouth reconstruction dentist near me; full mouth reconstruction cost huntsville al</t>
  </si>
  <si>
    <t>full mouth rehabilitation; implants; crowns; bridges; bite; worn teeth</t>
  </si>
  <si>
    <t>when should a child first see a dentist</t>
  </si>
  <si>
    <t>/full-mouth-reconstruction/</t>
  </si>
  <si>
    <t>/implant-supported-dentures-huntsville-al/</t>
  </si>
  <si>
    <t>Full Mouth Reconstruction Education</t>
  </si>
  <si>
    <t>full mouth reconstruction cost</t>
  </si>
  <si>
    <t>full mouth reconstruction before and after; worn down teeth treatment</t>
  </si>
  <si>
    <t>What is full mouth reconstruction? | Who needs full mouth reconstruction? | How long does full mouth reconstruction take?</t>
  </si>
  <si>
    <t>worn teeth; bite collapse; treatment phases; cost; before and after</t>
  </si>
  <si>
    <t>Aspen Dental Huntsville; Dentistry Today; huntsvilleperio.com; W. Timothy Brooks DMD</t>
  </si>
  <si>
    <t>Dental Crowns</t>
  </si>
  <si>
    <t>/blog/full-mouth-reconstruction-guide-process-cost/  (new)</t>
  </si>
  <si>
    <t>Insurance &amp; Financing</t>
  </si>
  <si>
    <t>dentist that accepts insurance huntsville al</t>
  </si>
  <si>
    <t>affordable dentist huntsville al; dentist no insurance huntsville al; dental financing huntsville al; carecredit dentist huntsville al; dentist payment plans huntsville al</t>
  </si>
  <si>
    <t>How does carecredit work for dental?</t>
  </si>
  <si>
    <t>dental insurance; CareCredit; Citi Health Card; payment plans; claims; assignment of benefits</t>
  </si>
  <si>
    <t>DISTRIBUTION CHART</t>
  </si>
  <si>
    <t>High-CPC urgent-intent cluster. Confirm emergency availability and hours before publishing. VERIFY service availability.</t>
  </si>
  <si>
    <t>emergency dentist near me huntsville al</t>
  </si>
  <si>
    <t>WORKBOOK CONTENTS</t>
  </si>
  <si>
    <t>/blog/dental-crowns-guide-types-cost-lifespan/</t>
  </si>
  <si>
    <t>Dental Crowns Guide</t>
  </si>
  <si>
    <t>Sheet Name</t>
  </si>
  <si>
    <t>/financial-arrangements/</t>
  </si>
  <si>
    <t>Patient Info Page</t>
  </si>
  <si>
    <t>Purpose</t>
  </si>
  <si>
    <t>Business Analysis</t>
  </si>
  <si>
    <t>Southeast Huntsville / 35802</t>
  </si>
  <si>
    <t>dentist southeast huntsville al</t>
  </si>
  <si>
    <t>dentist south huntsville al; dentist 35802</t>
  </si>
  <si>
    <t>Southeast Huntsville; 35802; Bellewood Circle; driving directions; nearby neighborhoods</t>
  </si>
  <si>
    <t>same day dentist appointment huntsville al</t>
  </si>
  <si>
    <t>/dentist-southeast-huntsville-al/  (new)</t>
  </si>
  <si>
    <t>Location Page</t>
  </si>
  <si>
    <t>Porcelain Veneers</t>
  </si>
  <si>
    <t>toothache dentist huntsville al</t>
  </si>
  <si>
    <t>Problem-Based</t>
  </si>
  <si>
    <t>Hampton Cove Service Area</t>
  </si>
  <si>
    <t>dentist hampton cove al</t>
  </si>
  <si>
    <t>dentist near hampton cove huntsville; family dentist hampton cove al</t>
  </si>
  <si>
    <t>Hampton Cove; Hampton Cove Golf; Highway 431; drive time</t>
  </si>
  <si>
    <t>broken tooth repair huntsville al</t>
  </si>
  <si>
    <t>/dentist-hampton-cove-al/  (new)</t>
  </si>
  <si>
    <t>/blog/porcelain-veneers-pros-cons-lifespan/</t>
  </si>
  <si>
    <t>Porcelain Veneers Pros &amp; Cons</t>
  </si>
  <si>
    <t>Madison Service Area</t>
  </si>
  <si>
    <t>dentist madison al</t>
  </si>
  <si>
    <t>family dentist madison al; dental implants madison al</t>
  </si>
  <si>
    <t>Madison AL; Madison County; Highway 72; drive time</t>
  </si>
  <si>
    <t>chipped tooth repair huntsville al</t>
  </si>
  <si>
    <t>/dentist-madison-al/  (new)</t>
  </si>
  <si>
    <t>what to do for a broken tooth</t>
  </si>
  <si>
    <t>Restorative Dentistry Hub</t>
  </si>
  <si>
    <t>restorative dentistry huntsville al</t>
  </si>
  <si>
    <t>restorative dentist huntsville al; tooth restoration huntsville al</t>
  </si>
  <si>
    <t>What is restorative dentistry?</t>
  </si>
  <si>
    <t>restorative dentistry; crowns; fillings; root canals; bridges; implants</t>
  </si>
  <si>
    <t>/restorative-dentistry-huntsville-al/  (new)</t>
  </si>
  <si>
    <t>AI Search &amp; Conversational FAQ</t>
  </si>
  <si>
    <t>who is the best dentist for dental implants in huntsville al</t>
  </si>
  <si>
    <t>-</t>
  </si>
  <si>
    <t>Who is the best dentist for dental implants in huntsville al? | Where can i get dental implants in huntsville al? | What dentist does implants and crowns in huntsville? | Is a family dentist or specialist better for dental implants? | How much do dental implants cost in huntsville al?</t>
  </si>
  <si>
    <t>Huntsville; dental implants; family dentist; cost; insurance; financing; new patients</t>
  </si>
  <si>
    <t>cracked tooth symptoms</t>
  </si>
  <si>
    <t>/huntsville-dental-faq/  (new)</t>
  </si>
  <si>
    <t>FAQ Hub Page</t>
  </si>
  <si>
    <t>/cosmetic-dentistry-huntsville-al/</t>
  </si>
  <si>
    <t>Cosmetic Dentistry Huntsville</t>
  </si>
  <si>
    <t>cosmetic dentistry procedures; cosmetic dentistry huntsville al; best cosmetic dentist in huntsville al; cosmetic dentist near me huntsville</t>
  </si>
  <si>
    <t>huntsvilleperio.com; King Dental (drkingdentistry.com); W. Timothy Brooks DMD</t>
  </si>
  <si>
    <t>Teeth Whitening</t>
  </si>
  <si>
    <t>Flagship page - add 'Huntsville, AL' to title/H1, FAQs, process, candidacy, cost and schema. Page last modified 2019.</t>
  </si>
  <si>
    <t>dental implant dentist huntsville al</t>
  </si>
  <si>
    <t>teeth whitening cost at dentist; teeth whitening near me huntsville; professional teeth whitening huntsville al; dentist teeth whitening huntsville al</t>
  </si>
  <si>
    <t>tooth implants huntsville al</t>
  </si>
  <si>
    <t>Professional Teeth Whitening: Say Cheese!</t>
  </si>
  <si>
    <t>Root Canals</t>
  </si>
  <si>
    <t>Business information, website findings, SEO goals and scoring model</t>
  </si>
  <si>
    <t>Keyword Master Database</t>
  </si>
  <si>
    <t>/blog/root-canal-vs-extraction-what-to-expect/</t>
  </si>
  <si>
    <t>Root Canal vs Extraction</t>
  </si>
  <si>
    <t>dental implants near me huntsville</t>
  </si>
  <si>
    <t>Complete keyword research database with metrics and strategy</t>
  </si>
  <si>
    <t>dental implants huntsville alabama</t>
  </si>
  <si>
    <t>Keyword grouping and semantic organization</t>
  </si>
  <si>
    <t>Extractions</t>
  </si>
  <si>
    <t>best dental implants huntsville al</t>
  </si>
  <si>
    <t>Competitor Analysis</t>
  </si>
  <si>
    <t>Competitor keyword insights and opportunities</t>
  </si>
  <si>
    <t>Keyword Mapping</t>
  </si>
  <si>
    <t>Keyword to page targeting strategy</t>
  </si>
  <si>
    <t>Topical Authority Map</t>
  </si>
  <si>
    <t>implant dentist near me huntsville</t>
  </si>
  <si>
    <t>/blog/tooth-extraction-aftercare-guide/</t>
  </si>
  <si>
    <t>Tooth Extraction Aftercare</t>
  </si>
  <si>
    <t>Content authority planning</t>
  </si>
  <si>
    <t>single tooth implant huntsville al</t>
  </si>
  <si>
    <t>SEO Silo Architecture</t>
  </si>
  <si>
    <t>Website structure planning</t>
  </si>
  <si>
    <t>Tooth Fillings</t>
  </si>
  <si>
    <t>Internal Linking Blueprint</t>
  </si>
  <si>
    <t>Internal authority flow strategy</t>
  </si>
  <si>
    <t>/blog/tooth-colored-fillings-vs-silver-amalgam/</t>
  </si>
  <si>
    <t>Composite vs Amalgam Fillings</t>
  </si>
  <si>
    <t>Content Roadmap</t>
  </si>
  <si>
    <t>Future content creation strategy</t>
  </si>
  <si>
    <t>Sealants</t>
  </si>
  <si>
    <t>Quick Wins</t>
  </si>
  <si>
    <t>Cost-transparency page - highest-converting content gap vs. competitors; mention CareCredit/Citi Health Card financing.</t>
  </si>
  <si>
    <t>how much do dental implants cost in alabama</t>
  </si>
  <si>
    <t>Immediate SEO opportunities</t>
  </si>
  <si>
    <t>Full Mouth Reconstruction</t>
  </si>
  <si>
    <t>full mouth dental implants huntsville al; full mouth rehabilitation huntsville; full mouth restoration huntsville al; full mouth reconstruction dentist near me</t>
  </si>
  <si>
    <t>/blog/full-mouth-reconstruction-guide-process-cost/</t>
  </si>
  <si>
    <t>Full Mouth Reconstruction Guide</t>
  </si>
  <si>
    <t>Financial Arrangements</t>
  </si>
  <si>
    <t>affordable dentist huntsville al; dentist no insurance huntsville al; dental financing huntsville al; carecredit dentist huntsville al</t>
  </si>
  <si>
    <t>dental implant cost</t>
  </si>
  <si>
    <t>/dentist-southeast-huntsville-al/</t>
  </si>
  <si>
    <t>Dentist in Southeast Huntsville</t>
  </si>
  <si>
    <t>/dentist-hampton-cove-al/</t>
  </si>
  <si>
    <t>Dentist near Hampton Cove</t>
  </si>
  <si>
    <t>/dentist-madison-al/</t>
  </si>
  <si>
    <t>Dentist near Madison, AL</t>
  </si>
  <si>
    <t>single tooth implant cost</t>
  </si>
  <si>
    <t>/restorative-dentistry-huntsville-al/</t>
  </si>
  <si>
    <t>Restorative Dentistry Huntsville</t>
  </si>
  <si>
    <t>/huntsville-dental-faq/</t>
  </si>
  <si>
    <t>Huntsville Dental FAQ</t>
  </si>
  <si>
    <t>dental implants financing huntsville al</t>
  </si>
  <si>
    <t>/about-our-practice/</t>
  </si>
  <si>
    <t>About Our Practice</t>
  </si>
  <si>
    <t>(trust page - no primary keyword)</t>
  </si>
  <si>
    <t>limbaugh and stephenson dentistry; family and implant dentists huntsville</t>
  </si>
  <si>
    <t>Keep</t>
  </si>
  <si>
    <t>/office-tour/</t>
  </si>
  <si>
    <t>Office Tour</t>
  </si>
  <si>
    <t>/contact-us/</t>
  </si>
  <si>
    <t>Contact Us</t>
  </si>
  <si>
    <t>(conversion page - no primary keyword)</t>
  </si>
  <si>
    <t>/request-appointment/</t>
  </si>
  <si>
    <t>Request Appointment</t>
  </si>
  <si>
    <t>affordable dental implants huntsville al</t>
  </si>
  <si>
    <t>/blog/</t>
  </si>
  <si>
    <t>Blog Index</t>
  </si>
  <si>
    <t>(index page - no primary keyword)</t>
  </si>
  <si>
    <t>Main Topic</t>
  </si>
  <si>
    <t>/cosmetic-dentistry-smile-tell-story/</t>
  </si>
  <si>
    <t>Cosmetic Dentistry: Let Your Smile Tell the Story (old post)</t>
  </si>
  <si>
    <t>Sub Topics</t>
  </si>
  <si>
    <t>Merge content into /cosmetic-dentistry-huntsville-al/</t>
  </si>
  <si>
    <t>Supporting Content</t>
  </si>
  <si>
    <t>Merge &amp; Redirect (301)</t>
  </si>
  <si>
    <t>Commercial Connection</t>
  </si>
  <si>
    <t>Dental Implants &amp; Tooth Replacement</t>
  </si>
  <si>
    <t>Single-tooth implants; implant-supported bridges; implant-supported dentures; candidacy; procedure; recovery; cost &amp; financing; implants vs dentures vs bridges</t>
  </si>
  <si>
    <t>Candidacy guide; recovery timeline; cost page; who places implants; replacing missing teeth hub; implant FAQ</t>
  </si>
  <si>
    <t>titanium implant; abutment; crown; bone graft; osseointegration; periodontist; oral surgeon</t>
  </si>
  <si>
    <t>Highest-value service - implant consultations and full-arch cases</t>
  </si>
  <si>
    <t>Dentures &amp; Bridges</t>
  </si>
  <si>
    <t>does dental insurance cover implants</t>
  </si>
  <si>
    <t>Full and partial dentures; denture cost and care; bridges and types; implant-supported alternatives</t>
  </si>
  <si>
    <t>How much do dentures cost; denture care; bridge lifespan; bridge vs implant comparison</t>
  </si>
  <si>
    <t>full denture; partial denture; pontic; abutment; relining</t>
  </si>
  <si>
    <t>Tooth-replacement consultations; denture-to-implant upgrades</t>
  </si>
  <si>
    <t>Restorative Dentistry</t>
  </si>
  <si>
    <t>Crowns; fillings; root canals; extractions; restorative hub</t>
  </si>
  <si>
    <t>Crown guide; composite vs amalgam; root canal vs extraction; extraction aftercare</t>
  </si>
  <si>
    <t>porcelain; zirconia; composite resin; endodontics; dry socket</t>
  </si>
  <si>
    <t>High-frequency treatment appointments and urgent-care leads</t>
  </si>
  <si>
    <t>Cosmetic Dentistry</t>
  </si>
  <si>
    <t>Veneers; whitening; smile makeover; cosmetic hub</t>
  </si>
  <si>
    <t>Veneers pros &amp; cons; veneers vs crowns/bonding; professional vs at-home whitening; whitening safety</t>
  </si>
  <si>
    <t>porcelain veneer; laminate; peroxide; enamel; shade; smile design</t>
  </si>
  <si>
    <t>Elective high-margin cosmetic consultations</t>
  </si>
  <si>
    <t>Family dentistry; cleanings &amp; exams; pediatric; sealants; emergency</t>
  </si>
  <si>
    <t>First dental visit guide; cleaning frequency; sealants for kids; emergency dental guide</t>
  </si>
  <si>
    <t>hygienist; X-ray; fluoride; sealant; recall</t>
  </si>
  <si>
    <t>New-patient acquisition and recurring hygiene revenue</t>
  </si>
  <si>
    <t>Process; candidates; cost; worn teeth; bite; combination treatments</t>
  </si>
  <si>
    <t>Full mouth reconstruction guide; before &amp; after; cost; timeline</t>
  </si>
  <si>
    <t>bite; occlusion; implants; crowns; bridges; dentures</t>
  </si>
  <si>
    <t>Highest-ticket comprehensive cases</t>
  </si>
  <si>
    <t>Cost, Insurance &amp; Financing</t>
  </si>
  <si>
    <t>Insurance acceptance; CareCredit; Citi Health Card; payment plans; no-insurance options</t>
  </si>
  <si>
    <t>Financial arrangements page; implant cost; denture cost; cleaning cost without insurance</t>
  </si>
  <si>
    <t>CareCredit; Citi Health Card; claims; assignment of benefits</t>
  </si>
  <si>
    <t>Removes price barriers and supports BOFU conversions</t>
  </si>
  <si>
    <t>Local Trust &amp; Huntsville Authority</t>
  </si>
  <si>
    <t>Doctors; office tour; reviews; service areas (Southeast Huntsville, Hampton Cove, Madison); NAP consistency</t>
  </si>
  <si>
    <t>Doctor profiles; area pages; review snippets; community content</t>
  </si>
  <si>
    <t>Dr. Limbaugh; Dr. Stephenson; 4605 Bellewood Circle; Huntsville; Madison County</t>
  </si>
  <si>
    <t>Local pack and branded search conversion</t>
  </si>
  <si>
    <t>carecredit dental implants</t>
  </si>
  <si>
    <t>Natural-language questions about implants, family dentistry, cost and finding a dentist in Huntsville</t>
  </si>
  <si>
    <t>Huntsville dental FAQ hub; FAQPage schema on every service page; concise answer blocks</t>
  </si>
  <si>
    <t>Huntsville; implants; family dentist; cost; insurance; new patients</t>
  </si>
  <si>
    <t>Citations in AI Overviews, ChatGPT and Perplexity answers</t>
  </si>
  <si>
    <t>Homepage already answers 'Am I a candidate?' - expand into a full guide and link to implant page.</t>
  </si>
  <si>
    <t>dental implant procedure step by step</t>
  </si>
  <si>
    <t>are dental implants painful</t>
  </si>
  <si>
    <t>how long do dental implants last</t>
  </si>
  <si>
    <t>can smokers get dental implants</t>
  </si>
  <si>
    <t>Silo</t>
  </si>
  <si>
    <t>Parent Page</t>
  </si>
  <si>
    <t>Child Pages</t>
  </si>
  <si>
    <t>Internal Linking Flow</t>
  </si>
  <si>
    <t>Silo 1 - Dental Implants</t>
  </si>
  <si>
    <t>/dental-implant-cost-huntsville-al/
/blog/am-i-a-candidate-for-dental-implants/
/blog/dental-implant-recovery-timeline/
/blog/who-places-dental-implants-dentist-periodontist-oral-surgeon/
/implant-supported-dentures-huntsville-al/</t>
  </si>
  <si>
    <t>Own implant keywords locally and nationally</t>
  </si>
  <si>
    <t>Hub &lt;-&gt; spokes; every spoke links to the pillar and /request-appointment/; cost page links to /financial-arrangements/</t>
  </si>
  <si>
    <t>Silo 2 - Tooth Replacement</t>
  </si>
  <si>
    <t>/dentures/
/dental-bridges/
/implant-supported-dentures-huntsville-al/
/blog/how-much-do-dentures-cost-in-alabama/</t>
  </si>
  <si>
    <t>Capture comparison-stage searchers deciding between options</t>
  </si>
  <si>
    <t>Hub compares options and links to each service page; implant pages cross-link back to the hub</t>
  </si>
  <si>
    <t>Silo 3 - Restorative Dentistry</t>
  </si>
  <si>
    <t>/dental-crowns/
/tooth-fillings/
/root-canals/
/extractions/
/blog/dental-crowns-guide-types-cost-lifespan/
/blog/tooth-colored-fillings-vs-silver-amalgam/
/blog/root-canal-vs-extraction-what-to-expect/
/blog/tooth-extraction-aftercare-guide/</t>
  </si>
  <si>
    <t>Build authority for everyday restorative treatments</t>
  </si>
  <si>
    <t>Hub -&gt; service pages -&gt; education posts -&gt; back to service page; root canal and extraction cross-link</t>
  </si>
  <si>
    <t>Silo 4 - Cosmetic Dentistry</t>
  </si>
  <si>
    <t>/veneers-for-teeth/
/teeth-whitening/
/professional-teeth-whitening-say-cheese/
/blog/porcelain-veneers-pros-cons-lifespan/</t>
  </si>
  <si>
    <t>Capture elective cosmetic demand</t>
  </si>
  <si>
    <t>Hub -&gt; veneers and whitening; posts feed service pages; veneers and whitening cross-link</t>
  </si>
  <si>
    <t>Silo 5 - Family &amp; Preventive</t>
  </si>
  <si>
    <t>/dental-cleanings-exams-huntsville-al/
/pediatric-dentistry-huntsville-al/
/sealants/
/emergency-dentist-huntsville-al/</t>
  </si>
  <si>
    <t>New-patient and family recall acquisition</t>
  </si>
  <si>
    <t>Hub -&gt; preventive pages; pediatric &lt;-&gt; sealants; emergency links to request appointment</t>
  </si>
  <si>
    <t>Silo 6 - Full Mouth Reconstruction</t>
  </si>
  <si>
    <t>Support the highest-ticket comprehensive treatment</t>
  </si>
  <si>
    <t>Pillar links to implants, crowns, bridges and dentures; guide links back to pillar</t>
  </si>
  <si>
    <t>Silo 7 - Local Trust &amp; Conversion</t>
  </si>
  <si>
    <t>/dentist-southeast-huntsville-al/
/dentist-hampton-cove-al/
/dentist-madison-al/
/matt-limbaugh-dmd/
/matt-stephenson-dmd/
/financial-arrangements/
/huntsville-dental-faq/
/request-appointment/</t>
  </si>
  <si>
    <t>Local SEO, trust signals and conversion</t>
  </si>
  <si>
    <t>Homepage &lt;-&gt; area, doctor and finance pages; FAQ hub links to every service pillar</t>
  </si>
  <si>
    <t>dental implants with diabetes</t>
  </si>
  <si>
    <t>enough bone for dental implants</t>
  </si>
  <si>
    <t>what is a dental implant</t>
  </si>
  <si>
    <t>Source Page</t>
  </si>
  <si>
    <t>Target Page</t>
  </si>
  <si>
    <t>Anchor Concept</t>
  </si>
  <si>
    <t>Timeline</t>
  </si>
  <si>
    <t>Hub-to-spoke: pass authority and help users reach the supporting page</t>
  </si>
  <si>
    <t>Spoke-to-hub: reinforce topical relevance of the pillar page</t>
  </si>
  <si>
    <t>Content Type</t>
  </si>
  <si>
    <t>Title</t>
  </si>
  <si>
    <t>Target Keyword</t>
  </si>
  <si>
    <t>Business Goal</t>
  </si>
  <si>
    <t>Month 1</t>
  </si>
  <si>
    <t>On-page optimization</t>
  </si>
  <si>
    <t>Homepage: title, H1, meta, Dentist schema and Huntsville service grid</t>
  </si>
  <si>
    <t>Reason</t>
  </si>
  <si>
    <t>Generate more local leads</t>
  </si>
  <si>
    <t>Post-procedure education builds E-E-A-T and reduces patient anxiety.</t>
  </si>
  <si>
    <t>dental implant healing stages</t>
  </si>
  <si>
    <t>Own the brand SERP and knowledge panel</t>
  </si>
  <si>
    <t>Very low KD; branded searches should convert at the highest rate.</t>
  </si>
  <si>
    <t>Fix homepage title tag, align NAP with Google Business Profile and add Dentist schema.</t>
  </si>
  <si>
    <t>carecredit dentist huntsville al</t>
  </si>
  <si>
    <t>Service page optimization</t>
  </si>
  <si>
    <t>Dental Implants pillar rewrite with FAQs, process, candidacy and schema</t>
  </si>
  <si>
    <t>Low-KD financing term that the site already supports</t>
  </si>
  <si>
    <t>Site already accepts CareCredit and Citi Health Card; almost no local competition.</t>
  </si>
  <si>
    <t>Add a CareCredit/financing section to /financial-arrangements/ and high-ticket pages.</t>
  </si>
  <si>
    <t>family and implant dentistry in Huntsville</t>
  </si>
  <si>
    <t>Improve service page rankings</t>
  </si>
  <si>
    <t>dental implant aftercare instructions</t>
  </si>
  <si>
    <t>Full Mouth Reconstruction page expansion</t>
  </si>
  <si>
    <t>Low-KD, high-CPC commercial term</t>
  </si>
  <si>
    <t>request an appointment / book a visit</t>
  </si>
  <si>
    <t>Implant buyers search for payment options before booking.</t>
  </si>
  <si>
    <t>Add a financing FAQ block to /tooth-implants/ and the cost page.</t>
  </si>
  <si>
    <t>what to eat after dental implant surgery</t>
  </si>
  <si>
    <t>Homepage service grid: distribute authority to every service page with city-modified anchors</t>
  </si>
  <si>
    <t>Existing content with no dedicated page</t>
  </si>
  <si>
    <t>Implants page already explains lower dentures with as few as two implants.</t>
  </si>
  <si>
    <t>Spin out a dedicated page (confirm scope with the practice).</t>
  </si>
  <si>
    <t>take home teeth whitening trays huntsville</t>
  </si>
  <si>
    <t>Porcelain Veneers page optimization with gallery</t>
  </si>
  <si>
    <t>Cross-silo: denture patients evaluating alternatives</t>
  </si>
  <si>
    <t>Cross-silo: bridge vs implant evaluation</t>
  </si>
  <si>
    <t>Conversion: surface financing options</t>
  </si>
  <si>
    <t>Very low KD; site already offers at-home whitening</t>
  </si>
  <si>
    <t>signs of dental implant failure</t>
  </si>
  <si>
    <t>Whitening page describes an at-home procedure requiring two visits.</t>
  </si>
  <si>
    <t>Add 'take-home whitening trays in Huntsville' section and FAQ to /teeth-whitening/.</t>
  </si>
  <si>
    <t>Conversion: CareCredit and insurance details</t>
  </si>
  <si>
    <t>Upgrade path: denture to implant-supported denture</t>
  </si>
  <si>
    <t>Alternative treatment: implant-supported tooth replacement</t>
  </si>
  <si>
    <t>Contextual: implant crowns</t>
  </si>
  <si>
    <t>Dentures page optimization</t>
  </si>
  <si>
    <t>Contextual: crown after root canal</t>
  </si>
  <si>
    <t>Decision support: save vs extract</t>
  </si>
  <si>
    <t>Contextual: replacing an extracted tooth</t>
  </si>
  <si>
    <t>Neighborhood-level local intent</t>
  </si>
  <si>
    <t>Office sits at 4605 Bellewood Cir SE; no area page exists.</t>
  </si>
  <si>
    <t>Create a Southeast Huntsville / 35802 page with map, directions and NAP.</t>
  </si>
  <si>
    <t>Contextual: replacement options after extraction</t>
  </si>
  <si>
    <t>Cross-sell: whitening vs veneers</t>
  </si>
  <si>
    <t>Cross-sell: longer-term smile makeover</t>
  </si>
  <si>
    <t>Blog-to-service conversion link</t>
  </si>
  <si>
    <t>Pillar-to-pillar: implants within full mouth cases</t>
  </si>
  <si>
    <t>Pillar-to-service: crowns within reconstruction</t>
  </si>
  <si>
    <t>Pillar-to-service: dentures within reconstruction</t>
  </si>
  <si>
    <t>Conversion: financing for high-ticket cases</t>
  </si>
  <si>
    <t>Tooth Replacement</t>
  </si>
  <si>
    <t>Service-area expansion with low KD</t>
  </si>
  <si>
    <t>Low competition and a natural drive-in market from the southeast side.</t>
  </si>
  <si>
    <t>AI-search FAQ to implant pillar</t>
  </si>
  <si>
    <t>Create a short, unique service-area page with drive-time details.</t>
  </si>
  <si>
    <t>AI-search FAQ to cost page</t>
  </si>
  <si>
    <t>AI-search FAQ to financing page</t>
  </si>
  <si>
    <t>Dental Crowns page optimization</t>
  </si>
  <si>
    <t>AI-search FAQ to family dentistry hub</t>
  </si>
  <si>
    <t>Local page to top service</t>
  </si>
  <si>
    <t>Local page to family hub</t>
  </si>
  <si>
    <t>Comparison hub - captures MOFU decision-stage searchers choosing between implants, bridges and dentures.</t>
  </si>
  <si>
    <t>missing tooth replacement options</t>
  </si>
  <si>
    <t>Doctor profile to specialty service</t>
  </si>
  <si>
    <t>Comparison term with KD 20</t>
  </si>
  <si>
    <t>Directly addresses the specialist competitor (huntsvilleperio.com) model.</t>
  </si>
  <si>
    <t>Publish a comparison guide stressing one-office implant + restoration.</t>
  </si>
  <si>
    <t>where can i get dental implants in huntsville al</t>
  </si>
  <si>
    <t>Preventive cross-link</t>
  </si>
  <si>
    <t>Urgent-care to treatment</t>
  </si>
  <si>
    <t>Conversion: primary CTA to book a visit</t>
  </si>
  <si>
    <t>Root Canals page optimization</t>
  </si>
  <si>
    <t>dental implants vs dentures</t>
  </si>
  <si>
    <t>AI-search conversational query</t>
  </si>
  <si>
    <t>Natural-language prompts are answered by AI assistants; local competition is minimal.</t>
  </si>
  <si>
    <t>Add concise answer blocks plus FAQPage schema on a Huntsville FAQ hub.</t>
  </si>
  <si>
    <t>AI-search recommendation query</t>
  </si>
  <si>
    <t>Entity strength (reviews, doctors, credentials) determines AI citations.</t>
  </si>
  <si>
    <t>Strengthen reviews, doctor profiles and consistent NAP; add comparison-style FAQ.</t>
  </si>
  <si>
    <t>tooth colored fillings huntsville al</t>
  </si>
  <si>
    <t>dental implants vs bridge</t>
  </si>
  <si>
    <t>Teeth Whitening page optimization</t>
  </si>
  <si>
    <t>301 consolidation: transfer equity from old post</t>
  </si>
  <si>
    <t>Low KD restorative term</t>
  </si>
  <si>
    <t>Few local competitors target this phrasing.</t>
  </si>
  <si>
    <t>Add 'tooth-colored fillings' H2 and FAQ to /tooth-fillings/.</t>
  </si>
  <si>
    <t>Trust page optimization</t>
  </si>
  <si>
    <t>Financial Arrangements: insurance, CareCredit, payment plans</t>
  </si>
  <si>
    <t>Low KD preventive term</t>
  </si>
  <si>
    <t>Sealants page exists; keyword modifiers are missing.</t>
  </si>
  <si>
    <t>Add Huntsville modifier, kids and adult FAQs to /sealants/.</t>
  </si>
  <si>
    <t>implant vs bridge cost</t>
  </si>
  <si>
    <t>Highest-ticket service with KD 27</t>
  </si>
  <si>
    <t>Large revenue per patient; few competitors with dedicated pages.</t>
  </si>
  <si>
    <t>Expand /full-mouth-reconstruction/ with process, cases and consultation CTA.</t>
  </si>
  <si>
    <t>Brand / E-E-A-T</t>
  </si>
  <si>
    <t>Doctor profile enhancements (Person schema, credentials)</t>
  </si>
  <si>
    <t>partial denture vs implant</t>
  </si>
  <si>
    <t>Existing homepage Q&amp;A with no standalone page</t>
  </si>
  <si>
    <t>Homepage already answers the question; searchers want a full guide.</t>
  </si>
  <si>
    <t>Publish a dedicated guide and link it to the implants pillar.</t>
  </si>
  <si>
    <t>Build topical authority</t>
  </si>
  <si>
    <t>options for missing teeth huntsville al</t>
  </si>
  <si>
    <t>Insurance-driven BOFU term</t>
  </si>
  <si>
    <t>Site submits claims and accepts assignment of benefits.</t>
  </si>
  <si>
    <t>Add accepted-plans section and verify details with the front office.</t>
  </si>
  <si>
    <t>smile makeover huntsville al</t>
  </si>
  <si>
    <t>how to replace a missing tooth</t>
  </si>
  <si>
    <t>Low KD cosmetic term</t>
  </si>
  <si>
    <t>Consolidates veneers, whitening and crowns into one offer.</t>
  </si>
  <si>
    <t>Month 2</t>
  </si>
  <si>
    <t>Include in the new cosmetic hub with a consultation CTA.</t>
  </si>
  <si>
    <t>New service page</t>
  </si>
  <si>
    <t>Dental Implant Cost in Huntsville, AL: pricing factors and financing</t>
  </si>
  <si>
    <t>Directly counters specialist competitors (e.g. huntsvilleperio.com) - one-office implant + restoration convenience.</t>
  </si>
  <si>
    <t>New hub page</t>
  </si>
  <si>
    <t>Family Dentistry in Huntsville, AL</t>
  </si>
  <si>
    <t>oral surgeon vs dentist for implants</t>
  </si>
  <si>
    <t>who places dental implants</t>
  </si>
  <si>
    <t>Cosmetic Dentistry in Huntsville, AL (merge old blog post)</t>
  </si>
  <si>
    <t>general dentist vs prosthodontist</t>
  </si>
  <si>
    <t>Implant-Supported Dentures in Huntsville, AL</t>
  </si>
  <si>
    <t>implant dentist vs oral surgeon huntsville al</t>
  </si>
  <si>
    <t>Emergency Dentist in Huntsville, AL (confirm availability)</t>
  </si>
  <si>
    <t>Dental Bridges page optimization</t>
  </si>
  <si>
    <t>Add Huntsville modifiers, types of dentures, cost range, financing FAQs and link to implant-supported dentures.</t>
  </si>
  <si>
    <t>dentures near me huntsville al</t>
  </si>
  <si>
    <t>Extractions page optimization</t>
  </si>
  <si>
    <t>full dentures huntsville al</t>
  </si>
  <si>
    <t>partial dentures huntsville al</t>
  </si>
  <si>
    <t>Tooth Fillings page optimization</t>
  </si>
  <si>
    <t>Sealants page optimization</t>
  </si>
  <si>
    <t>affordable dentures huntsville al</t>
  </si>
  <si>
    <t>Month 3</t>
  </si>
  <si>
    <t>Comparison hub</t>
  </si>
  <si>
    <t>Replacing Missing Teeth: Implants vs Bridges vs Dentures</t>
  </si>
  <si>
    <t>denture cost huntsville al</t>
  </si>
  <si>
    <t>best dentures huntsville</t>
  </si>
  <si>
    <t>Blog guide</t>
  </si>
  <si>
    <t>Increase organic traffic</t>
  </si>
  <si>
    <t>Blog comparison</t>
  </si>
  <si>
    <t>Who Places Dental Implants: Dentist vs Periodontist vs Oral Surgeon</t>
  </si>
  <si>
    <t>Top-of-funnel denture traffic that feeds the dentures and implant-supported denture pages.</t>
  </si>
  <si>
    <t>how long do dentures last</t>
  </si>
  <si>
    <t>Cleanings &amp; Exams in Huntsville, AL</t>
  </si>
  <si>
    <t>how to clean dentures</t>
  </si>
  <si>
    <t>Pediatric Dentistry in Huntsville, AL</t>
  </si>
  <si>
    <t>can you sleep with dentures in</t>
  </si>
  <si>
    <t>Restorative Dentistry in Huntsville, AL</t>
  </si>
  <si>
    <t>Location page</t>
  </si>
  <si>
    <t>Dentist in Southeast Huntsville (35802)</t>
  </si>
  <si>
    <t>Site already describes lower dentures secured with as few as two implants - spin out a dedicated page. Confirm treatment scope. VERIFY service availability.</t>
  </si>
  <si>
    <t>implant supported dentures</t>
  </si>
  <si>
    <t>Month 4</t>
  </si>
  <si>
    <t>How Long Do Dental Implants Last? Dental Implant Recovery Timeline</t>
  </si>
  <si>
    <t>snap in dentures</t>
  </si>
  <si>
    <t>Dental Crowns Guide: Types, Cost and Lifespan</t>
  </si>
  <si>
    <t>implant retained dentures cost</t>
  </si>
  <si>
    <t>Porcelain Veneers: Pros, Cons and Lifespan</t>
  </si>
  <si>
    <t>Add city modifier, crown materials, procedure steps, cost and FAQ schema.</t>
  </si>
  <si>
    <t>porcelain crowns huntsville al</t>
  </si>
  <si>
    <t>crown dentist huntsville al</t>
  </si>
  <si>
    <t>dental crown cost huntsville al</t>
  </si>
  <si>
    <t>dental crowns near me huntsville</t>
  </si>
  <si>
    <t>Blog optimization</t>
  </si>
  <si>
    <t>Refresh 'Professional Teeth Whitening: Say Cheese!'</t>
  </si>
  <si>
    <t>Educational spoke supporting the crowns service page.</t>
  </si>
  <si>
    <t>dental crown procedure</t>
  </si>
  <si>
    <t>Root Canal vs Extraction: What to Expect</t>
  </si>
  <si>
    <t>does getting a crown hurt</t>
  </si>
  <si>
    <t>dental crown vs filling</t>
  </si>
  <si>
    <t>types of dental crowns</t>
  </si>
  <si>
    <t>Month 5</t>
  </si>
  <si>
    <t>Full Mouth Reconstruction Guide: Process, Timeline and Cost</t>
  </si>
  <si>
    <t>dental crown cost without insurance</t>
  </si>
  <si>
    <t>FAQ hub</t>
  </si>
  <si>
    <t>Huntsville Dental FAQ (AI-search answer hub)</t>
  </si>
  <si>
    <t>Rank in AI search</t>
  </si>
  <si>
    <t>How Much Do Dentures Cost in Alabama?</t>
  </si>
  <si>
    <t>Add city modifier, bridge types and comparison link to implants.</t>
  </si>
  <si>
    <t>dental bridges near me huntsville</t>
  </si>
  <si>
    <t>Month 6</t>
  </si>
  <si>
    <t>dental bridge cost huntsville al</t>
  </si>
  <si>
    <t>how long does a dental bridge last</t>
  </si>
  <si>
    <t>Tooth Extraction Aftercare Guide</t>
  </si>
  <si>
    <t>types of dental bridges</t>
  </si>
  <si>
    <t>King Dental; Dentistry Today; W. Timothy Brooks DMD; JDR Inc (drjdreed.com)</t>
  </si>
  <si>
    <t>High-value cosmetic service - add Huntsville modifier, before/after gallery, cost and consultation CTA.</t>
  </si>
  <si>
    <t>veneers huntsville al</t>
  </si>
  <si>
    <t>dental veneers cost huntsville al</t>
  </si>
  <si>
    <t>veneers near me huntsville al</t>
  </si>
  <si>
    <t>best veneers dentist huntsville al</t>
  </si>
  <si>
    <t>Top-of-funnel cosmetic traffic with strong internal link potential.</t>
  </si>
  <si>
    <t>veneers pros and cons</t>
  </si>
  <si>
    <t>veneers vs crowns</t>
  </si>
  <si>
    <t>veneers cost</t>
  </si>
  <si>
    <t>do veneers ruin your teeth</t>
  </si>
  <si>
    <t>veneers vs bonding</t>
  </si>
  <si>
    <t>Hub page. Existing blog /cosmetic-dentistry-smile-tell-story/ should be merged in and 301-redirected.</t>
  </si>
  <si>
    <t>cosmetic dentistry huntsville al</t>
  </si>
  <si>
    <t>best cosmetic dentist in huntsville al</t>
  </si>
  <si>
    <t>cosmetic dentistry procedures</t>
  </si>
  <si>
    <t>cosmetic dentist near me huntsville</t>
  </si>
  <si>
    <t>Add city modifier; highlight professional take-home whitening and pricing.</t>
  </si>
  <si>
    <t>professional teeth whitening huntsville al</t>
  </si>
  <si>
    <t>teeth whitening near me huntsville</t>
  </si>
  <si>
    <t>teeth whitening cost at dentist</t>
  </si>
  <si>
    <t>dentist teeth whitening huntsville al</t>
  </si>
  <si>
    <t>Existing post - retitle, expand and link to /teeth-whitening/.</t>
  </si>
  <si>
    <t>is teeth whitening safe</t>
  </si>
  <si>
    <t>does teeth whitening damage enamel</t>
  </si>
  <si>
    <t>how long does teeth whitening last</t>
  </si>
  <si>
    <t>why are my teeth yellow</t>
  </si>
  <si>
    <t>teeth whitening sensitivity tips</t>
  </si>
  <si>
    <t>High-urgency service - add city modifier, 'what to expect', pain-relief reassurance and FAQ schema.</t>
  </si>
  <si>
    <t>root canal dentist huntsville al</t>
  </si>
  <si>
    <t>root canal treatment huntsville</t>
  </si>
  <si>
    <t>root canal near me huntsville</t>
  </si>
  <si>
    <t>root canal cost huntsville al</t>
  </si>
  <si>
    <t>Decision-stage content linking to both root canal and extraction pages.</t>
  </si>
  <si>
    <t>signs you need a root canal</t>
  </si>
  <si>
    <t>is a root canal painful</t>
  </si>
  <si>
    <t>how long does a root canal take</t>
  </si>
  <si>
    <t>root canal recovery time</t>
  </si>
  <si>
    <t>root canal cost without insurance</t>
  </si>
  <si>
    <t>Add city modifier and clarify wisdom-tooth scope (refer vs treat in-house). VERIFY service availability.</t>
  </si>
  <si>
    <t>tooth extraction near me huntsville</t>
  </si>
  <si>
    <t>tooth removal huntsville al</t>
  </si>
  <si>
    <t>wisdom tooth removal huntsville al</t>
  </si>
  <si>
    <t>tooth extraction cost huntsville al</t>
  </si>
  <si>
    <t>High-volume aftercare queries; funnels to extractions and implant (replacement) pages.</t>
  </si>
  <si>
    <t>what to eat after tooth extraction</t>
  </si>
  <si>
    <t>how long does tooth extraction take to heal</t>
  </si>
  <si>
    <t>Add city modifier and tooth-colored filling positioning.</t>
  </si>
  <si>
    <t>composite fillings huntsville</t>
  </si>
  <si>
    <t>cavity filling huntsville al</t>
  </si>
  <si>
    <t>dentist for cavities near me huntsville</t>
  </si>
  <si>
    <t>Educational spoke supporting fillings page.</t>
  </si>
  <si>
    <t>how long do fillings last</t>
  </si>
  <si>
    <t>signs of a cavity</t>
  </si>
  <si>
    <t>cavity filling cost without insurance</t>
  </si>
  <si>
    <t>Preventive service - add city modifier, kids and adult FAQs.</t>
  </si>
  <si>
    <t>sealants for kids huntsville</t>
  </si>
  <si>
    <t>are dental sealants worth it</t>
  </si>
  <si>
    <t>how long do dental sealants last</t>
  </si>
  <si>
    <t>dental sealants cost</t>
  </si>
  <si>
    <t>do adults need sealants</t>
  </si>
  <si>
    <t>Highest-ticket service - add Huntsville modifier, case types, process timeline, financing and consultation CTA.</t>
  </si>
  <si>
    <t>full mouth rehabilitation huntsville</t>
  </si>
  <si>
    <t>full mouth restoration huntsville al</t>
  </si>
  <si>
    <t>full mouth dental implants huntsville al</t>
  </si>
  <si>
    <t>full mouth reconstruction dentist near me</t>
  </si>
  <si>
    <t>full mouth reconstruction cost huntsville al</t>
  </si>
  <si>
    <t>Educational spoke for high-ticket service.</t>
  </si>
  <si>
    <t>what is full mouth reconstruction</t>
  </si>
  <si>
    <t>who needs full mouth reconstruction</t>
  </si>
  <si>
    <t>full mouth reconstruction before and after</t>
  </si>
  <si>
    <t>how long does full mouth reconstruction take</t>
  </si>
  <si>
    <t>worn down teeth treatment</t>
  </si>
  <si>
    <t>Local Trust &amp; Conversion</t>
  </si>
  <si>
    <t>Page already lists CareCredit, Citi Health Card and claim submission - rewrite to capture insurance/financing searches.</t>
  </si>
  <si>
    <t>dental financing huntsville al</t>
  </si>
  <si>
    <t>dentist payment plans huntsville al</t>
  </si>
  <si>
    <t>affordable dentist huntsville al</t>
  </si>
  <si>
    <t>dentist no insurance huntsville al</t>
  </si>
  <si>
    <t>how does carecredit work for dental</t>
  </si>
  <si>
    <t>W. Timothy Brooks DMD; Dentistry Today; Aspen Dental Huntsville; huntsvilleperio.com</t>
  </si>
  <si>
    <t>Neighborhood landing page aligned to the 4605 Bellewood Cir SE address.</t>
  </si>
  <si>
    <t>dentist 35802</t>
  </si>
  <si>
    <t>dentist south huntsville al</t>
  </si>
  <si>
    <t>Service-area page for patients driving in from Hampton Cove.</t>
  </si>
  <si>
    <t>dentist near hampton cove huntsville</t>
  </si>
  <si>
    <t>family dentist hampton cove al</t>
  </si>
  <si>
    <t>Service-area page; competitive (huntsvilleperio.com is located in Madison). Lower priority.</t>
  </si>
  <si>
    <t>family dentist madison al</t>
  </si>
  <si>
    <t>dental implants madison al</t>
  </si>
  <si>
    <t>Hub that unifies crowns, fillings, root canals, extractions and bridges for topical authority.</t>
  </si>
  <si>
    <t>restorative dentist huntsville al</t>
  </si>
  <si>
    <t>tooth restoration huntsville al</t>
  </si>
  <si>
    <t>what is restorative dentistry</t>
  </si>
  <si>
    <t>Natural-language Q&amp;A written for AI Overviews, ChatGPT, Perplexity and voice answers - use FAQPage schema and concise answer blocks.</t>
  </si>
  <si>
    <t>what dentist does implants and crowns in huntsville</t>
  </si>
  <si>
    <t>is a family dentist or specialist better for dental implants</t>
  </si>
  <si>
    <t>how much do dental implants cost in huntsville al</t>
  </si>
  <si>
    <t>what should i ask my dentist before getting implants</t>
  </si>
  <si>
    <t>how do i find a good dentist in huntsville al</t>
  </si>
  <si>
    <t>do i need a referral for an implant dentist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</si>
</sst>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0.0"/>
  </numFmts>
  <fonts count="22">
    <font>
      <sz val="11.0"/>
      <color theme="1"/>
      <name val="Calibri"/>
      <scheme val="minor"/>
    </font>
    <font>
      <b/>
      <sz val="10.0"/>
      <color rgb="FFFFFFFF"/>
      <name val="Arial"/>
    </font>
    <font>
      <b/>
      <sz val="16.0"/>
      <color rgb="FFFFFFFF"/>
      <name val="Arial"/>
    </font>
    <font/>
    <font>
      <b/>
      <sz val="11.0"/>
      <color rgb="FF0B1F3A"/>
      <name val="Arial"/>
    </font>
    <font>
      <b/>
      <sz val="10.0"/>
      <color rgb="FF0B1F3A"/>
      <name val="Arial"/>
    </font>
    <font>
      <sz val="10.0"/>
      <color rgb="FF0B1F3A"/>
      <name val="Arial"/>
    </font>
    <font>
      <sz val="10.0"/>
      <color rgb="FF1F2933"/>
      <name val="Arial"/>
    </font>
    <font>
      <sz val="10.0"/>
      <color rgb="FF0000FF"/>
      <name val="Arial"/>
    </font>
    <font>
      <b/>
      <sz val="10.0"/>
      <color rgb="FF0000FF"/>
      <name val="Arial"/>
    </font>
    <font>
      <sz val="11.0"/>
      <color theme="1"/>
      <name val="Calibri"/>
    </font>
    <font>
      <i/>
      <sz val="9.0"/>
      <color rgb="FF5B6573"/>
      <name val="Arial"/>
    </font>
    <font>
      <b/>
      <sz val="24.0"/>
      <color rgb="FFFFFFFF"/>
      <name val="Arial"/>
    </font>
    <font>
      <b/>
      <sz val="15.0"/>
      <color rgb="FFC9A227"/>
      <name val="Arial"/>
    </font>
    <font>
      <sz val="11.0"/>
      <color rgb="FFFFFFFF"/>
      <name val="Arial"/>
    </font>
    <font>
      <sz val="10.0"/>
      <color rgb="FFD8DEEA"/>
      <name val="Arial"/>
    </font>
    <font>
      <b/>
      <sz val="12.0"/>
      <color rgb="FF0B1F3A"/>
      <name val="Arial"/>
    </font>
    <font>
      <b/>
      <sz val="9.0"/>
      <color rgb="FFFFFFFF"/>
      <name val="Arial"/>
    </font>
    <font>
      <b/>
      <sz val="22.0"/>
      <color rgb="FF0B1F3A"/>
      <name val="Arial"/>
    </font>
    <font>
      <b/>
      <sz val="20.0"/>
      <color rgb="FF0B1F3A"/>
      <name val="Arial"/>
    </font>
    <font>
      <b/>
      <u/>
      <sz val="10.0"/>
      <color rgb="FF17325C"/>
      <name val="Arial"/>
    </font>
    <font>
      <b/>
      <u/>
      <sz val="10.0"/>
      <color rgb="FF17325C"/>
      <name val="Arial"/>
    </font>
  </fonts>
  <fills count="6">
    <fill>
      <patternFill patternType="none"/>
    </fill>
    <fill>
      <patternFill patternType="lightGray"/>
    </fill>
    <fill>
      <patternFill patternType="solid">
        <fgColor rgb="FF17325C"/>
        <bgColor rgb="FF17325C"/>
      </patternFill>
    </fill>
    <fill>
      <patternFill patternType="solid">
        <fgColor rgb="FF0B1F3A"/>
        <bgColor rgb="FF0B1F3A"/>
      </patternFill>
    </fill>
    <fill>
      <patternFill patternType="solid">
        <fgColor rgb="FFF6EBC8"/>
        <bgColor rgb="FFF6EBC8"/>
      </patternFill>
    </fill>
    <fill>
      <patternFill patternType="solid">
        <fgColor rgb="FFF3F5F9"/>
        <bgColor rgb="FFF3F5F9"/>
      </patternFill>
    </fill>
  </fills>
  <borders count="21">
    <border/>
    <border>
      <left style="thin">
        <color rgb="FF000000"/>
      </left>
      <right style="thin">
        <color rgb="FF000000"/>
      </right>
      <top style="thin">
        <color rgb="FF000000"/>
      </top>
      <bottom style="thin">
        <color rgb="FF000000"/>
      </bottom>
    </border>
    <border>
      <left/>
      <top/>
      <bottom/>
    </border>
    <border>
      <top/>
      <bottom/>
    </border>
    <border>
      <right/>
      <top/>
      <bottom/>
    </border>
    <border>
      <left/>
      <top/>
      <bottom style="medium">
        <color rgb="FFC9A227"/>
      </bottom>
    </border>
    <border>
      <top/>
      <bottom style="medium">
        <color rgb="FFC9A227"/>
      </bottom>
    </border>
    <border>
      <right/>
      <top/>
      <bottom style="medium">
        <color rgb="FFC9A227"/>
      </bottom>
    </border>
    <border>
      <left style="thin">
        <color rgb="FFD5DAE3"/>
      </left>
      <right style="thin">
        <color rgb="FFD5DAE3"/>
      </right>
      <top style="thin">
        <color rgb="FFD5DAE3"/>
      </top>
      <bottom style="thin">
        <color rgb="FFD5DAE3"/>
      </bottom>
    </border>
    <border>
      <left style="thin">
        <color rgb="FFD5DAE3"/>
      </left>
      <top style="thin">
        <color rgb="FFD5DAE3"/>
      </top>
      <bottom style="thin">
        <color rgb="FFD5DAE3"/>
      </bottom>
    </border>
    <border>
      <top style="thin">
        <color rgb="FFD5DAE3"/>
      </top>
      <bottom style="thin">
        <color rgb="FFD5DAE3"/>
      </bottom>
    </border>
    <border>
      <right style="thin">
        <color rgb="FFD5DAE3"/>
      </right>
      <top style="thin">
        <color rgb="FFD5DAE3"/>
      </top>
      <bottom style="thin">
        <color rgb="FFD5DAE3"/>
      </bottom>
    </border>
    <border>
      <left style="thin">
        <color rgb="FFD5DAE3"/>
      </left>
      <right style="thin">
        <color rgb="FFD5DAE3"/>
      </right>
      <top style="thin">
        <color rgb="FFD5DAE3"/>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bottom style="medium">
        <color rgb="FFC9A227"/>
      </bottom>
    </border>
    <border>
      <left style="thin">
        <color rgb="FFFFFFFF"/>
      </left>
      <top/>
      <bottom style="thick">
        <color rgb="FFC9A227"/>
      </bottom>
    </border>
    <border>
      <right style="thin">
        <color rgb="FFFFFFFF"/>
      </right>
      <top/>
      <bottom style="thick">
        <color rgb="FFC9A227"/>
      </bottom>
    </border>
    <border>
      <left/>
      <right/>
      <top/>
      <bottom style="medium">
        <color rgb="FFC9A227"/>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2" fillId="3" fontId="2" numFmtId="0" xfId="0" applyAlignment="1" applyBorder="1" applyFill="1" applyFont="1">
      <alignment horizontal="center" vertical="center"/>
    </xf>
    <xf borderId="1" fillId="2" fontId="1"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4" fontId="4" numFmtId="0" xfId="0" applyAlignment="1" applyBorder="1" applyFill="1" applyFont="1">
      <alignment horizontal="center" vertical="center"/>
    </xf>
    <xf borderId="6" fillId="0" fontId="3" numFmtId="0" xfId="0" applyBorder="1" applyFont="1"/>
    <xf borderId="7" fillId="0" fontId="3" numFmtId="0" xfId="0" applyBorder="1" applyFont="1"/>
    <xf borderId="8" fillId="5" fontId="5" numFmtId="0" xfId="0" applyAlignment="1" applyBorder="1" applyFill="1" applyFont="1">
      <alignment shrinkToFit="0" vertical="top" wrapText="1"/>
    </xf>
    <xf borderId="1" fillId="0" fontId="6" numFmtId="0" xfId="0" applyAlignment="1" applyBorder="1" applyFont="1">
      <alignment vertical="center"/>
    </xf>
    <xf borderId="1" fillId="0" fontId="7" numFmtId="0" xfId="0" applyAlignment="1" applyBorder="1" applyFont="1">
      <alignment vertical="center"/>
    </xf>
    <xf borderId="9" fillId="0" fontId="7" numFmtId="0" xfId="0" applyAlignment="1" applyBorder="1" applyFont="1">
      <alignment shrinkToFit="0" vertical="top" wrapText="1"/>
    </xf>
    <xf borderId="1" fillId="0" fontId="7" numFmtId="0" xfId="0" applyAlignment="1" applyBorder="1" applyFont="1">
      <alignment shrinkToFit="0" vertical="center" wrapText="1"/>
    </xf>
    <xf borderId="10" fillId="0" fontId="3" numFmtId="0" xfId="0" applyBorder="1" applyFont="1"/>
    <xf borderId="11" fillId="0" fontId="3" numFmtId="0" xfId="0" applyBorder="1" applyFont="1"/>
    <xf borderId="1" fillId="0" fontId="7" numFmtId="0" xfId="0" applyAlignment="1" applyBorder="1" applyFont="1">
      <alignment horizontal="center" vertical="center"/>
    </xf>
    <xf borderId="1" fillId="0" fontId="8" numFmtId="3" xfId="0" applyAlignment="1" applyBorder="1" applyFont="1" applyNumberFormat="1">
      <alignment horizontal="center" vertical="center"/>
    </xf>
    <xf borderId="1" fillId="0" fontId="8" numFmtId="0" xfId="0" applyAlignment="1" applyBorder="1" applyFont="1">
      <alignment horizontal="center" vertical="center"/>
    </xf>
    <xf borderId="1" fillId="0" fontId="8" numFmtId="164" xfId="0" applyAlignment="1" applyBorder="1" applyFont="1" applyNumberFormat="1">
      <alignment horizontal="center" vertical="center"/>
    </xf>
    <xf borderId="1" fillId="0" fontId="6"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5" numFmtId="0" xfId="0" applyAlignment="1" applyBorder="1" applyFont="1">
      <alignment horizontal="center" vertical="center"/>
    </xf>
    <xf borderId="1" fillId="5" fontId="6" numFmtId="0" xfId="0" applyAlignment="1" applyBorder="1" applyFill="1" applyFont="1">
      <alignment vertical="center"/>
    </xf>
    <xf borderId="1" fillId="0" fontId="7" numFmtId="3" xfId="0" applyAlignment="1" applyBorder="1" applyFont="1" applyNumberFormat="1">
      <alignment horizontal="center" shrinkToFit="0" vertical="center" wrapText="1"/>
    </xf>
    <xf borderId="1" fillId="5" fontId="7" numFmtId="0" xfId="0" applyAlignment="1" applyBorder="1" applyFill="1" applyFont="1">
      <alignment vertical="center"/>
    </xf>
    <xf borderId="1" fillId="5" fontId="7" numFmtId="0" xfId="0" applyAlignment="1" applyBorder="1" applyFill="1" applyFont="1">
      <alignment shrinkToFit="0" vertical="center" wrapText="1"/>
    </xf>
    <xf borderId="12" fillId="2" fontId="1"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1" fillId="5" fontId="6" numFmtId="0" xfId="0" applyAlignment="1" applyBorder="1" applyFill="1" applyFont="1">
      <alignment shrinkToFit="0" vertical="center" wrapText="1"/>
    </xf>
    <xf borderId="1" fillId="5" fontId="7" numFmtId="0" xfId="0" applyAlignment="1" applyBorder="1" applyFill="1" applyFont="1">
      <alignment horizontal="center" vertical="center"/>
    </xf>
    <xf borderId="1" fillId="5" fontId="8" numFmtId="3" xfId="0" applyAlignment="1" applyBorder="1" applyFill="1" applyFont="1" applyNumberFormat="1">
      <alignment horizontal="center" vertical="center"/>
    </xf>
    <xf borderId="1" fillId="5" fontId="8" numFmtId="0" xfId="0" applyAlignment="1" applyBorder="1" applyFill="1" applyFont="1">
      <alignment horizontal="center" vertical="center"/>
    </xf>
    <xf borderId="1" fillId="5" fontId="8" numFmtId="164" xfId="0" applyAlignment="1" applyBorder="1" applyFill="1" applyFont="1" applyNumberFormat="1">
      <alignment horizontal="center" vertical="center"/>
    </xf>
    <xf borderId="1" fillId="0" fontId="7" numFmtId="0" xfId="0" applyAlignment="1" applyBorder="1" applyFont="1">
      <alignment shrinkToFit="0" vertical="top" wrapText="1"/>
    </xf>
    <xf borderId="1" fillId="5" fontId="7" numFmtId="3" xfId="0" applyAlignment="1" applyBorder="1" applyFill="1" applyFont="1" applyNumberFormat="1">
      <alignment horizontal="center" shrinkToFit="0" vertical="center" wrapText="1"/>
    </xf>
    <xf borderId="1" fillId="0" fontId="9" numFmtId="9" xfId="0" applyAlignment="1" applyBorder="1" applyFont="1" applyNumberFormat="1">
      <alignment horizontal="center" shrinkToFit="0" vertical="top" wrapText="1"/>
    </xf>
    <xf borderId="1" fillId="0" fontId="5" numFmtId="0" xfId="0" applyBorder="1" applyFont="1"/>
    <xf borderId="1" fillId="0" fontId="10" numFmtId="0" xfId="0" applyBorder="1" applyFont="1"/>
    <xf borderId="1" fillId="5" fontId="5" numFmtId="0" xfId="0" applyAlignment="1" applyBorder="1" applyFill="1" applyFont="1">
      <alignment horizontal="center" vertical="center"/>
    </xf>
    <xf borderId="1" fillId="0" fontId="5" numFmtId="9" xfId="0" applyAlignment="1" applyBorder="1" applyFont="1" applyNumberFormat="1">
      <alignment horizontal="center"/>
    </xf>
    <xf borderId="0" fillId="0" fontId="11" numFmtId="0" xfId="0" applyFont="1"/>
    <xf borderId="1" fillId="0" fontId="7" numFmtId="0" xfId="0" applyAlignment="1" applyBorder="1" applyFont="1">
      <alignment horizontal="center" shrinkToFit="0" vertical="top" wrapText="1"/>
    </xf>
    <xf borderId="1" fillId="5" fontId="7" numFmtId="0" xfId="0" applyAlignment="1" applyBorder="1" applyFill="1" applyFont="1">
      <alignment shrinkToFit="0" vertical="top" wrapText="1"/>
    </xf>
    <xf borderId="1" fillId="5" fontId="7" numFmtId="0" xfId="0" applyAlignment="1" applyBorder="1" applyFill="1" applyFont="1">
      <alignment horizontal="center" shrinkToFit="0" vertical="top" wrapText="1"/>
    </xf>
    <xf borderId="2" fillId="4" fontId="4" numFmtId="0" xfId="0" applyAlignment="1" applyBorder="1" applyFill="1" applyFont="1">
      <alignment horizontal="center" vertical="center"/>
    </xf>
    <xf borderId="13" fillId="0" fontId="7" numFmtId="0" xfId="0" applyAlignment="1" applyBorder="1" applyFont="1">
      <alignment shrinkToFit="0" vertical="center" wrapText="1"/>
    </xf>
    <xf borderId="14" fillId="0" fontId="3" numFmtId="0" xfId="0" applyBorder="1" applyFont="1"/>
    <xf borderId="15" fillId="0" fontId="3" numFmtId="0" xfId="0" applyBorder="1" applyFont="1"/>
    <xf borderId="16" fillId="3" fontId="10" numFmtId="0" xfId="0" applyBorder="1" applyFill="1" applyFont="1"/>
    <xf borderId="2" fillId="3" fontId="12" numFmtId="0" xfId="0" applyAlignment="1" applyBorder="1" applyFill="1" applyFont="1">
      <alignment horizontal="center" shrinkToFit="0" vertical="center" wrapText="1"/>
    </xf>
    <xf borderId="2" fillId="3" fontId="13" numFmtId="0" xfId="0" applyAlignment="1" applyBorder="1" applyFill="1" applyFont="1">
      <alignment horizontal="center" shrinkToFit="0" vertical="center" wrapText="1"/>
    </xf>
    <xf borderId="2" fillId="3" fontId="14" numFmtId="0" xfId="0" applyAlignment="1" applyBorder="1" applyFill="1" applyFont="1">
      <alignment horizontal="center" shrinkToFit="0" vertical="center" wrapText="1"/>
    </xf>
    <xf borderId="2" fillId="3" fontId="15" numFmtId="0" xfId="0" applyAlignment="1" applyBorder="1" applyFill="1" applyFont="1">
      <alignment horizontal="center" shrinkToFit="0" vertical="center" wrapText="1"/>
    </xf>
    <xf borderId="17" fillId="0" fontId="16" numFmtId="0" xfId="0" applyAlignment="1" applyBorder="1" applyFont="1">
      <alignment horizontal="center" vertical="center"/>
    </xf>
    <xf borderId="17" fillId="0" fontId="3" numFmtId="0" xfId="0" applyBorder="1" applyFont="1"/>
    <xf borderId="2" fillId="2" fontId="17" numFmtId="0" xfId="0" applyAlignment="1" applyBorder="1" applyFill="1" applyFont="1">
      <alignment horizontal="center" shrinkToFit="0" vertical="center" wrapText="1"/>
    </xf>
    <xf borderId="18" fillId="5" fontId="18" numFmtId="3" xfId="0" applyAlignment="1" applyBorder="1" applyFill="1" applyFont="1" applyNumberFormat="1">
      <alignment horizontal="center" shrinkToFit="0" vertical="center" wrapText="1"/>
    </xf>
    <xf borderId="19" fillId="0" fontId="3" numFmtId="0" xfId="0" applyBorder="1" applyFont="1"/>
    <xf borderId="18" fillId="5" fontId="19" numFmtId="49" xfId="0" applyAlignment="1" applyBorder="1" applyFill="1" applyFont="1" applyNumberFormat="1">
      <alignment horizontal="center" shrinkToFit="0" vertical="center" wrapText="1"/>
    </xf>
    <xf borderId="18" fillId="5" fontId="18" numFmtId="165" xfId="0" applyAlignment="1" applyBorder="1" applyFill="1" applyFont="1" applyNumberFormat="1">
      <alignment horizontal="center" shrinkToFit="0" vertical="center" wrapText="1"/>
    </xf>
    <xf borderId="20" fillId="2" fontId="1" numFmtId="0" xfId="0" applyAlignment="1" applyBorder="1" applyFill="1" applyFont="1">
      <alignment horizontal="center" shrinkToFit="0" vertical="center" wrapText="1"/>
    </xf>
    <xf borderId="8" fillId="0" fontId="5" numFmtId="0" xfId="0" applyBorder="1" applyFont="1"/>
    <xf borderId="8" fillId="0" fontId="7" numFmtId="0" xfId="0" applyAlignment="1" applyBorder="1" applyFont="1">
      <alignment horizontal="center"/>
    </xf>
    <xf borderId="8" fillId="0" fontId="7" numFmtId="9" xfId="0" applyAlignment="1" applyBorder="1" applyFont="1" applyNumberFormat="1">
      <alignment horizontal="center"/>
    </xf>
    <xf borderId="8" fillId="5" fontId="5" numFmtId="0" xfId="0" applyBorder="1" applyFill="1" applyFont="1"/>
    <xf borderId="8" fillId="5" fontId="7" numFmtId="0" xfId="0" applyAlignment="1" applyBorder="1" applyFill="1" applyFont="1">
      <alignment horizontal="center"/>
    </xf>
    <xf borderId="8" fillId="5" fontId="7" numFmtId="9" xfId="0" applyAlignment="1" applyBorder="1" applyFill="1" applyFont="1" applyNumberFormat="1">
      <alignment horizontal="center"/>
    </xf>
    <xf borderId="2" fillId="2" fontId="1" numFmtId="0" xfId="0" applyAlignment="1" applyBorder="1" applyFill="1" applyFont="1">
      <alignment horizontal="center" shrinkToFit="0" vertical="center" wrapText="1"/>
    </xf>
    <xf borderId="9" fillId="0" fontId="20" numFmtId="0" xfId="0" applyAlignment="1" applyBorder="1" applyFont="1">
      <alignment vertical="center"/>
    </xf>
    <xf borderId="9" fillId="0" fontId="7" numFmtId="0" xfId="0" applyAlignment="1" applyBorder="1" applyFont="1">
      <alignment vertical="center"/>
    </xf>
    <xf borderId="9" fillId="5" fontId="21" numFmtId="0" xfId="0" applyAlignment="1" applyBorder="1" applyFill="1" applyFont="1">
      <alignment vertical="center"/>
    </xf>
    <xf borderId="9" fillId="5" fontId="7" numFmtId="0" xfId="0" applyAlignment="1" applyBorder="1" applyFill="1" applyFont="1">
      <alignment vertical="center"/>
    </xf>
  </cellXfs>
  <cellStyles count="1">
    <cellStyle xfId="0" name="Normal" builtinId="0"/>
  </cellStyles>
  <dxfs count="10">
    <dxf>
      <font>
        <b/>
        <color rgb="FF9B1C1C"/>
        <name val="Arial"/>
      </font>
      <fill>
        <patternFill patternType="solid">
          <fgColor rgb="FFF8D7D7"/>
          <bgColor rgb="FFF8D7D7"/>
        </patternFill>
      </fill>
      <border/>
    </dxf>
    <dxf>
      <font/>
      <fill>
        <patternFill patternType="solid">
          <fgColor rgb="FFF6EBC8"/>
          <bgColor rgb="FFF6EBC8"/>
        </patternFill>
      </fill>
      <border/>
    </dxf>
    <dxf>
      <font>
        <b/>
        <color rgb="FF1B6E3C"/>
        <name val="Arial"/>
      </font>
      <fill>
        <patternFill patternType="none"/>
      </fill>
      <border/>
    </dxf>
    <dxf>
      <font>
        <b/>
        <color rgb="FF0B1F3A"/>
        <name val="Arial"/>
      </font>
      <fill>
        <patternFill patternType="solid">
          <fgColor rgb="FFC9A227"/>
          <bgColor rgb="FFC9A227"/>
        </patternFill>
      </fill>
      <border/>
    </dxf>
    <dxf>
      <font>
        <b/>
        <color rgb="FF0B1F3A"/>
        <name val="Arial"/>
      </font>
      <fill>
        <patternFill patternType="solid">
          <fgColor rgb="FFF6EBC8"/>
          <bgColor rgb="FFF6EBC8"/>
        </patternFill>
      </fill>
      <border/>
    </dxf>
    <dxf>
      <font/>
      <fill>
        <patternFill patternType="solid">
          <fgColor rgb="FFDCE6F5"/>
          <bgColor rgb="FFDCE6F5"/>
        </patternFill>
      </fill>
      <border/>
    </dxf>
    <dxf>
      <font>
        <color rgb="FF0B1F3A"/>
        <name val="Arial"/>
      </font>
      <fill>
        <patternFill patternType="solid">
          <fgColor rgb="FFDCE6F5"/>
          <bgColor rgb="FFDCE6F5"/>
        </patternFill>
      </fill>
      <border/>
    </dxf>
    <dxf>
      <font>
        <color rgb="FF5B6573"/>
        <name val="Arial"/>
      </font>
      <fill>
        <patternFill patternType="solid">
          <fgColor rgb="FFEDEFF3"/>
          <bgColor rgb="FFEDEFF3"/>
        </patternFill>
      </fill>
      <border/>
    </dxf>
    <dxf>
      <font>
        <color rgb="FF9AA3AF"/>
        <name val="Arial"/>
      </font>
      <fill>
        <patternFill patternType="none"/>
      </fill>
      <border/>
    </dxf>
    <dxf>
      <font>
        <b/>
        <color rgb="FF9B1C1C"/>
        <name val="Arial"/>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Keyword Intent Distribution</a:t>
            </a:r>
          </a:p>
        </c:rich>
      </c:tx>
      <c:overlay val="0"/>
    </c:title>
    <c:plotArea>
      <c:layout/>
      <c:doughnutChart>
        <c:varyColors val="1"/>
        <c:ser>
          <c:idx val="0"/>
          <c:order val="0"/>
          <c:tx>
            <c:strRef>
              <c:f>Cover!$C$18</c:f>
            </c:strRef>
          </c:tx>
          <c:dPt>
            <c:idx val="0"/>
            <c:spPr>
              <a:solidFill>
                <a:srgbClr val="0B1F3A"/>
              </a:solidFill>
            </c:spPr>
          </c:dPt>
          <c:dPt>
            <c:idx val="1"/>
            <c:spPr>
              <a:solidFill>
                <a:srgbClr val="C9A227"/>
              </a:solidFill>
            </c:spPr>
          </c:dPt>
          <c:dPt>
            <c:idx val="2"/>
            <c:spPr>
              <a:solidFill>
                <a:srgbClr val="5B7FB5"/>
              </a:solidFill>
            </c:spPr>
          </c:dPt>
          <c:dPt>
            <c:idx val="3"/>
            <c:spPr>
              <a:solidFill>
                <a:srgbClr val="A9B7CE"/>
              </a:solidFill>
            </c:spPr>
          </c:dPt>
          <c:dLbls>
            <c:dLbl>
              <c:idx val="0"/>
              <c:txPr>
                <a:bodyPr/>
                <a:lstStyle/>
                <a:p>
                  <a:pPr lvl="0">
                    <a:defRPr b="0" i="0" sz="1000">
                      <a:solidFill>
                        <a:srgbClr val="000000"/>
                      </a:solidFill>
                      <a:latin typeface="Calibri"/>
                    </a:defRPr>
                  </a:pPr>
                </a:p>
              </c:txPr>
              <c:showLegendKey val="0"/>
              <c:showVal val="0"/>
              <c:showCatName val="0"/>
              <c:showSerName val="0"/>
              <c:showPercent val="1"/>
              <c:showBubbleSize val="0"/>
            </c:dLbl>
            <c:dLbl>
              <c:idx val="1"/>
              <c:txPr>
                <a:bodyPr/>
                <a:lstStyle/>
                <a:p>
                  <a:pPr lvl="0">
                    <a:defRPr b="0" i="0" sz="1000">
                      <a:solidFill>
                        <a:srgbClr val="000000"/>
                      </a:solidFill>
                      <a:latin typeface="Calibri"/>
                    </a:defRPr>
                  </a:pPr>
                </a:p>
              </c:txPr>
              <c:showLegendKey val="0"/>
              <c:showVal val="0"/>
              <c:showCatName val="0"/>
              <c:showSerName val="0"/>
              <c:showPercent val="1"/>
              <c:showBubbleSize val="0"/>
            </c:dLbl>
            <c:dLbl>
              <c:idx val="2"/>
              <c:txPr>
                <a:bodyPr/>
                <a:lstStyle/>
                <a:p>
                  <a:pPr lvl="0">
                    <a:defRPr b="0" i="0" sz="1000">
                      <a:solidFill>
                        <a:srgbClr val="000000"/>
                      </a:solidFill>
                      <a:latin typeface="Calibri"/>
                    </a:defRPr>
                  </a:pPr>
                </a:p>
              </c:txPr>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Cover!$B$19:$B$22</c:f>
            </c:strRef>
          </c:cat>
          <c:val>
            <c:numRef>
              <c:f>Cover!$C$19:$C$22</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Keyword Priority Distribution</a:t>
            </a:r>
          </a:p>
        </c:rich>
      </c:tx>
      <c:overlay val="0"/>
    </c:title>
    <c:plotArea>
      <c:layout/>
      <c:barChart>
        <c:barDir val="col"/>
        <c:varyColors val="0"/>
        <c:ser>
          <c:idx val="0"/>
          <c:order val="0"/>
          <c:tx>
            <c:v>Keywords</c:v>
          </c:tx>
          <c:spPr>
            <a:solidFill>
              <a:srgbClr val="4F81BD"/>
            </a:solidFill>
            <a:ln cmpd="sng">
              <a:noFill/>
            </a:ln>
          </c:spPr>
          <c:invertIfNegative val="0"/>
          <c:dPt>
            <c:idx val="0"/>
            <c:spPr>
              <a:solidFill>
                <a:srgbClr val="C9A227"/>
              </a:solidFill>
              <a:ln cmpd="sng">
                <a:noFill/>
              </a:ln>
            </c:spPr>
          </c:dPt>
          <c:dPt>
            <c:idx val="1"/>
            <c:spPr>
              <a:solidFill>
                <a:srgbClr val="E4C75A"/>
              </a:solidFill>
              <a:ln cmpd="sng">
                <a:noFill/>
              </a:ln>
            </c:spPr>
          </c:dPt>
          <c:dPt>
            <c:idx val="2"/>
            <c:spPr>
              <a:solidFill>
                <a:srgbClr val="5B7FB5"/>
              </a:solidFill>
              <a:ln cmpd="sng">
                <a:noFill/>
              </a:ln>
            </c:spPr>
          </c:dPt>
          <c:dPt>
            <c:idx val="3"/>
            <c:spPr>
              <a:solidFill>
                <a:srgbClr val="A9B7CE"/>
              </a:solidFill>
              <a:ln cmpd="sng">
                <a:noFill/>
              </a:ln>
            </c:spPr>
          </c:dPt>
          <c:dPt>
            <c:idx val="4"/>
            <c:spPr>
              <a:solidFill>
                <a:srgbClr val="D9DEE8"/>
              </a:solidFill>
              <a:ln cmpd="sng">
                <a:noFill/>
              </a:ln>
            </c:spPr>
          </c:dPt>
          <c:dLbls>
            <c:dLbl>
              <c:idx val="0"/>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dLbl>
              <c:idx val="1"/>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dLbl>
              <c:idx val="2"/>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dLbl>
              <c:idx val="3"/>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dLbl>
              <c:idx val="4"/>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Cover!$E$19:$E$22</c:f>
            </c:strRef>
          </c:cat>
          <c:val>
            <c:numRef>
              <c:f>Cover!$F$19:$F$22</c:f>
              <c:numCache/>
            </c:numRef>
          </c:val>
        </c:ser>
        <c:axId val="1593506516"/>
        <c:axId val="81823674"/>
      </c:barChart>
      <c:catAx>
        <c:axId val="15935065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81823674"/>
      </c:catAx>
      <c:valAx>
        <c:axId val="8182367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593506516"/>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Funnel Stage Distribution</a:t>
            </a:r>
          </a:p>
        </c:rich>
      </c:tx>
      <c:overlay val="0"/>
    </c:title>
    <c:plotArea>
      <c:layout/>
      <c:doughnutChart>
        <c:varyColors val="1"/>
        <c:ser>
          <c:idx val="0"/>
          <c:order val="0"/>
          <c:tx>
            <c:strRef>
              <c:f>Cover!$I$18</c:f>
            </c:strRef>
          </c:tx>
          <c:dPt>
            <c:idx val="0"/>
            <c:spPr>
              <a:solidFill>
                <a:srgbClr val="0B1F3A"/>
              </a:solidFill>
            </c:spPr>
          </c:dPt>
          <c:dPt>
            <c:idx val="1"/>
            <c:spPr>
              <a:solidFill>
                <a:srgbClr val="C9A227"/>
              </a:solidFill>
            </c:spPr>
          </c:dPt>
          <c:dPt>
            <c:idx val="2"/>
            <c:spPr>
              <a:solidFill>
                <a:srgbClr val="5B7FB5"/>
              </a:solidFill>
            </c:spPr>
          </c:dPt>
          <c:dLbls>
            <c:dLbl>
              <c:idx val="0"/>
              <c:txPr>
                <a:bodyPr/>
                <a:lstStyle/>
                <a:p>
                  <a:pPr lvl="0">
                    <a:defRPr b="0" i="0" sz="1000">
                      <a:solidFill>
                        <a:srgbClr val="000000"/>
                      </a:solidFill>
                      <a:latin typeface="Calibri"/>
                    </a:defRPr>
                  </a:pPr>
                </a:p>
              </c:txPr>
              <c:showLegendKey val="0"/>
              <c:showVal val="0"/>
              <c:showCatName val="0"/>
              <c:showSerName val="0"/>
              <c:showPercent val="1"/>
              <c:showBubbleSize val="0"/>
            </c:dLbl>
            <c:dLbl>
              <c:idx val="1"/>
              <c:txPr>
                <a:bodyPr/>
                <a:lstStyle/>
                <a:p>
                  <a:pPr lvl="0">
                    <a:defRPr b="0" i="0" sz="1000">
                      <a:solidFill>
                        <a:srgbClr val="000000"/>
                      </a:solidFill>
                      <a:latin typeface="Calibri"/>
                    </a:defRPr>
                  </a:pPr>
                </a:p>
              </c:txPr>
              <c:showLegendKey val="0"/>
              <c:showVal val="0"/>
              <c:showCatName val="0"/>
              <c:showSerName val="0"/>
              <c:showPercent val="1"/>
              <c:showBubbleSize val="0"/>
            </c:dLbl>
            <c:dLbl>
              <c:idx val="2"/>
              <c:txPr>
                <a:bodyPr/>
                <a:lstStyle/>
                <a:p>
                  <a:pPr lvl="0">
                    <a:defRPr b="0" i="0" sz="10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Cover!$H$19:$H$21</c:f>
            </c:strRef>
          </c:cat>
          <c:val>
            <c:numRef>
              <c:f>Cover!$I$19:$I$21</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xdr:row>
      <xdr:rowOff>9525</xdr:rowOff>
    </xdr:from>
    <xdr:ext cx="2981325" cy="28003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523875</xdr:colOff>
      <xdr:row>25</xdr:row>
      <xdr:rowOff>9525</xdr:rowOff>
    </xdr:from>
    <xdr:ext cx="2981325" cy="28003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19050</xdr:colOff>
      <xdr:row>25</xdr:row>
      <xdr:rowOff>9525</xdr:rowOff>
    </xdr:from>
    <xdr:ext cx="2971800" cy="280035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imbaugh-stephenson-seo-keyword-research-workbook.xlsx" TargetMode="External"/><Relationship Id="rId2" Type="http://schemas.openxmlformats.org/officeDocument/2006/relationships/hyperlink" Target="http://limbaugh-stephenson-seo-keyword-research-workbook.xlsx" TargetMode="External"/><Relationship Id="rId3" Type="http://schemas.openxmlformats.org/officeDocument/2006/relationships/hyperlink" Target="http://limbaugh-stephenson-seo-keyword-research-workbook.xlsx" TargetMode="External"/><Relationship Id="rId4" Type="http://schemas.openxmlformats.org/officeDocument/2006/relationships/hyperlink" Target="http://limbaugh-stephenson-seo-keyword-research-workbook.xlsx" TargetMode="External"/><Relationship Id="rId11" Type="http://schemas.openxmlformats.org/officeDocument/2006/relationships/drawing" Target="../drawings/drawing1.xml"/><Relationship Id="rId10" Type="http://schemas.openxmlformats.org/officeDocument/2006/relationships/hyperlink" Target="http://limbaugh-stephenson-seo-keyword-research-workbook.xlsx" TargetMode="External"/><Relationship Id="rId9" Type="http://schemas.openxmlformats.org/officeDocument/2006/relationships/hyperlink" Target="http://limbaugh-stephenson-seo-keyword-research-workbook.xlsx" TargetMode="External"/><Relationship Id="rId5" Type="http://schemas.openxmlformats.org/officeDocument/2006/relationships/hyperlink" Target="http://limbaugh-stephenson-seo-keyword-research-workbook.xlsx" TargetMode="External"/><Relationship Id="rId6" Type="http://schemas.openxmlformats.org/officeDocument/2006/relationships/hyperlink" Target="http://limbaugh-stephenson-seo-keyword-research-workbook.xlsx" TargetMode="External"/><Relationship Id="rId7" Type="http://schemas.openxmlformats.org/officeDocument/2006/relationships/hyperlink" Target="http://limbaugh-stephenson-seo-keyword-research-workbook.xlsx" TargetMode="External"/><Relationship Id="rId8" Type="http://schemas.openxmlformats.org/officeDocument/2006/relationships/hyperlink" Target="http://limbaugh-stephenson-seo-keyword-research-workbook.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A227"/>
    <pageSetUpPr fitToPage="1"/>
  </sheetPr>
  <sheetViews>
    <sheetView showGridLines="0" workbookViewId="0"/>
  </sheetViews>
  <sheetFormatPr customHeight="1" defaultColWidth="14.43" defaultRowHeight="15.0"/>
  <cols>
    <col customWidth="1" min="1" max="1" width="3.86"/>
    <col customWidth="1" min="2" max="11" width="15.0"/>
    <col customWidth="1" min="12" max="26" width="8.71"/>
  </cols>
  <sheetData>
    <row r="1" ht="9.75" customHeight="1">
      <c r="B1" s="48"/>
      <c r="C1" s="48"/>
      <c r="D1" s="48"/>
      <c r="E1" s="48"/>
      <c r="F1" s="48"/>
      <c r="G1" s="48"/>
      <c r="H1" s="48"/>
      <c r="I1" s="48"/>
      <c r="J1" s="48"/>
      <c r="K1" s="48"/>
    </row>
    <row r="2" ht="43.5" customHeight="1">
      <c r="B2" s="49" t="s">
        <v>436</v>
      </c>
      <c r="C2" s="3"/>
      <c r="D2" s="3"/>
      <c r="E2" s="3"/>
      <c r="F2" s="3"/>
      <c r="G2" s="3"/>
      <c r="H2" s="3"/>
      <c r="I2" s="3"/>
      <c r="J2" s="3"/>
      <c r="K2" s="4"/>
    </row>
    <row r="3" ht="25.5" customHeight="1">
      <c r="B3" s="50" t="s">
        <v>30</v>
      </c>
      <c r="C3" s="3"/>
      <c r="D3" s="3"/>
      <c r="E3" s="3"/>
      <c r="F3" s="3"/>
      <c r="G3" s="3"/>
      <c r="H3" s="3"/>
      <c r="I3" s="3"/>
      <c r="J3" s="3"/>
      <c r="K3" s="4"/>
    </row>
    <row r="4" ht="19.5" customHeight="1">
      <c r="B4" s="51" t="s">
        <v>444</v>
      </c>
      <c r="C4" s="3"/>
      <c r="D4" s="3"/>
      <c r="E4" s="3"/>
      <c r="F4" s="3"/>
      <c r="G4" s="3"/>
      <c r="H4" s="3"/>
      <c r="I4" s="3"/>
      <c r="J4" s="3"/>
      <c r="K4" s="4"/>
    </row>
    <row r="5" ht="21.75" customHeight="1">
      <c r="B5" s="51" t="s">
        <v>445</v>
      </c>
      <c r="C5" s="3"/>
      <c r="D5" s="3"/>
      <c r="E5" s="3"/>
      <c r="F5" s="3"/>
      <c r="G5" s="3"/>
      <c r="H5" s="3"/>
      <c r="I5" s="3"/>
      <c r="J5" s="3"/>
      <c r="K5" s="4"/>
    </row>
    <row r="6" ht="10.5" customHeight="1">
      <c r="B6" s="52"/>
      <c r="C6" s="3"/>
      <c r="D6" s="3"/>
      <c r="E6" s="3"/>
      <c r="F6" s="3"/>
      <c r="G6" s="3"/>
      <c r="H6" s="3"/>
      <c r="I6" s="3"/>
      <c r="J6" s="3"/>
      <c r="K6" s="4"/>
    </row>
    <row r="9" ht="24.0" customHeight="1">
      <c r="B9" s="53" t="s">
        <v>451</v>
      </c>
      <c r="C9" s="54"/>
      <c r="D9" s="54"/>
      <c r="E9" s="54"/>
      <c r="F9" s="54"/>
      <c r="G9" s="54"/>
      <c r="H9" s="54"/>
      <c r="I9" s="54"/>
      <c r="J9" s="54"/>
      <c r="K9" s="54"/>
    </row>
    <row r="10" ht="27.75" customHeight="1">
      <c r="B10" s="55" t="s">
        <v>452</v>
      </c>
      <c r="C10" s="4"/>
      <c r="D10" s="55" t="s">
        <v>453</v>
      </c>
      <c r="E10" s="4"/>
      <c r="F10" s="55" t="s">
        <v>454</v>
      </c>
      <c r="G10" s="4"/>
      <c r="H10" s="55" t="s">
        <v>455</v>
      </c>
      <c r="I10" s="4"/>
      <c r="J10" s="55" t="s">
        <v>456</v>
      </c>
      <c r="K10" s="4"/>
    </row>
    <row r="11" ht="42.0" customHeight="1">
      <c r="B11" s="56">
        <f>COUNTA('Keyword Master Database'!$A$2:$A$227)</f>
        <v>226</v>
      </c>
      <c r="C11" s="57"/>
      <c r="D11" s="56">
        <f>COUNTA('Keyword Clusters'!$A$2:$A$41)</f>
        <v>40</v>
      </c>
      <c r="E11" s="57"/>
      <c r="F11" s="56">
        <f>SUM('Keyword Master Database'!$H$2:$H$227)</f>
        <v>332330</v>
      </c>
      <c r="G11" s="57"/>
      <c r="H11" s="58" t="str">
        <f>SUMPRODUCT(--((ISNUMBER(SEARCH("huntsville",'Keyword Master Database'!$A$2:$A$227))+ISNUMBER(SEARCH("near me",'Keyword Master Database'!$A$2:$A$227))+ISNUMBER(SEARCH("madison al",'Keyword Master Database'!$A$2:$A$227))+ISNUMBER(SEARCH("hampton cove",'Keyword Master Database'!$A$2:$A$227))+ISNUMBER(SEARCH("35802",'Keyword Master Database'!$A$2:$A$227))+ISNUMBER(SEARCH("alabama",'Keyword Master Database'!$A$2:$A$227)))&gt;0))&amp;" / "&amp;(COUNTA('Keyword Master Database'!$A$2:$A$227)-SUMPRODUCT(--((ISNUMBER(SEARCH("huntsville",'Keyword Master Database'!$A$2:$A$227))+ISNUMBER(SEARCH("near me",'Keyword Master Database'!$A$2:$A$227))+ISNUMBER(SEARCH("madison al",'Keyword Master Database'!$A$2:$A$227))+ISNUMBER(SEARCH("hampton cove",'Keyword Master Database'!$A$2:$A$227))+ISNUMBER(SEARCH("35802",'Keyword Master Database'!$A$2:$A$227))+ISNUMBER(SEARCH("alabama",'Keyword Master Database'!$A$2:$A$227)))&gt;0)))</f>
        <v>127 / 99</v>
      </c>
      <c r="I11" s="57"/>
      <c r="J11" s="59">
        <f>ROUND(AVERAGE('Keyword Master Database'!$J$2:$J$227),1)</f>
        <v>30.4</v>
      </c>
      <c r="K11" s="57"/>
    </row>
    <row r="12" ht="7.5" customHeight="1"/>
    <row r="13" ht="27.75" customHeight="1">
      <c r="B13" s="55" t="s">
        <v>483</v>
      </c>
      <c r="C13" s="4"/>
      <c r="D13" s="55" t="s">
        <v>484</v>
      </c>
      <c r="E13" s="4"/>
      <c r="F13" s="55" t="s">
        <v>485</v>
      </c>
      <c r="G13" s="4"/>
      <c r="H13" s="55" t="s">
        <v>486</v>
      </c>
      <c r="I13" s="4"/>
      <c r="J13" s="55" t="s">
        <v>488</v>
      </c>
      <c r="K13" s="4"/>
    </row>
    <row r="14" ht="42.0" customHeight="1">
      <c r="B14" s="56">
        <f>COUNTIF('Keyword Master Database'!$W$2:$W$227,"Critical")+COUNTIF('Keyword Master Database'!$W$2:$W$227,"High")</f>
        <v>109</v>
      </c>
      <c r="C14" s="57"/>
      <c r="D14" s="56">
        <f>COUNTA('Keyword Mapping'!$A$2:$A$46)</f>
        <v>45</v>
      </c>
      <c r="E14" s="57"/>
      <c r="F14" s="56">
        <f>COUNTIF('Keyword Mapping'!$G$2:$G$46,"New")</f>
        <v>23</v>
      </c>
      <c r="G14" s="57"/>
      <c r="H14" s="56">
        <f>COUNTA('Internal Linking Blueprint'!$A$2:$A$123)</f>
        <v>122</v>
      </c>
      <c r="I14" s="57"/>
      <c r="J14" s="56">
        <f>COUNTA('Content Roadmap'!$D$2:$D$40)</f>
        <v>39</v>
      </c>
      <c r="K14" s="57"/>
    </row>
    <row r="17" ht="24.0" customHeight="1">
      <c r="B17" s="53" t="s">
        <v>507</v>
      </c>
      <c r="C17" s="54"/>
      <c r="D17" s="54"/>
      <c r="E17" s="54"/>
      <c r="F17" s="54"/>
      <c r="G17" s="54"/>
      <c r="H17" s="54"/>
      <c r="I17" s="54"/>
      <c r="J17" s="54"/>
      <c r="K17" s="54"/>
    </row>
    <row r="18">
      <c r="B18" s="60" t="s">
        <v>5</v>
      </c>
      <c r="C18" s="60" t="s">
        <v>508</v>
      </c>
      <c r="D18" s="60" t="s">
        <v>509</v>
      </c>
      <c r="E18" s="60" t="s">
        <v>24</v>
      </c>
      <c r="F18" s="60" t="s">
        <v>508</v>
      </c>
      <c r="G18" s="60" t="s">
        <v>509</v>
      </c>
      <c r="H18" s="60" t="s">
        <v>6</v>
      </c>
      <c r="I18" s="60" t="s">
        <v>508</v>
      </c>
      <c r="J18" s="60" t="s">
        <v>509</v>
      </c>
      <c r="K18" s="60" t="s">
        <v>510</v>
      </c>
    </row>
    <row r="19">
      <c r="B19" s="61" t="s">
        <v>412</v>
      </c>
      <c r="C19" s="62">
        <f>COUNTIF('Keyword Master Database'!$E$2:$E$227,B19)</f>
        <v>60</v>
      </c>
      <c r="D19" s="63">
        <f t="shared" ref="D19:D22" si="1">IFERROR(C19/SUM(C$19:C$22),0)</f>
        <v>0.2654867257</v>
      </c>
      <c r="E19" s="61" t="s">
        <v>166</v>
      </c>
      <c r="F19" s="62">
        <f>COUNTIF('Keyword Master Database'!$W$2:$W$227,E19)</f>
        <v>12</v>
      </c>
      <c r="G19" s="63">
        <f t="shared" ref="G19:G22" si="2">IFERROR(F19/SUM(F$19:F$22),0)</f>
        <v>0.05309734513</v>
      </c>
      <c r="H19" s="61" t="s">
        <v>413</v>
      </c>
      <c r="I19" s="62">
        <f>COUNTIF('Keyword Master Database'!$F$2:$F$227,H19)</f>
        <v>60</v>
      </c>
      <c r="J19" s="63">
        <f t="shared" ref="J19:J21" si="3">IFERROR(I19/SUM(I$19:I$21),0)</f>
        <v>0.2654867257</v>
      </c>
      <c r="K19" s="63"/>
    </row>
    <row r="20">
      <c r="B20" s="64" t="s">
        <v>33</v>
      </c>
      <c r="C20" s="65">
        <f>COUNTIF('Keyword Master Database'!$E$2:$E$227,B20)</f>
        <v>13</v>
      </c>
      <c r="D20" s="66">
        <f t="shared" si="1"/>
        <v>0.05752212389</v>
      </c>
      <c r="E20" s="64" t="s">
        <v>87</v>
      </c>
      <c r="F20" s="65">
        <f>COUNTIF('Keyword Master Database'!$W$2:$W$227,E20)</f>
        <v>97</v>
      </c>
      <c r="G20" s="66">
        <f t="shared" si="2"/>
        <v>0.4292035398</v>
      </c>
      <c r="H20" s="64" t="s">
        <v>208</v>
      </c>
      <c r="I20" s="65">
        <f>COUNTIF('Keyword Master Database'!$F$2:$F$227,H20)</f>
        <v>57</v>
      </c>
      <c r="J20" s="66">
        <f t="shared" si="3"/>
        <v>0.2522123894</v>
      </c>
      <c r="K20" s="66"/>
    </row>
    <row r="21" ht="15.75" customHeight="1">
      <c r="B21" s="61" t="s">
        <v>356</v>
      </c>
      <c r="C21" s="62">
        <f>COUNTIF('Keyword Master Database'!$E$2:$E$227,B21)</f>
        <v>50</v>
      </c>
      <c r="D21" s="63">
        <f t="shared" si="1"/>
        <v>0.2212389381</v>
      </c>
      <c r="E21" s="61" t="s">
        <v>112</v>
      </c>
      <c r="F21" s="62">
        <f>COUNTIF('Keyword Master Database'!$W$2:$W$227,E21)</f>
        <v>47</v>
      </c>
      <c r="G21" s="63">
        <f t="shared" si="2"/>
        <v>0.2079646018</v>
      </c>
      <c r="H21" s="61" t="s">
        <v>35</v>
      </c>
      <c r="I21" s="62">
        <f>COUNTIF('Keyword Master Database'!$F$2:$F$227,H21)</f>
        <v>109</v>
      </c>
      <c r="J21" s="63">
        <f t="shared" si="3"/>
        <v>0.482300885</v>
      </c>
      <c r="K21" s="63"/>
    </row>
    <row r="22" ht="15.75" customHeight="1">
      <c r="B22" s="64" t="s">
        <v>305</v>
      </c>
      <c r="C22" s="65">
        <f>COUNTIF('Keyword Master Database'!$E$2:$E$227,B22)</f>
        <v>103</v>
      </c>
      <c r="D22" s="66">
        <f t="shared" si="1"/>
        <v>0.4557522124</v>
      </c>
      <c r="E22" s="64" t="s">
        <v>173</v>
      </c>
      <c r="F22" s="65">
        <f>COUNTIF('Keyword Master Database'!$W$2:$W$227,E22)</f>
        <v>70</v>
      </c>
      <c r="G22" s="66">
        <f t="shared" si="2"/>
        <v>0.3097345133</v>
      </c>
      <c r="H22" s="66"/>
      <c r="I22" s="66"/>
      <c r="J22" s="66"/>
      <c r="K22" s="66"/>
    </row>
    <row r="23" ht="15.75" customHeight="1"/>
    <row r="24" ht="15.75" customHeight="1"/>
    <row r="25" ht="24.0" customHeight="1">
      <c r="B25" s="53" t="s">
        <v>545</v>
      </c>
      <c r="C25" s="54"/>
      <c r="D25" s="54"/>
      <c r="E25" s="54"/>
      <c r="F25" s="54"/>
      <c r="G25" s="54"/>
      <c r="H25" s="54"/>
      <c r="I25" s="54"/>
      <c r="J25" s="54"/>
      <c r="K25" s="5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24.0" customHeight="1">
      <c r="B42" s="53" t="s">
        <v>548</v>
      </c>
      <c r="C42" s="54"/>
      <c r="D42" s="54"/>
      <c r="E42" s="54"/>
      <c r="F42" s="54"/>
      <c r="G42" s="54"/>
      <c r="H42" s="54"/>
      <c r="I42" s="54"/>
      <c r="J42" s="54"/>
      <c r="K42" s="54"/>
    </row>
    <row r="43" ht="15.0" customHeight="1">
      <c r="B43" s="67" t="s">
        <v>551</v>
      </c>
      <c r="C43" s="3"/>
      <c r="D43" s="4"/>
      <c r="E43" s="67" t="s">
        <v>554</v>
      </c>
      <c r="F43" s="3"/>
      <c r="G43" s="3"/>
      <c r="H43" s="3"/>
      <c r="I43" s="3"/>
      <c r="J43" s="3"/>
      <c r="K43" s="4"/>
    </row>
    <row r="44" ht="19.5" customHeight="1">
      <c r="B44" s="68" t="s">
        <v>555</v>
      </c>
      <c r="C44" s="13"/>
      <c r="D44" s="14"/>
      <c r="E44" s="69" t="s">
        <v>606</v>
      </c>
      <c r="F44" s="13"/>
      <c r="G44" s="13"/>
      <c r="H44" s="13"/>
      <c r="I44" s="13"/>
      <c r="J44" s="13"/>
      <c r="K44" s="14"/>
    </row>
    <row r="45" ht="19.5" customHeight="1">
      <c r="B45" s="70" t="s">
        <v>607</v>
      </c>
      <c r="C45" s="13"/>
      <c r="D45" s="14"/>
      <c r="E45" s="71" t="s">
        <v>611</v>
      </c>
      <c r="F45" s="13"/>
      <c r="G45" s="13"/>
      <c r="H45" s="13"/>
      <c r="I45" s="13"/>
      <c r="J45" s="13"/>
      <c r="K45" s="14"/>
    </row>
    <row r="46" ht="19.5" customHeight="1">
      <c r="B46" s="68" t="s">
        <v>453</v>
      </c>
      <c r="C46" s="13"/>
      <c r="D46" s="14"/>
      <c r="E46" s="69" t="s">
        <v>613</v>
      </c>
      <c r="F46" s="13"/>
      <c r="G46" s="13"/>
      <c r="H46" s="13"/>
      <c r="I46" s="13"/>
      <c r="J46" s="13"/>
      <c r="K46" s="14"/>
    </row>
    <row r="47" ht="19.5" customHeight="1">
      <c r="B47" s="70" t="s">
        <v>616</v>
      </c>
      <c r="C47" s="13"/>
      <c r="D47" s="14"/>
      <c r="E47" s="71" t="s">
        <v>617</v>
      </c>
      <c r="F47" s="13"/>
      <c r="G47" s="13"/>
      <c r="H47" s="13"/>
      <c r="I47" s="13"/>
      <c r="J47" s="13"/>
      <c r="K47" s="14"/>
    </row>
    <row r="48" ht="19.5" customHeight="1">
      <c r="B48" s="68" t="s">
        <v>618</v>
      </c>
      <c r="C48" s="13"/>
      <c r="D48" s="14"/>
      <c r="E48" s="69" t="s">
        <v>619</v>
      </c>
      <c r="F48" s="13"/>
      <c r="G48" s="13"/>
      <c r="H48" s="13"/>
      <c r="I48" s="13"/>
      <c r="J48" s="13"/>
      <c r="K48" s="14"/>
    </row>
    <row r="49" ht="19.5" customHeight="1">
      <c r="B49" s="70" t="s">
        <v>620</v>
      </c>
      <c r="C49" s="13"/>
      <c r="D49" s="14"/>
      <c r="E49" s="71" t="s">
        <v>624</v>
      </c>
      <c r="F49" s="13"/>
      <c r="G49" s="13"/>
      <c r="H49" s="13"/>
      <c r="I49" s="13"/>
      <c r="J49" s="13"/>
      <c r="K49" s="14"/>
    </row>
    <row r="50" ht="19.5" customHeight="1">
      <c r="B50" s="68" t="s">
        <v>626</v>
      </c>
      <c r="C50" s="13"/>
      <c r="D50" s="14"/>
      <c r="E50" s="69" t="s">
        <v>627</v>
      </c>
      <c r="F50" s="13"/>
      <c r="G50" s="13"/>
      <c r="H50" s="13"/>
      <c r="I50" s="13"/>
      <c r="J50" s="13"/>
      <c r="K50" s="14"/>
    </row>
    <row r="51" ht="19.5" customHeight="1">
      <c r="B51" s="70" t="s">
        <v>629</v>
      </c>
      <c r="C51" s="13"/>
      <c r="D51" s="14"/>
      <c r="E51" s="71" t="s">
        <v>630</v>
      </c>
      <c r="F51" s="13"/>
      <c r="G51" s="13"/>
      <c r="H51" s="13"/>
      <c r="I51" s="13"/>
      <c r="J51" s="13"/>
      <c r="K51" s="14"/>
    </row>
    <row r="52" ht="19.5" customHeight="1">
      <c r="B52" s="68" t="s">
        <v>633</v>
      </c>
      <c r="C52" s="13"/>
      <c r="D52" s="14"/>
      <c r="E52" s="69" t="s">
        <v>634</v>
      </c>
      <c r="F52" s="13"/>
      <c r="G52" s="13"/>
      <c r="H52" s="13"/>
      <c r="I52" s="13"/>
      <c r="J52" s="13"/>
      <c r="K52" s="14"/>
    </row>
    <row r="53" ht="19.5" customHeight="1">
      <c r="B53" s="70" t="s">
        <v>636</v>
      </c>
      <c r="C53" s="13"/>
      <c r="D53" s="14"/>
      <c r="E53" s="71" t="s">
        <v>639</v>
      </c>
      <c r="F53" s="13"/>
      <c r="G53" s="13"/>
      <c r="H53" s="13"/>
      <c r="I53" s="13"/>
      <c r="J53" s="13"/>
      <c r="K53" s="14"/>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H10:I10"/>
    <mergeCell ref="J10:K10"/>
    <mergeCell ref="H11:I11"/>
    <mergeCell ref="J11:K11"/>
    <mergeCell ref="H13:I13"/>
    <mergeCell ref="J13:K13"/>
    <mergeCell ref="B2:K2"/>
    <mergeCell ref="B3:K3"/>
    <mergeCell ref="B4:K4"/>
    <mergeCell ref="B5:K5"/>
    <mergeCell ref="B6:K6"/>
    <mergeCell ref="B9:K9"/>
    <mergeCell ref="B10:C10"/>
    <mergeCell ref="D10:E10"/>
    <mergeCell ref="F10:G10"/>
    <mergeCell ref="B11:C11"/>
    <mergeCell ref="D11:E11"/>
    <mergeCell ref="F11:G11"/>
    <mergeCell ref="D13:E13"/>
    <mergeCell ref="F13:G13"/>
    <mergeCell ref="B13:C13"/>
    <mergeCell ref="B14:C14"/>
    <mergeCell ref="D14:E14"/>
    <mergeCell ref="F14:G14"/>
    <mergeCell ref="H14:I14"/>
    <mergeCell ref="J14:K14"/>
    <mergeCell ref="B17:K17"/>
    <mergeCell ref="E46:K46"/>
    <mergeCell ref="E47:K47"/>
    <mergeCell ref="E48:K48"/>
    <mergeCell ref="E49:K49"/>
    <mergeCell ref="E50:K50"/>
    <mergeCell ref="E51:K51"/>
    <mergeCell ref="E52:K52"/>
    <mergeCell ref="E53:K53"/>
    <mergeCell ref="B25:K25"/>
    <mergeCell ref="B42:K42"/>
    <mergeCell ref="B43:D43"/>
    <mergeCell ref="E43:K43"/>
    <mergeCell ref="B44:D44"/>
    <mergeCell ref="E44:K44"/>
    <mergeCell ref="E45:K45"/>
    <mergeCell ref="B52:D52"/>
    <mergeCell ref="B53:D53"/>
    <mergeCell ref="B45:D45"/>
    <mergeCell ref="B46:D46"/>
    <mergeCell ref="B47:D47"/>
    <mergeCell ref="B48:D48"/>
    <mergeCell ref="B49:D49"/>
    <mergeCell ref="B50:D50"/>
    <mergeCell ref="B51:D51"/>
  </mergeCells>
  <hyperlinks>
    <hyperlink r:id="rId1" location="'Business%20Analysis'!A1" ref="B44"/>
    <hyperlink r:id="rId2" location="'Keyword%20Master%20Database'!A1" ref="B45"/>
    <hyperlink r:id="rId3" location="'Keyword%20Clusters'!A1" ref="B46"/>
    <hyperlink r:id="rId4" location="'Competitor%20Analysis'!A1" ref="B47"/>
    <hyperlink r:id="rId5" location="'Keyword%20Mapping'!A1" ref="B48"/>
    <hyperlink r:id="rId6" location="'Topical%20Authority%20Map'!A1" ref="B49"/>
    <hyperlink r:id="rId7" location="'SEO%20Silo%20Architecture'!A1" ref="B50"/>
    <hyperlink r:id="rId8" location="'Internal%20Linking%20Blueprint'!A1" ref="B51"/>
    <hyperlink r:id="rId9" location="'Content%20Roadmap'!A1" ref="B52"/>
    <hyperlink r:id="rId10" location="'Quick%20Wins'!A1" ref="B53"/>
  </hyperlinks>
  <printOptions/>
  <pageMargins bottom="1.0" footer="0.0" header="0.0" left="0.75" right="0.75" top="1.0"/>
  <pageSetup orientation="portrait"/>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showGridLines="0" workbookViewId="0"/>
  </sheetViews>
  <sheetFormatPr customHeight="1" defaultColWidth="14.43" defaultRowHeight="15.0"/>
  <cols>
    <col customWidth="1" min="1" max="1" width="30.0"/>
    <col customWidth="1" min="2" max="3" width="62.0"/>
    <col customWidth="1" min="4" max="4" width="14.0"/>
    <col customWidth="1" min="5" max="26" width="8.71"/>
  </cols>
  <sheetData>
    <row r="1" ht="36.0" customHeight="1">
      <c r="A1" s="1" t="s">
        <v>0</v>
      </c>
      <c r="B1" s="3"/>
      <c r="C1" s="3"/>
      <c r="D1" s="4"/>
    </row>
    <row r="4" ht="21.75" customHeight="1">
      <c r="A4" s="5" t="s">
        <v>12</v>
      </c>
      <c r="B4" s="6"/>
      <c r="C4" s="6"/>
      <c r="D4" s="7"/>
    </row>
    <row r="5" ht="15.0" customHeight="1">
      <c r="A5" s="8" t="s">
        <v>27</v>
      </c>
      <c r="B5" s="11" t="s">
        <v>30</v>
      </c>
      <c r="C5" s="13"/>
      <c r="D5" s="14"/>
    </row>
    <row r="6" ht="15.0" customHeight="1">
      <c r="A6" s="8" t="s">
        <v>34</v>
      </c>
      <c r="B6" s="11" t="s">
        <v>37</v>
      </c>
      <c r="C6" s="13"/>
      <c r="D6" s="14"/>
    </row>
    <row r="7" ht="15.0" customHeight="1">
      <c r="A7" s="8" t="s">
        <v>39</v>
      </c>
      <c r="B7" s="11" t="s">
        <v>40</v>
      </c>
      <c r="C7" s="13"/>
      <c r="D7" s="14"/>
    </row>
    <row r="8" ht="15.0" customHeight="1">
      <c r="A8" s="8" t="s">
        <v>42</v>
      </c>
      <c r="B8" s="11" t="s">
        <v>43</v>
      </c>
      <c r="C8" s="13"/>
      <c r="D8" s="14"/>
    </row>
    <row r="9" ht="15.0" customHeight="1">
      <c r="A9" s="8" t="s">
        <v>45</v>
      </c>
      <c r="B9" s="11" t="s">
        <v>46</v>
      </c>
      <c r="C9" s="13"/>
      <c r="D9" s="14"/>
    </row>
    <row r="10" ht="15.0" customHeight="1">
      <c r="A10" s="8" t="s">
        <v>47</v>
      </c>
      <c r="B10" s="11" t="s">
        <v>48</v>
      </c>
      <c r="C10" s="13"/>
      <c r="D10" s="14"/>
    </row>
    <row r="11" ht="45.0" customHeight="1">
      <c r="A11" s="8" t="s">
        <v>49</v>
      </c>
      <c r="B11" s="11"/>
      <c r="C11" s="13"/>
      <c r="D11" s="14"/>
    </row>
    <row r="12" ht="30.0" customHeight="1">
      <c r="A12" s="8" t="s">
        <v>64</v>
      </c>
      <c r="B12" s="11" t="s">
        <v>65</v>
      </c>
      <c r="C12" s="13"/>
      <c r="D12" s="14"/>
    </row>
    <row r="13" ht="15.0" customHeight="1">
      <c r="A13" s="8" t="s">
        <v>66</v>
      </c>
      <c r="B13" s="11" t="s">
        <v>67</v>
      </c>
      <c r="C13" s="13"/>
      <c r="D13" s="14"/>
    </row>
    <row r="14" ht="30.0" customHeight="1">
      <c r="A14" s="8" t="s">
        <v>70</v>
      </c>
      <c r="B14" s="11" t="s">
        <v>71</v>
      </c>
      <c r="C14" s="13"/>
      <c r="D14" s="14"/>
    </row>
    <row r="15" ht="15.0" customHeight="1">
      <c r="A15" s="8" t="s">
        <v>72</v>
      </c>
      <c r="B15" s="11" t="s">
        <v>73</v>
      </c>
      <c r="C15" s="13"/>
      <c r="D15" s="14"/>
    </row>
    <row r="16" ht="15.0" customHeight="1">
      <c r="A16" s="8" t="s">
        <v>74</v>
      </c>
      <c r="B16" s="11" t="s">
        <v>75</v>
      </c>
      <c r="C16" s="13"/>
      <c r="D16" s="14"/>
    </row>
    <row r="19" ht="21.75" customHeight="1">
      <c r="A19" s="5" t="s">
        <v>76</v>
      </c>
      <c r="B19" s="6"/>
      <c r="C19" s="6"/>
      <c r="D19" s="7"/>
    </row>
    <row r="20" ht="31.5" customHeight="1">
      <c r="A20" s="26" t="s">
        <v>80</v>
      </c>
      <c r="B20" s="26" t="s">
        <v>81</v>
      </c>
      <c r="C20" s="26" t="s">
        <v>82</v>
      </c>
      <c r="D20" s="26" t="s">
        <v>83</v>
      </c>
    </row>
    <row r="21" ht="15.75" customHeight="1">
      <c r="A21" s="12" t="s">
        <v>84</v>
      </c>
      <c r="B21" s="12" t="s">
        <v>85</v>
      </c>
      <c r="C21" s="12" t="s">
        <v>86</v>
      </c>
      <c r="D21" s="20" t="s">
        <v>87</v>
      </c>
    </row>
    <row r="22" ht="15.75" customHeight="1">
      <c r="A22" s="25" t="s">
        <v>88</v>
      </c>
      <c r="B22" s="25" t="s">
        <v>89</v>
      </c>
      <c r="C22" s="25" t="s">
        <v>90</v>
      </c>
      <c r="D22" s="27" t="s">
        <v>87</v>
      </c>
    </row>
    <row r="23" ht="15.75" customHeight="1">
      <c r="A23" s="12" t="s">
        <v>91</v>
      </c>
      <c r="B23" s="12" t="s">
        <v>92</v>
      </c>
      <c r="C23" s="12" t="s">
        <v>93</v>
      </c>
      <c r="D23" s="20" t="s">
        <v>87</v>
      </c>
    </row>
    <row r="24" ht="15.75" customHeight="1">
      <c r="A24" s="25" t="s">
        <v>95</v>
      </c>
      <c r="B24" s="25" t="s">
        <v>96</v>
      </c>
      <c r="C24" s="25" t="s">
        <v>98</v>
      </c>
      <c r="D24" s="27" t="s">
        <v>87</v>
      </c>
    </row>
    <row r="25" ht="15.75" customHeight="1">
      <c r="A25" s="12" t="s">
        <v>102</v>
      </c>
      <c r="B25" s="12" t="s">
        <v>103</v>
      </c>
      <c r="C25" s="12" t="s">
        <v>104</v>
      </c>
      <c r="D25" s="20" t="s">
        <v>87</v>
      </c>
    </row>
    <row r="26" ht="15.75" customHeight="1">
      <c r="A26" s="25" t="s">
        <v>105</v>
      </c>
      <c r="B26" s="25" t="s">
        <v>106</v>
      </c>
      <c r="C26" s="25" t="s">
        <v>107</v>
      </c>
      <c r="D26" s="27" t="s">
        <v>87</v>
      </c>
    </row>
    <row r="27" ht="15.75" customHeight="1">
      <c r="A27" s="12" t="s">
        <v>108</v>
      </c>
      <c r="B27" s="12" t="s">
        <v>109</v>
      </c>
      <c r="C27" s="12" t="s">
        <v>110</v>
      </c>
      <c r="D27" s="20" t="s">
        <v>112</v>
      </c>
    </row>
    <row r="28" ht="15.75" customHeight="1">
      <c r="A28" s="25" t="s">
        <v>113</v>
      </c>
      <c r="B28" s="25" t="s">
        <v>114</v>
      </c>
      <c r="C28" s="25" t="s">
        <v>115</v>
      </c>
      <c r="D28" s="27" t="s">
        <v>112</v>
      </c>
    </row>
    <row r="29" ht="15.75" customHeight="1">
      <c r="A29" s="12" t="s">
        <v>116</v>
      </c>
      <c r="B29" s="12" t="s">
        <v>117</v>
      </c>
      <c r="C29" s="12" t="s">
        <v>118</v>
      </c>
      <c r="D29" s="20" t="s">
        <v>112</v>
      </c>
    </row>
    <row r="30" ht="15.75" customHeight="1">
      <c r="A30" s="25" t="s">
        <v>119</v>
      </c>
      <c r="B30" s="25" t="s">
        <v>120</v>
      </c>
      <c r="C30" s="25" t="s">
        <v>121</v>
      </c>
      <c r="D30" s="27" t="s">
        <v>112</v>
      </c>
    </row>
    <row r="31" ht="15.75" customHeight="1">
      <c r="A31" s="12" t="s">
        <v>122</v>
      </c>
      <c r="B31" s="12" t="s">
        <v>123</v>
      </c>
      <c r="C31" s="12" t="s">
        <v>125</v>
      </c>
      <c r="D31" s="20" t="s">
        <v>127</v>
      </c>
    </row>
    <row r="32" ht="15.75" customHeight="1"/>
    <row r="33" ht="15.75" customHeight="1"/>
    <row r="34" ht="21.75" customHeight="1">
      <c r="A34" s="5" t="s">
        <v>128</v>
      </c>
      <c r="B34" s="6"/>
      <c r="C34" s="6"/>
      <c r="D34" s="7"/>
    </row>
    <row r="35" ht="31.5" customHeight="1">
      <c r="A35" s="26" t="s">
        <v>129</v>
      </c>
      <c r="B35" s="26" t="s">
        <v>130</v>
      </c>
      <c r="C35" s="26" t="s">
        <v>131</v>
      </c>
      <c r="D35" s="26" t="s">
        <v>132</v>
      </c>
    </row>
    <row r="36" ht="15.75" customHeight="1">
      <c r="A36" s="33" t="s">
        <v>133</v>
      </c>
      <c r="B36" s="33" t="s">
        <v>134</v>
      </c>
      <c r="C36" s="33" t="s">
        <v>135</v>
      </c>
      <c r="D36" s="35">
        <v>0.25</v>
      </c>
    </row>
    <row r="37" ht="15.75" customHeight="1">
      <c r="A37" s="33" t="s">
        <v>139</v>
      </c>
      <c r="B37" s="33" t="s">
        <v>140</v>
      </c>
      <c r="C37" s="33" t="s">
        <v>142</v>
      </c>
      <c r="D37" s="35">
        <v>0.1</v>
      </c>
    </row>
    <row r="38" ht="15.75" customHeight="1">
      <c r="A38" s="33" t="s">
        <v>143</v>
      </c>
      <c r="B38" s="33" t="s">
        <v>144</v>
      </c>
      <c r="C38" s="33" t="s">
        <v>145</v>
      </c>
      <c r="D38" s="35">
        <v>0.2</v>
      </c>
    </row>
    <row r="39" ht="15.75" customHeight="1">
      <c r="A39" s="33" t="s">
        <v>146</v>
      </c>
      <c r="B39" s="33" t="s">
        <v>147</v>
      </c>
      <c r="C39" s="33" t="s">
        <v>148</v>
      </c>
      <c r="D39" s="35">
        <v>0.15</v>
      </c>
    </row>
    <row r="40" ht="15.75" customHeight="1">
      <c r="A40" s="33" t="s">
        <v>149</v>
      </c>
      <c r="B40" s="33" t="s">
        <v>150</v>
      </c>
      <c r="C40" s="33" t="s">
        <v>151</v>
      </c>
      <c r="D40" s="35">
        <v>0.2</v>
      </c>
    </row>
    <row r="41" ht="15.75" customHeight="1">
      <c r="A41" s="33" t="s">
        <v>152</v>
      </c>
      <c r="B41" s="33" t="s">
        <v>153</v>
      </c>
      <c r="C41" s="33" t="s">
        <v>154</v>
      </c>
      <c r="D41" s="35">
        <v>0.1</v>
      </c>
    </row>
    <row r="42" ht="15.75" customHeight="1">
      <c r="A42" s="36" t="s">
        <v>155</v>
      </c>
      <c r="B42" s="37"/>
      <c r="C42" s="37"/>
      <c r="D42" s="39">
        <f>SUM(D36:D41)</f>
        <v>1</v>
      </c>
    </row>
    <row r="43" ht="15.75" customHeight="1">
      <c r="A43" s="40" t="s">
        <v>161</v>
      </c>
    </row>
    <row r="44" ht="15.75" customHeight="1">
      <c r="A44" s="40"/>
      <c r="B44" s="40"/>
      <c r="C44" s="40"/>
      <c r="D44" s="40"/>
    </row>
    <row r="45" ht="15.75" customHeight="1"/>
    <row r="46" ht="31.5" customHeight="1">
      <c r="A46" s="26" t="s">
        <v>24</v>
      </c>
      <c r="B46" s="26" t="s">
        <v>23</v>
      </c>
      <c r="C46" s="26" t="s">
        <v>165</v>
      </c>
      <c r="D46" s="26"/>
    </row>
    <row r="47" ht="15.75" customHeight="1">
      <c r="A47" s="33" t="s">
        <v>166</v>
      </c>
      <c r="B47" s="41" t="s">
        <v>167</v>
      </c>
      <c r="C47" s="33" t="s">
        <v>168</v>
      </c>
      <c r="D47" s="33"/>
    </row>
    <row r="48" ht="15.75" customHeight="1">
      <c r="A48" s="42" t="s">
        <v>87</v>
      </c>
      <c r="B48" s="43" t="s">
        <v>169</v>
      </c>
      <c r="C48" s="42" t="s">
        <v>170</v>
      </c>
      <c r="D48" s="42"/>
    </row>
    <row r="49" ht="15.75" customHeight="1">
      <c r="A49" s="33" t="s">
        <v>112</v>
      </c>
      <c r="B49" s="41" t="s">
        <v>171</v>
      </c>
      <c r="C49" s="33" t="s">
        <v>172</v>
      </c>
      <c r="D49" s="33"/>
    </row>
    <row r="50" ht="15.75" customHeight="1">
      <c r="A50" s="42" t="s">
        <v>173</v>
      </c>
      <c r="B50" s="43" t="s">
        <v>174</v>
      </c>
      <c r="C50" s="42" t="s">
        <v>175</v>
      </c>
      <c r="D50" s="42"/>
    </row>
    <row r="51" ht="15.75" customHeight="1">
      <c r="A51" s="33" t="s">
        <v>176</v>
      </c>
      <c r="B51" s="41" t="s">
        <v>177</v>
      </c>
      <c r="C51" s="33" t="s">
        <v>178</v>
      </c>
      <c r="D51" s="33"/>
    </row>
    <row r="52" ht="15.75" customHeight="1"/>
    <row r="53" ht="15.75" customHeight="1"/>
    <row r="54" ht="21.75" customHeight="1">
      <c r="A54" s="44" t="s">
        <v>179</v>
      </c>
      <c r="B54" s="3"/>
      <c r="C54" s="3"/>
      <c r="D54" s="4"/>
    </row>
    <row r="55" ht="48.75" customHeight="1">
      <c r="A55" s="45" t="s">
        <v>185</v>
      </c>
      <c r="B55" s="46"/>
      <c r="C55" s="46"/>
      <c r="D55" s="47"/>
    </row>
    <row r="56" ht="33.75" customHeight="1">
      <c r="A56" s="45" t="s">
        <v>186</v>
      </c>
      <c r="B56" s="46"/>
      <c r="C56" s="46"/>
      <c r="D56" s="47"/>
    </row>
    <row r="57" ht="33.75" customHeight="1">
      <c r="A57" s="45" t="s">
        <v>187</v>
      </c>
      <c r="B57" s="46"/>
      <c r="C57" s="46"/>
      <c r="D57" s="47"/>
    </row>
    <row r="58" ht="33.75" customHeight="1">
      <c r="A58" s="45" t="s">
        <v>188</v>
      </c>
      <c r="B58" s="46"/>
      <c r="C58" s="46"/>
      <c r="D58" s="47"/>
    </row>
    <row r="59" ht="33.75" customHeight="1">
      <c r="A59" s="45" t="s">
        <v>191</v>
      </c>
      <c r="B59" s="46"/>
      <c r="C59" s="46"/>
      <c r="D59" s="47"/>
    </row>
    <row r="60" ht="33.75" customHeight="1">
      <c r="A60" s="45" t="s">
        <v>192</v>
      </c>
      <c r="B60" s="46"/>
      <c r="C60" s="46"/>
      <c r="D60" s="47"/>
    </row>
    <row r="61" ht="33.75" customHeight="1">
      <c r="A61" s="45" t="s">
        <v>193</v>
      </c>
      <c r="B61" s="46"/>
      <c r="C61" s="46"/>
      <c r="D61" s="47"/>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D1"/>
    <mergeCell ref="A4:D4"/>
    <mergeCell ref="B5:D5"/>
    <mergeCell ref="B6:D6"/>
    <mergeCell ref="B7:D7"/>
    <mergeCell ref="B8:D8"/>
    <mergeCell ref="B9:D9"/>
    <mergeCell ref="B10:D10"/>
    <mergeCell ref="B11:D11"/>
    <mergeCell ref="B12:D12"/>
    <mergeCell ref="B13:D13"/>
    <mergeCell ref="B14:D14"/>
    <mergeCell ref="B15:D15"/>
    <mergeCell ref="B16:D16"/>
    <mergeCell ref="A58:D58"/>
    <mergeCell ref="A59:D59"/>
    <mergeCell ref="A60:D60"/>
    <mergeCell ref="A61:D61"/>
    <mergeCell ref="A19:D19"/>
    <mergeCell ref="A34:D34"/>
    <mergeCell ref="A43:D43"/>
    <mergeCell ref="A54:D54"/>
    <mergeCell ref="A55:D55"/>
    <mergeCell ref="A56:D56"/>
    <mergeCell ref="A57:D57"/>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8.86"/>
    <col customWidth="1" min="2" max="2" width="14.14"/>
    <col customWidth="1" min="3" max="3" width="23.14"/>
    <col customWidth="1" min="4" max="4" width="29.43"/>
    <col customWidth="1" min="5" max="5" width="13.29"/>
    <col customWidth="1" min="6" max="6" width="7.29"/>
    <col customWidth="1" min="7" max="7" width="10.0"/>
    <col customWidth="1" min="8" max="8" width="9.86"/>
    <col customWidth="1" min="9" max="9" width="19.57"/>
    <col customWidth="1" min="10" max="10" width="10.57"/>
    <col customWidth="1" min="11" max="11" width="24.71"/>
    <col customWidth="1" min="12" max="12" width="9.86"/>
    <col customWidth="1" min="13" max="13" width="24.14"/>
    <col customWidth="1" min="14" max="14" width="12.0"/>
    <col customWidth="1" min="15" max="15" width="39.57"/>
    <col customWidth="1" min="16" max="16" width="10.57"/>
    <col customWidth="1" min="17" max="17" width="13.71"/>
    <col customWidth="1" min="18" max="18" width="14.14"/>
    <col customWidth="1" min="19" max="19" width="11.71"/>
    <col customWidth="1" min="20" max="20" width="12.29"/>
    <col customWidth="1" min="21" max="21" width="12.71"/>
    <col customWidth="1" min="22" max="23" width="7.57"/>
    <col customWidth="1" min="24" max="24" width="43.86"/>
    <col customWidth="1" min="25" max="25" width="14.71"/>
    <col customWidth="1" min="26" max="26" width="52.0"/>
  </cols>
  <sheetData>
    <row r="1">
      <c r="A1" s="2" t="s">
        <v>1</v>
      </c>
      <c r="B1" s="2" t="s">
        <v>2</v>
      </c>
      <c r="C1" s="2" t="s">
        <v>3</v>
      </c>
      <c r="D1" s="2" t="s">
        <v>4</v>
      </c>
      <c r="E1" s="2" t="s">
        <v>5</v>
      </c>
      <c r="F1" s="2" t="s">
        <v>6</v>
      </c>
      <c r="G1" s="2" t="s">
        <v>7</v>
      </c>
      <c r="H1" s="2" t="s">
        <v>8</v>
      </c>
      <c r="I1" s="2" t="s">
        <v>9</v>
      </c>
      <c r="J1" s="2" t="s">
        <v>10</v>
      </c>
      <c r="K1" s="2" t="s">
        <v>11</v>
      </c>
      <c r="L1" s="2" t="s">
        <v>13</v>
      </c>
      <c r="M1" s="2" t="s">
        <v>14</v>
      </c>
      <c r="N1" s="2" t="s">
        <v>15</v>
      </c>
      <c r="O1" s="2" t="s">
        <v>16</v>
      </c>
      <c r="P1" s="2" t="s">
        <v>17</v>
      </c>
      <c r="Q1" s="2" t="s">
        <v>18</v>
      </c>
      <c r="R1" s="2" t="s">
        <v>19</v>
      </c>
      <c r="S1" s="2" t="s">
        <v>20</v>
      </c>
      <c r="T1" s="2" t="s">
        <v>21</v>
      </c>
      <c r="U1" s="2" t="s">
        <v>22</v>
      </c>
      <c r="V1" s="2" t="s">
        <v>23</v>
      </c>
      <c r="W1" s="2" t="s">
        <v>24</v>
      </c>
      <c r="X1" s="2" t="s">
        <v>25</v>
      </c>
      <c r="Y1" s="2" t="s">
        <v>26</v>
      </c>
      <c r="Z1" s="2" t="s">
        <v>28</v>
      </c>
    </row>
    <row r="2">
      <c r="A2" s="9" t="s">
        <v>29</v>
      </c>
      <c r="B2" s="10" t="s">
        <v>31</v>
      </c>
      <c r="C2" s="12" t="s">
        <v>31</v>
      </c>
      <c r="D2" s="12" t="s">
        <v>32</v>
      </c>
      <c r="E2" s="15" t="s">
        <v>33</v>
      </c>
      <c r="F2" s="15" t="s">
        <v>35</v>
      </c>
      <c r="G2" s="15" t="s">
        <v>36</v>
      </c>
      <c r="H2" s="16">
        <v>90.0</v>
      </c>
      <c r="I2" s="10" t="s">
        <v>38</v>
      </c>
      <c r="J2" s="17">
        <v>6.0</v>
      </c>
      <c r="K2" s="10" t="s">
        <v>41</v>
      </c>
      <c r="L2" s="18">
        <v>4.2</v>
      </c>
      <c r="M2" s="10" t="s">
        <v>44</v>
      </c>
      <c r="N2" s="15" t="str">
        <f t="shared" ref="N2:N227" si="1">IF(J2&lt;=20,"Low",IF(J2&lt;=40,"Moderate",IF(J2&lt;=70,"Competitive","Very Competitive")))</f>
        <v>Low</v>
      </c>
      <c r="O2" s="12" t="s">
        <v>56</v>
      </c>
      <c r="P2" s="17">
        <v>5.0</v>
      </c>
      <c r="Q2" s="15">
        <f t="shared" ref="Q2:Q227" si="2">IF(H2&gt;=2000,5,IF(H2&gt;=800,4,IF(H2&gt;=300,3,IF(H2&gt;=100,2,1))))</f>
        <v>1</v>
      </c>
      <c r="R2" s="15">
        <f t="shared" ref="R2:R227" si="3">IF(J2&lt;=25,5,IF(J2&lt;=35,4,IF(J2&lt;=45,3,IF(J2&lt;=60,2,1))))</f>
        <v>5</v>
      </c>
      <c r="S2" s="17">
        <v>4.0</v>
      </c>
      <c r="T2" s="17">
        <v>5.0</v>
      </c>
      <c r="U2" s="17">
        <v>5.0</v>
      </c>
      <c r="V2" s="21">
        <f>ROUND((P2*'Business Analysis'!$D$36+Q2*'Business Analysis'!$D$37+R2*'Business Analysis'!$D$38+S2*'Business Analysis'!$D$39+T2*'Business Analysis'!$D$40+U2*'Business Analysis'!$D$41)/5*100,0)</f>
        <v>89</v>
      </c>
      <c r="W2" s="15" t="str">
        <f t="shared" ref="W2:W227" si="4">IF(V2&gt;=90,"Critical",IF(V2&gt;=75,"High",IF(V2&gt;=60,"Medium",IF(V2&gt;=40,"Low","Optional"))))</f>
        <v>High</v>
      </c>
      <c r="X2" s="12" t="s">
        <v>68</v>
      </c>
      <c r="Y2" s="15" t="s">
        <v>77</v>
      </c>
      <c r="Z2" s="12" t="s">
        <v>78</v>
      </c>
    </row>
    <row r="3">
      <c r="A3" s="22" t="s">
        <v>79</v>
      </c>
      <c r="B3" s="24" t="s">
        <v>31</v>
      </c>
      <c r="C3" s="25" t="s">
        <v>31</v>
      </c>
      <c r="D3" s="25" t="s">
        <v>32</v>
      </c>
      <c r="E3" s="29" t="s">
        <v>33</v>
      </c>
      <c r="F3" s="29" t="s">
        <v>35</v>
      </c>
      <c r="G3" s="29" t="s">
        <v>111</v>
      </c>
      <c r="H3" s="30">
        <v>50.0</v>
      </c>
      <c r="I3" s="24" t="s">
        <v>38</v>
      </c>
      <c r="J3" s="31">
        <v>5.0</v>
      </c>
      <c r="K3" s="24" t="s">
        <v>41</v>
      </c>
      <c r="L3" s="32">
        <v>3.8</v>
      </c>
      <c r="M3" s="24" t="s">
        <v>44</v>
      </c>
      <c r="N3" s="29" t="str">
        <f t="shared" si="1"/>
        <v>Low</v>
      </c>
      <c r="O3" s="25" t="s">
        <v>56</v>
      </c>
      <c r="P3" s="31">
        <v>5.0</v>
      </c>
      <c r="Q3" s="29">
        <f t="shared" si="2"/>
        <v>1</v>
      </c>
      <c r="R3" s="29">
        <f t="shared" si="3"/>
        <v>5</v>
      </c>
      <c r="S3" s="31">
        <v>4.0</v>
      </c>
      <c r="T3" s="31">
        <v>5.0</v>
      </c>
      <c r="U3" s="31">
        <v>4.0</v>
      </c>
      <c r="V3" s="38">
        <f>ROUND((P3*'Business Analysis'!$D$36+Q3*'Business Analysis'!$D$37+R3*'Business Analysis'!$D$38+S3*'Business Analysis'!$D$39+T3*'Business Analysis'!$D$40+U3*'Business Analysis'!$D$41)/5*100,0)</f>
        <v>87</v>
      </c>
      <c r="W3" s="29" t="str">
        <f t="shared" si="4"/>
        <v>High</v>
      </c>
      <c r="X3" s="25" t="s">
        <v>68</v>
      </c>
      <c r="Y3" s="29" t="s">
        <v>77</v>
      </c>
      <c r="Z3" s="25" t="s">
        <v>157</v>
      </c>
    </row>
    <row r="4">
      <c r="A4" s="9" t="s">
        <v>158</v>
      </c>
      <c r="B4" s="10" t="s">
        <v>31</v>
      </c>
      <c r="C4" s="12" t="s">
        <v>31</v>
      </c>
      <c r="D4" s="12" t="s">
        <v>32</v>
      </c>
      <c r="E4" s="15" t="s">
        <v>33</v>
      </c>
      <c r="F4" s="15" t="s">
        <v>35</v>
      </c>
      <c r="G4" s="15" t="s">
        <v>111</v>
      </c>
      <c r="H4" s="16">
        <v>40.0</v>
      </c>
      <c r="I4" s="10" t="s">
        <v>38</v>
      </c>
      <c r="J4" s="17">
        <v>4.0</v>
      </c>
      <c r="K4" s="10" t="s">
        <v>41</v>
      </c>
      <c r="L4" s="18">
        <v>3.5</v>
      </c>
      <c r="M4" s="10" t="s">
        <v>44</v>
      </c>
      <c r="N4" s="15" t="str">
        <f t="shared" si="1"/>
        <v>Low</v>
      </c>
      <c r="O4" s="12" t="s">
        <v>56</v>
      </c>
      <c r="P4" s="17">
        <v>5.0</v>
      </c>
      <c r="Q4" s="15">
        <f t="shared" si="2"/>
        <v>1</v>
      </c>
      <c r="R4" s="15">
        <f t="shared" si="3"/>
        <v>5</v>
      </c>
      <c r="S4" s="17">
        <v>4.0</v>
      </c>
      <c r="T4" s="17">
        <v>5.0</v>
      </c>
      <c r="U4" s="17">
        <v>4.0</v>
      </c>
      <c r="V4" s="21">
        <f>ROUND((P4*'Business Analysis'!$D$36+Q4*'Business Analysis'!$D$37+R4*'Business Analysis'!$D$38+S4*'Business Analysis'!$D$39+T4*'Business Analysis'!$D$40+U4*'Business Analysis'!$D$41)/5*100,0)</f>
        <v>87</v>
      </c>
      <c r="W4" s="15" t="str">
        <f t="shared" si="4"/>
        <v>High</v>
      </c>
      <c r="X4" s="12" t="s">
        <v>68</v>
      </c>
      <c r="Y4" s="15" t="s">
        <v>77</v>
      </c>
      <c r="Z4" s="12" t="s">
        <v>157</v>
      </c>
    </row>
    <row r="5">
      <c r="A5" s="22" t="s">
        <v>199</v>
      </c>
      <c r="B5" s="24" t="s">
        <v>31</v>
      </c>
      <c r="C5" s="25" t="s">
        <v>31</v>
      </c>
      <c r="D5" s="25" t="s">
        <v>32</v>
      </c>
      <c r="E5" s="29" t="s">
        <v>33</v>
      </c>
      <c r="F5" s="29" t="s">
        <v>35</v>
      </c>
      <c r="G5" s="29" t="s">
        <v>111</v>
      </c>
      <c r="H5" s="30">
        <v>30.0</v>
      </c>
      <c r="I5" s="24" t="s">
        <v>38</v>
      </c>
      <c r="J5" s="31">
        <v>7.0</v>
      </c>
      <c r="K5" s="24" t="s">
        <v>41</v>
      </c>
      <c r="L5" s="32">
        <v>4.0</v>
      </c>
      <c r="M5" s="24" t="s">
        <v>44</v>
      </c>
      <c r="N5" s="29" t="str">
        <f t="shared" si="1"/>
        <v>Low</v>
      </c>
      <c r="O5" s="25" t="s">
        <v>56</v>
      </c>
      <c r="P5" s="31">
        <v>5.0</v>
      </c>
      <c r="Q5" s="29">
        <f t="shared" si="2"/>
        <v>1</v>
      </c>
      <c r="R5" s="29">
        <f t="shared" si="3"/>
        <v>5</v>
      </c>
      <c r="S5" s="31">
        <v>4.0</v>
      </c>
      <c r="T5" s="31">
        <v>5.0</v>
      </c>
      <c r="U5" s="31">
        <v>4.0</v>
      </c>
      <c r="V5" s="38">
        <f>ROUND((P5*'Business Analysis'!$D$36+Q5*'Business Analysis'!$D$37+R5*'Business Analysis'!$D$38+S5*'Business Analysis'!$D$39+T5*'Business Analysis'!$D$40+U5*'Business Analysis'!$D$41)/5*100,0)</f>
        <v>87</v>
      </c>
      <c r="W5" s="29" t="str">
        <f t="shared" si="4"/>
        <v>High</v>
      </c>
      <c r="X5" s="25" t="s">
        <v>68</v>
      </c>
      <c r="Y5" s="29" t="s">
        <v>77</v>
      </c>
      <c r="Z5" s="25" t="s">
        <v>157</v>
      </c>
    </row>
    <row r="6">
      <c r="A6" s="9" t="s">
        <v>207</v>
      </c>
      <c r="B6" s="10" t="s">
        <v>31</v>
      </c>
      <c r="C6" s="12" t="s">
        <v>31</v>
      </c>
      <c r="D6" s="12" t="s">
        <v>32</v>
      </c>
      <c r="E6" s="15" t="s">
        <v>33</v>
      </c>
      <c r="F6" s="15" t="s">
        <v>208</v>
      </c>
      <c r="G6" s="15" t="s">
        <v>111</v>
      </c>
      <c r="H6" s="16">
        <v>30.0</v>
      </c>
      <c r="I6" s="10" t="s">
        <v>38</v>
      </c>
      <c r="J6" s="17">
        <v>5.0</v>
      </c>
      <c r="K6" s="10" t="s">
        <v>41</v>
      </c>
      <c r="L6" s="18">
        <v>2.1</v>
      </c>
      <c r="M6" s="10" t="s">
        <v>44</v>
      </c>
      <c r="N6" s="15" t="str">
        <f t="shared" si="1"/>
        <v>Low</v>
      </c>
      <c r="O6" s="12" t="s">
        <v>56</v>
      </c>
      <c r="P6" s="17">
        <v>4.0</v>
      </c>
      <c r="Q6" s="15">
        <f t="shared" si="2"/>
        <v>1</v>
      </c>
      <c r="R6" s="15">
        <f t="shared" si="3"/>
        <v>5</v>
      </c>
      <c r="S6" s="17">
        <v>4.0</v>
      </c>
      <c r="T6" s="17">
        <v>3.0</v>
      </c>
      <c r="U6" s="17">
        <v>4.0</v>
      </c>
      <c r="V6" s="21">
        <f>ROUND((P6*'Business Analysis'!$D$36+Q6*'Business Analysis'!$D$37+R6*'Business Analysis'!$D$38+S6*'Business Analysis'!$D$39+T6*'Business Analysis'!$D$40+U6*'Business Analysis'!$D$41)/5*100,0)</f>
        <v>74</v>
      </c>
      <c r="W6" s="15" t="str">
        <f t="shared" si="4"/>
        <v>Medium</v>
      </c>
      <c r="X6" s="12" t="s">
        <v>68</v>
      </c>
      <c r="Y6" s="15" t="s">
        <v>77</v>
      </c>
      <c r="Z6" s="12" t="s">
        <v>157</v>
      </c>
    </row>
    <row r="7">
      <c r="A7" s="22" t="s">
        <v>215</v>
      </c>
      <c r="B7" s="24" t="s">
        <v>31</v>
      </c>
      <c r="C7" s="25" t="s">
        <v>31</v>
      </c>
      <c r="D7" s="25" t="s">
        <v>32</v>
      </c>
      <c r="E7" s="29" t="s">
        <v>33</v>
      </c>
      <c r="F7" s="29" t="s">
        <v>35</v>
      </c>
      <c r="G7" s="29" t="s">
        <v>111</v>
      </c>
      <c r="H7" s="30">
        <v>20.0</v>
      </c>
      <c r="I7" s="24" t="s">
        <v>38</v>
      </c>
      <c r="J7" s="31">
        <v>3.0</v>
      </c>
      <c r="K7" s="24" t="s">
        <v>41</v>
      </c>
      <c r="L7" s="32">
        <v>1.5</v>
      </c>
      <c r="M7" s="24" t="s">
        <v>44</v>
      </c>
      <c r="N7" s="29" t="str">
        <f t="shared" si="1"/>
        <v>Low</v>
      </c>
      <c r="O7" s="25" t="s">
        <v>56</v>
      </c>
      <c r="P7" s="31">
        <v>5.0</v>
      </c>
      <c r="Q7" s="29">
        <f t="shared" si="2"/>
        <v>1</v>
      </c>
      <c r="R7" s="29">
        <f t="shared" si="3"/>
        <v>5</v>
      </c>
      <c r="S7" s="31">
        <v>4.0</v>
      </c>
      <c r="T7" s="31">
        <v>5.0</v>
      </c>
      <c r="U7" s="31">
        <v>4.0</v>
      </c>
      <c r="V7" s="38">
        <f>ROUND((P7*'Business Analysis'!$D$36+Q7*'Business Analysis'!$D$37+R7*'Business Analysis'!$D$38+S7*'Business Analysis'!$D$39+T7*'Business Analysis'!$D$40+U7*'Business Analysis'!$D$41)/5*100,0)</f>
        <v>87</v>
      </c>
      <c r="W7" s="29" t="str">
        <f t="shared" si="4"/>
        <v>High</v>
      </c>
      <c r="X7" s="25" t="s">
        <v>68</v>
      </c>
      <c r="Y7" s="29" t="s">
        <v>77</v>
      </c>
      <c r="Z7" s="25" t="s">
        <v>157</v>
      </c>
    </row>
    <row r="8">
      <c r="A8" s="9" t="s">
        <v>217</v>
      </c>
      <c r="B8" s="10" t="s">
        <v>31</v>
      </c>
      <c r="C8" s="12" t="s">
        <v>31</v>
      </c>
      <c r="D8" s="12" t="s">
        <v>32</v>
      </c>
      <c r="E8" s="15" t="s">
        <v>33</v>
      </c>
      <c r="F8" s="15" t="s">
        <v>35</v>
      </c>
      <c r="G8" s="15" t="s">
        <v>111</v>
      </c>
      <c r="H8" s="16">
        <v>20.0</v>
      </c>
      <c r="I8" s="10" t="s">
        <v>38</v>
      </c>
      <c r="J8" s="17">
        <v>3.0</v>
      </c>
      <c r="K8" s="10" t="s">
        <v>41</v>
      </c>
      <c r="L8" s="18">
        <v>1.2</v>
      </c>
      <c r="M8" s="10" t="s">
        <v>44</v>
      </c>
      <c r="N8" s="15" t="str">
        <f t="shared" si="1"/>
        <v>Low</v>
      </c>
      <c r="O8" s="12" t="s">
        <v>56</v>
      </c>
      <c r="P8" s="17">
        <v>5.0</v>
      </c>
      <c r="Q8" s="15">
        <f t="shared" si="2"/>
        <v>1</v>
      </c>
      <c r="R8" s="15">
        <f t="shared" si="3"/>
        <v>5</v>
      </c>
      <c r="S8" s="17">
        <v>4.0</v>
      </c>
      <c r="T8" s="17">
        <v>5.0</v>
      </c>
      <c r="U8" s="17">
        <v>4.0</v>
      </c>
      <c r="V8" s="21">
        <f>ROUND((P8*'Business Analysis'!$D$36+Q8*'Business Analysis'!$D$37+R8*'Business Analysis'!$D$38+S8*'Business Analysis'!$D$39+T8*'Business Analysis'!$D$40+U8*'Business Analysis'!$D$41)/5*100,0)</f>
        <v>87</v>
      </c>
      <c r="W8" s="15" t="str">
        <f t="shared" si="4"/>
        <v>High</v>
      </c>
      <c r="X8" s="12" t="s">
        <v>68</v>
      </c>
      <c r="Y8" s="15" t="s">
        <v>77</v>
      </c>
      <c r="Z8" s="12" t="s">
        <v>157</v>
      </c>
    </row>
    <row r="9">
      <c r="A9" s="22" t="s">
        <v>97</v>
      </c>
      <c r="B9" s="24" t="s">
        <v>31</v>
      </c>
      <c r="C9" s="25" t="s">
        <v>31</v>
      </c>
      <c r="D9" s="25" t="s">
        <v>94</v>
      </c>
      <c r="E9" s="29" t="s">
        <v>33</v>
      </c>
      <c r="F9" s="29" t="s">
        <v>208</v>
      </c>
      <c r="G9" s="29" t="s">
        <v>36</v>
      </c>
      <c r="H9" s="30">
        <v>40.0</v>
      </c>
      <c r="I9" s="24" t="s">
        <v>38</v>
      </c>
      <c r="J9" s="31">
        <v>4.0</v>
      </c>
      <c r="K9" s="24" t="s">
        <v>41</v>
      </c>
      <c r="L9" s="32">
        <v>2.0</v>
      </c>
      <c r="M9" s="24" t="s">
        <v>44</v>
      </c>
      <c r="N9" s="29" t="str">
        <f t="shared" si="1"/>
        <v>Low</v>
      </c>
      <c r="O9" s="25" t="s">
        <v>224</v>
      </c>
      <c r="P9" s="31">
        <v>3.0</v>
      </c>
      <c r="Q9" s="29">
        <f t="shared" si="2"/>
        <v>1</v>
      </c>
      <c r="R9" s="29">
        <f t="shared" si="3"/>
        <v>5</v>
      </c>
      <c r="S9" s="31">
        <v>4.0</v>
      </c>
      <c r="T9" s="31">
        <v>3.0</v>
      </c>
      <c r="U9" s="31">
        <v>4.0</v>
      </c>
      <c r="V9" s="38">
        <f>ROUND((P9*'Business Analysis'!$D$36+Q9*'Business Analysis'!$D$37+R9*'Business Analysis'!$D$38+S9*'Business Analysis'!$D$39+T9*'Business Analysis'!$D$40+U9*'Business Analysis'!$D$41)/5*100,0)</f>
        <v>69</v>
      </c>
      <c r="W9" s="29" t="str">
        <f t="shared" si="4"/>
        <v>Medium</v>
      </c>
      <c r="X9" s="25" t="s">
        <v>124</v>
      </c>
      <c r="Y9" s="29" t="s">
        <v>77</v>
      </c>
      <c r="Z9" s="25" t="s">
        <v>232</v>
      </c>
    </row>
    <row r="10">
      <c r="A10" s="9" t="s">
        <v>233</v>
      </c>
      <c r="B10" s="10" t="s">
        <v>31</v>
      </c>
      <c r="C10" s="12" t="s">
        <v>31</v>
      </c>
      <c r="D10" s="12" t="s">
        <v>94</v>
      </c>
      <c r="E10" s="15" t="s">
        <v>33</v>
      </c>
      <c r="F10" s="15" t="s">
        <v>208</v>
      </c>
      <c r="G10" s="15" t="s">
        <v>111</v>
      </c>
      <c r="H10" s="16">
        <v>30.0</v>
      </c>
      <c r="I10" s="10" t="s">
        <v>38</v>
      </c>
      <c r="J10" s="17">
        <v>4.0</v>
      </c>
      <c r="K10" s="10" t="s">
        <v>41</v>
      </c>
      <c r="L10" s="18">
        <v>2.0</v>
      </c>
      <c r="M10" s="10" t="s">
        <v>44</v>
      </c>
      <c r="N10" s="15" t="str">
        <f t="shared" si="1"/>
        <v>Low</v>
      </c>
      <c r="O10" s="12" t="s">
        <v>239</v>
      </c>
      <c r="P10" s="17">
        <v>3.0</v>
      </c>
      <c r="Q10" s="15">
        <f t="shared" si="2"/>
        <v>1</v>
      </c>
      <c r="R10" s="15">
        <f t="shared" si="3"/>
        <v>5</v>
      </c>
      <c r="S10" s="17">
        <v>4.0</v>
      </c>
      <c r="T10" s="17">
        <v>3.0</v>
      </c>
      <c r="U10" s="17">
        <v>3.0</v>
      </c>
      <c r="V10" s="21">
        <f>ROUND((P10*'Business Analysis'!$D$36+Q10*'Business Analysis'!$D$37+R10*'Business Analysis'!$D$38+S10*'Business Analysis'!$D$39+T10*'Business Analysis'!$D$40+U10*'Business Analysis'!$D$41)/5*100,0)</f>
        <v>67</v>
      </c>
      <c r="W10" s="15" t="str">
        <f t="shared" si="4"/>
        <v>Medium</v>
      </c>
      <c r="X10" s="12" t="s">
        <v>124</v>
      </c>
      <c r="Y10" s="15" t="s">
        <v>77</v>
      </c>
      <c r="Z10" s="12" t="s">
        <v>157</v>
      </c>
    </row>
    <row r="11">
      <c r="A11" s="22" t="s">
        <v>242</v>
      </c>
      <c r="B11" s="24" t="s">
        <v>31</v>
      </c>
      <c r="C11" s="25" t="s">
        <v>31</v>
      </c>
      <c r="D11" s="25" t="s">
        <v>94</v>
      </c>
      <c r="E11" s="29" t="s">
        <v>33</v>
      </c>
      <c r="F11" s="29" t="s">
        <v>208</v>
      </c>
      <c r="G11" s="29" t="s">
        <v>111</v>
      </c>
      <c r="H11" s="30">
        <v>10.0</v>
      </c>
      <c r="I11" s="24" t="s">
        <v>38</v>
      </c>
      <c r="J11" s="31">
        <v>3.0</v>
      </c>
      <c r="K11" s="24" t="s">
        <v>41</v>
      </c>
      <c r="L11" s="32">
        <v>1.4</v>
      </c>
      <c r="M11" s="24" t="s">
        <v>44</v>
      </c>
      <c r="N11" s="29" t="str">
        <f t="shared" si="1"/>
        <v>Low</v>
      </c>
      <c r="O11" s="25" t="s">
        <v>239</v>
      </c>
      <c r="P11" s="31">
        <v>3.0</v>
      </c>
      <c r="Q11" s="29">
        <f t="shared" si="2"/>
        <v>1</v>
      </c>
      <c r="R11" s="29">
        <f t="shared" si="3"/>
        <v>5</v>
      </c>
      <c r="S11" s="31">
        <v>4.0</v>
      </c>
      <c r="T11" s="31">
        <v>3.0</v>
      </c>
      <c r="U11" s="31">
        <v>3.0</v>
      </c>
      <c r="V11" s="38">
        <f>ROUND((P11*'Business Analysis'!$D$36+Q11*'Business Analysis'!$D$37+R11*'Business Analysis'!$D$38+S11*'Business Analysis'!$D$39+T11*'Business Analysis'!$D$40+U11*'Business Analysis'!$D$41)/5*100,0)</f>
        <v>67</v>
      </c>
      <c r="W11" s="29" t="str">
        <f t="shared" si="4"/>
        <v>Medium</v>
      </c>
      <c r="X11" s="25" t="s">
        <v>124</v>
      </c>
      <c r="Y11" s="29" t="s">
        <v>77</v>
      </c>
      <c r="Z11" s="25" t="s">
        <v>157</v>
      </c>
    </row>
    <row r="12">
      <c r="A12" s="9" t="s">
        <v>137</v>
      </c>
      <c r="B12" s="10" t="s">
        <v>31</v>
      </c>
      <c r="C12" s="12" t="s">
        <v>31</v>
      </c>
      <c r="D12" s="12" t="s">
        <v>136</v>
      </c>
      <c r="E12" s="15" t="s">
        <v>33</v>
      </c>
      <c r="F12" s="15" t="s">
        <v>208</v>
      </c>
      <c r="G12" s="15" t="s">
        <v>36</v>
      </c>
      <c r="H12" s="16">
        <v>40.0</v>
      </c>
      <c r="I12" s="10" t="s">
        <v>38</v>
      </c>
      <c r="J12" s="17">
        <v>5.0</v>
      </c>
      <c r="K12" s="10" t="s">
        <v>41</v>
      </c>
      <c r="L12" s="18">
        <v>2.0</v>
      </c>
      <c r="M12" s="10" t="s">
        <v>44</v>
      </c>
      <c r="N12" s="15" t="str">
        <f t="shared" si="1"/>
        <v>Low</v>
      </c>
      <c r="O12" s="12" t="s">
        <v>239</v>
      </c>
      <c r="P12" s="17">
        <v>3.0</v>
      </c>
      <c r="Q12" s="15">
        <f t="shared" si="2"/>
        <v>1</v>
      </c>
      <c r="R12" s="15">
        <f t="shared" si="3"/>
        <v>5</v>
      </c>
      <c r="S12" s="17">
        <v>4.0</v>
      </c>
      <c r="T12" s="17">
        <v>3.0</v>
      </c>
      <c r="U12" s="17">
        <v>4.0</v>
      </c>
      <c r="V12" s="21">
        <f>ROUND((P12*'Business Analysis'!$D$36+Q12*'Business Analysis'!$D$37+R12*'Business Analysis'!$D$38+S12*'Business Analysis'!$D$39+T12*'Business Analysis'!$D$40+U12*'Business Analysis'!$D$41)/5*100,0)</f>
        <v>69</v>
      </c>
      <c r="W12" s="15" t="str">
        <f t="shared" si="4"/>
        <v>Medium</v>
      </c>
      <c r="X12" s="12" t="s">
        <v>156</v>
      </c>
      <c r="Y12" s="15" t="s">
        <v>77</v>
      </c>
      <c r="Z12" s="12" t="s">
        <v>254</v>
      </c>
    </row>
    <row r="13">
      <c r="A13" s="22" t="s">
        <v>255</v>
      </c>
      <c r="B13" s="24" t="s">
        <v>31</v>
      </c>
      <c r="C13" s="25" t="s">
        <v>31</v>
      </c>
      <c r="D13" s="25" t="s">
        <v>136</v>
      </c>
      <c r="E13" s="29" t="s">
        <v>33</v>
      </c>
      <c r="F13" s="29" t="s">
        <v>208</v>
      </c>
      <c r="G13" s="29" t="s">
        <v>111</v>
      </c>
      <c r="H13" s="30">
        <v>30.0</v>
      </c>
      <c r="I13" s="24" t="s">
        <v>38</v>
      </c>
      <c r="J13" s="31">
        <v>4.0</v>
      </c>
      <c r="K13" s="24" t="s">
        <v>41</v>
      </c>
      <c r="L13" s="32">
        <v>1.9</v>
      </c>
      <c r="M13" s="24" t="s">
        <v>44</v>
      </c>
      <c r="N13" s="29" t="str">
        <f t="shared" si="1"/>
        <v>Low</v>
      </c>
      <c r="O13" s="25" t="s">
        <v>239</v>
      </c>
      <c r="P13" s="31">
        <v>3.0</v>
      </c>
      <c r="Q13" s="29">
        <f t="shared" si="2"/>
        <v>1</v>
      </c>
      <c r="R13" s="29">
        <f t="shared" si="3"/>
        <v>5</v>
      </c>
      <c r="S13" s="31">
        <v>4.0</v>
      </c>
      <c r="T13" s="31">
        <v>3.0</v>
      </c>
      <c r="U13" s="31">
        <v>3.0</v>
      </c>
      <c r="V13" s="38">
        <f>ROUND((P13*'Business Analysis'!$D$36+Q13*'Business Analysis'!$D$37+R13*'Business Analysis'!$D$38+S13*'Business Analysis'!$D$39+T13*'Business Analysis'!$D$40+U13*'Business Analysis'!$D$41)/5*100,0)</f>
        <v>67</v>
      </c>
      <c r="W13" s="29" t="str">
        <f t="shared" si="4"/>
        <v>Medium</v>
      </c>
      <c r="X13" s="25" t="s">
        <v>156</v>
      </c>
      <c r="Y13" s="29" t="s">
        <v>77</v>
      </c>
      <c r="Z13" s="25" t="s">
        <v>157</v>
      </c>
    </row>
    <row r="14">
      <c r="A14" s="9" t="s">
        <v>277</v>
      </c>
      <c r="B14" s="10" t="s">
        <v>31</v>
      </c>
      <c r="C14" s="12" t="s">
        <v>31</v>
      </c>
      <c r="D14" s="12" t="s">
        <v>136</v>
      </c>
      <c r="E14" s="15" t="s">
        <v>33</v>
      </c>
      <c r="F14" s="15" t="s">
        <v>208</v>
      </c>
      <c r="G14" s="15" t="s">
        <v>111</v>
      </c>
      <c r="H14" s="16">
        <v>10.0</v>
      </c>
      <c r="I14" s="10" t="s">
        <v>38</v>
      </c>
      <c r="J14" s="17">
        <v>5.0</v>
      </c>
      <c r="K14" s="10" t="s">
        <v>41</v>
      </c>
      <c r="L14" s="18">
        <v>3.5</v>
      </c>
      <c r="M14" s="10" t="s">
        <v>44</v>
      </c>
      <c r="N14" s="15" t="str">
        <f t="shared" si="1"/>
        <v>Low</v>
      </c>
      <c r="O14" s="12" t="s">
        <v>239</v>
      </c>
      <c r="P14" s="17">
        <v>3.0</v>
      </c>
      <c r="Q14" s="15">
        <f t="shared" si="2"/>
        <v>1</v>
      </c>
      <c r="R14" s="15">
        <f t="shared" si="3"/>
        <v>5</v>
      </c>
      <c r="S14" s="17">
        <v>4.0</v>
      </c>
      <c r="T14" s="17">
        <v>3.0</v>
      </c>
      <c r="U14" s="17">
        <v>3.0</v>
      </c>
      <c r="V14" s="21">
        <f>ROUND((P14*'Business Analysis'!$D$36+Q14*'Business Analysis'!$D$37+R14*'Business Analysis'!$D$38+S14*'Business Analysis'!$D$39+T14*'Business Analysis'!$D$40+U14*'Business Analysis'!$D$41)/5*100,0)</f>
        <v>67</v>
      </c>
      <c r="W14" s="15" t="str">
        <f t="shared" si="4"/>
        <v>Medium</v>
      </c>
      <c r="X14" s="12" t="s">
        <v>156</v>
      </c>
      <c r="Y14" s="15" t="s">
        <v>77</v>
      </c>
      <c r="Z14" s="12" t="s">
        <v>157</v>
      </c>
    </row>
    <row r="15">
      <c r="A15" s="22" t="s">
        <v>160</v>
      </c>
      <c r="B15" s="24" t="s">
        <v>299</v>
      </c>
      <c r="C15" s="25" t="s">
        <v>302</v>
      </c>
      <c r="D15" s="25" t="s">
        <v>159</v>
      </c>
      <c r="E15" s="29" t="s">
        <v>305</v>
      </c>
      <c r="F15" s="29" t="s">
        <v>35</v>
      </c>
      <c r="G15" s="29" t="s">
        <v>36</v>
      </c>
      <c r="H15" s="30">
        <v>1600.0</v>
      </c>
      <c r="I15" s="24" t="s">
        <v>38</v>
      </c>
      <c r="J15" s="31">
        <v>55.0</v>
      </c>
      <c r="K15" s="24" t="s">
        <v>41</v>
      </c>
      <c r="L15" s="32">
        <v>8.6</v>
      </c>
      <c r="M15" s="24" t="s">
        <v>44</v>
      </c>
      <c r="N15" s="29" t="str">
        <f t="shared" si="1"/>
        <v>Competitive</v>
      </c>
      <c r="O15" s="25" t="s">
        <v>314</v>
      </c>
      <c r="P15" s="31">
        <v>5.0</v>
      </c>
      <c r="Q15" s="29">
        <f t="shared" si="2"/>
        <v>4</v>
      </c>
      <c r="R15" s="29">
        <f t="shared" si="3"/>
        <v>2</v>
      </c>
      <c r="S15" s="31">
        <v>5.0</v>
      </c>
      <c r="T15" s="31">
        <v>5.0</v>
      </c>
      <c r="U15" s="31">
        <v>5.0</v>
      </c>
      <c r="V15" s="38">
        <f>ROUND((P15*'Business Analysis'!$D$36+Q15*'Business Analysis'!$D$37+R15*'Business Analysis'!$D$38+S15*'Business Analysis'!$D$39+T15*'Business Analysis'!$D$40+U15*'Business Analysis'!$D$41)/5*100,0)</f>
        <v>86</v>
      </c>
      <c r="W15" s="29" t="str">
        <f t="shared" si="4"/>
        <v>High</v>
      </c>
      <c r="X15" s="25" t="s">
        <v>68</v>
      </c>
      <c r="Y15" s="29" t="s">
        <v>77</v>
      </c>
      <c r="Z15" s="25" t="s">
        <v>335</v>
      </c>
    </row>
    <row r="16">
      <c r="A16" s="9" t="s">
        <v>336</v>
      </c>
      <c r="B16" s="10" t="s">
        <v>337</v>
      </c>
      <c r="C16" s="12" t="s">
        <v>302</v>
      </c>
      <c r="D16" s="12" t="s">
        <v>159</v>
      </c>
      <c r="E16" s="15" t="s">
        <v>305</v>
      </c>
      <c r="F16" s="15" t="s">
        <v>35</v>
      </c>
      <c r="G16" s="15" t="s">
        <v>111</v>
      </c>
      <c r="H16" s="16">
        <v>880.0</v>
      </c>
      <c r="I16" s="10" t="s">
        <v>38</v>
      </c>
      <c r="J16" s="17">
        <v>52.0</v>
      </c>
      <c r="K16" s="10" t="s">
        <v>41</v>
      </c>
      <c r="L16" s="18">
        <v>8.2</v>
      </c>
      <c r="M16" s="10" t="s">
        <v>44</v>
      </c>
      <c r="N16" s="15" t="str">
        <f t="shared" si="1"/>
        <v>Competitive</v>
      </c>
      <c r="O16" s="12" t="s">
        <v>314</v>
      </c>
      <c r="P16" s="17">
        <v>5.0</v>
      </c>
      <c r="Q16" s="15">
        <f t="shared" si="2"/>
        <v>4</v>
      </c>
      <c r="R16" s="15">
        <f t="shared" si="3"/>
        <v>2</v>
      </c>
      <c r="S16" s="17">
        <v>5.0</v>
      </c>
      <c r="T16" s="17">
        <v>5.0</v>
      </c>
      <c r="U16" s="17">
        <v>5.0</v>
      </c>
      <c r="V16" s="21">
        <f>ROUND((P16*'Business Analysis'!$D$36+Q16*'Business Analysis'!$D$37+R16*'Business Analysis'!$D$38+S16*'Business Analysis'!$D$39+T16*'Business Analysis'!$D$40+U16*'Business Analysis'!$D$41)/5*100,0)</f>
        <v>86</v>
      </c>
      <c r="W16" s="15" t="str">
        <f t="shared" si="4"/>
        <v>High</v>
      </c>
      <c r="X16" s="12" t="s">
        <v>68</v>
      </c>
      <c r="Y16" s="15" t="s">
        <v>77</v>
      </c>
      <c r="Z16" s="12" t="s">
        <v>157</v>
      </c>
    </row>
    <row r="17">
      <c r="A17" s="22" t="s">
        <v>342</v>
      </c>
      <c r="B17" s="24" t="s">
        <v>337</v>
      </c>
      <c r="C17" s="25" t="s">
        <v>302</v>
      </c>
      <c r="D17" s="25" t="s">
        <v>159</v>
      </c>
      <c r="E17" s="29" t="s">
        <v>305</v>
      </c>
      <c r="F17" s="29" t="s">
        <v>35</v>
      </c>
      <c r="G17" s="29" t="s">
        <v>111</v>
      </c>
      <c r="H17" s="30">
        <v>720.0</v>
      </c>
      <c r="I17" s="24" t="s">
        <v>38</v>
      </c>
      <c r="J17" s="31">
        <v>50.0</v>
      </c>
      <c r="K17" s="24" t="s">
        <v>41</v>
      </c>
      <c r="L17" s="32">
        <v>8.0</v>
      </c>
      <c r="M17" s="24" t="s">
        <v>44</v>
      </c>
      <c r="N17" s="29" t="str">
        <f t="shared" si="1"/>
        <v>Competitive</v>
      </c>
      <c r="O17" s="25" t="s">
        <v>314</v>
      </c>
      <c r="P17" s="31">
        <v>5.0</v>
      </c>
      <c r="Q17" s="29">
        <f t="shared" si="2"/>
        <v>3</v>
      </c>
      <c r="R17" s="29">
        <f t="shared" si="3"/>
        <v>2</v>
      </c>
      <c r="S17" s="31">
        <v>5.0</v>
      </c>
      <c r="T17" s="31">
        <v>5.0</v>
      </c>
      <c r="U17" s="31">
        <v>5.0</v>
      </c>
      <c r="V17" s="38">
        <f>ROUND((P17*'Business Analysis'!$D$36+Q17*'Business Analysis'!$D$37+R17*'Business Analysis'!$D$38+S17*'Business Analysis'!$D$39+T17*'Business Analysis'!$D$40+U17*'Business Analysis'!$D$41)/5*100,0)</f>
        <v>84</v>
      </c>
      <c r="W17" s="29" t="str">
        <f t="shared" si="4"/>
        <v>High</v>
      </c>
      <c r="X17" s="25" t="s">
        <v>68</v>
      </c>
      <c r="Y17" s="29" t="s">
        <v>77</v>
      </c>
      <c r="Z17" s="25" t="s">
        <v>157</v>
      </c>
    </row>
    <row r="18">
      <c r="A18" s="9" t="s">
        <v>349</v>
      </c>
      <c r="B18" s="10" t="s">
        <v>337</v>
      </c>
      <c r="C18" s="12" t="s">
        <v>302</v>
      </c>
      <c r="D18" s="12" t="s">
        <v>159</v>
      </c>
      <c r="E18" s="15" t="s">
        <v>305</v>
      </c>
      <c r="F18" s="15" t="s">
        <v>35</v>
      </c>
      <c r="G18" s="15" t="s">
        <v>111</v>
      </c>
      <c r="H18" s="16">
        <v>480.0</v>
      </c>
      <c r="I18" s="10" t="s">
        <v>38</v>
      </c>
      <c r="J18" s="17">
        <v>48.0</v>
      </c>
      <c r="K18" s="10" t="s">
        <v>41</v>
      </c>
      <c r="L18" s="18">
        <v>8.9</v>
      </c>
      <c r="M18" s="10" t="s">
        <v>44</v>
      </c>
      <c r="N18" s="15" t="str">
        <f t="shared" si="1"/>
        <v>Competitive</v>
      </c>
      <c r="O18" s="12" t="s">
        <v>314</v>
      </c>
      <c r="P18" s="17">
        <v>5.0</v>
      </c>
      <c r="Q18" s="15">
        <f t="shared" si="2"/>
        <v>3</v>
      </c>
      <c r="R18" s="15">
        <f t="shared" si="3"/>
        <v>2</v>
      </c>
      <c r="S18" s="17">
        <v>5.0</v>
      </c>
      <c r="T18" s="17">
        <v>5.0</v>
      </c>
      <c r="U18" s="17">
        <v>5.0</v>
      </c>
      <c r="V18" s="21">
        <f>ROUND((P18*'Business Analysis'!$D$36+Q18*'Business Analysis'!$D$37+R18*'Business Analysis'!$D$38+S18*'Business Analysis'!$D$39+T18*'Business Analysis'!$D$40+U18*'Business Analysis'!$D$41)/5*100,0)</f>
        <v>84</v>
      </c>
      <c r="W18" s="15" t="str">
        <f t="shared" si="4"/>
        <v>High</v>
      </c>
      <c r="X18" s="12" t="s">
        <v>68</v>
      </c>
      <c r="Y18" s="15" t="s">
        <v>77</v>
      </c>
      <c r="Z18" s="12" t="s">
        <v>157</v>
      </c>
    </row>
    <row r="19">
      <c r="A19" s="22" t="s">
        <v>355</v>
      </c>
      <c r="B19" s="24" t="s">
        <v>356</v>
      </c>
      <c r="C19" s="25" t="s">
        <v>302</v>
      </c>
      <c r="D19" s="25" t="s">
        <v>159</v>
      </c>
      <c r="E19" s="29" t="s">
        <v>356</v>
      </c>
      <c r="F19" s="29" t="s">
        <v>208</v>
      </c>
      <c r="G19" s="29" t="s">
        <v>111</v>
      </c>
      <c r="H19" s="30">
        <v>590.0</v>
      </c>
      <c r="I19" s="24" t="s">
        <v>38</v>
      </c>
      <c r="J19" s="31">
        <v>46.0</v>
      </c>
      <c r="K19" s="24" t="s">
        <v>41</v>
      </c>
      <c r="L19" s="32">
        <v>7.4</v>
      </c>
      <c r="M19" s="24" t="s">
        <v>44</v>
      </c>
      <c r="N19" s="29" t="str">
        <f t="shared" si="1"/>
        <v>Competitive</v>
      </c>
      <c r="O19" s="25" t="s">
        <v>314</v>
      </c>
      <c r="P19" s="31">
        <v>4.0</v>
      </c>
      <c r="Q19" s="29">
        <f t="shared" si="2"/>
        <v>3</v>
      </c>
      <c r="R19" s="29">
        <f t="shared" si="3"/>
        <v>2</v>
      </c>
      <c r="S19" s="31">
        <v>4.0</v>
      </c>
      <c r="T19" s="31">
        <v>4.0</v>
      </c>
      <c r="U19" s="31">
        <v>5.0</v>
      </c>
      <c r="V19" s="38">
        <f>ROUND((P19*'Business Analysis'!$D$36+Q19*'Business Analysis'!$D$37+R19*'Business Analysis'!$D$38+S19*'Business Analysis'!$D$39+T19*'Business Analysis'!$D$40+U19*'Business Analysis'!$D$41)/5*100,0)</f>
        <v>72</v>
      </c>
      <c r="W19" s="29" t="str">
        <f t="shared" si="4"/>
        <v>Medium</v>
      </c>
      <c r="X19" s="25" t="s">
        <v>68</v>
      </c>
      <c r="Y19" s="29" t="s">
        <v>77</v>
      </c>
      <c r="Z19" s="25" t="s">
        <v>157</v>
      </c>
    </row>
    <row r="20">
      <c r="A20" s="9" t="s">
        <v>358</v>
      </c>
      <c r="B20" s="10" t="s">
        <v>356</v>
      </c>
      <c r="C20" s="12" t="s">
        <v>302</v>
      </c>
      <c r="D20" s="12" t="s">
        <v>159</v>
      </c>
      <c r="E20" s="15" t="s">
        <v>356</v>
      </c>
      <c r="F20" s="15" t="s">
        <v>208</v>
      </c>
      <c r="G20" s="15" t="s">
        <v>111</v>
      </c>
      <c r="H20" s="16">
        <v>210.0</v>
      </c>
      <c r="I20" s="10" t="s">
        <v>38</v>
      </c>
      <c r="J20" s="17">
        <v>40.0</v>
      </c>
      <c r="K20" s="10" t="s">
        <v>41</v>
      </c>
      <c r="L20" s="18">
        <v>7.1</v>
      </c>
      <c r="M20" s="10" t="s">
        <v>44</v>
      </c>
      <c r="N20" s="15" t="str">
        <f t="shared" si="1"/>
        <v>Moderate</v>
      </c>
      <c r="O20" s="12" t="s">
        <v>314</v>
      </c>
      <c r="P20" s="17">
        <v>4.0</v>
      </c>
      <c r="Q20" s="15">
        <f t="shared" si="2"/>
        <v>2</v>
      </c>
      <c r="R20" s="15">
        <f t="shared" si="3"/>
        <v>3</v>
      </c>
      <c r="S20" s="17">
        <v>4.0</v>
      </c>
      <c r="T20" s="17">
        <v>4.0</v>
      </c>
      <c r="U20" s="17">
        <v>5.0</v>
      </c>
      <c r="V20" s="21">
        <f>ROUND((P20*'Business Analysis'!$D$36+Q20*'Business Analysis'!$D$37+R20*'Business Analysis'!$D$38+S20*'Business Analysis'!$D$39+T20*'Business Analysis'!$D$40+U20*'Business Analysis'!$D$41)/5*100,0)</f>
        <v>74</v>
      </c>
      <c r="W20" s="15" t="str">
        <f t="shared" si="4"/>
        <v>Medium</v>
      </c>
      <c r="X20" s="12" t="s">
        <v>68</v>
      </c>
      <c r="Y20" s="15" t="s">
        <v>77</v>
      </c>
      <c r="Z20" s="12" t="s">
        <v>157</v>
      </c>
    </row>
    <row r="21" ht="15.75" customHeight="1">
      <c r="A21" s="22" t="s">
        <v>363</v>
      </c>
      <c r="B21" s="24" t="s">
        <v>305</v>
      </c>
      <c r="C21" s="25" t="s">
        <v>302</v>
      </c>
      <c r="D21" s="25" t="s">
        <v>159</v>
      </c>
      <c r="E21" s="29" t="s">
        <v>305</v>
      </c>
      <c r="F21" s="29" t="s">
        <v>35</v>
      </c>
      <c r="G21" s="29" t="s">
        <v>111</v>
      </c>
      <c r="H21" s="30">
        <v>140.0</v>
      </c>
      <c r="I21" s="24" t="s">
        <v>38</v>
      </c>
      <c r="J21" s="31">
        <v>32.0</v>
      </c>
      <c r="K21" s="24" t="s">
        <v>41</v>
      </c>
      <c r="L21" s="32">
        <v>7.8</v>
      </c>
      <c r="M21" s="24" t="s">
        <v>44</v>
      </c>
      <c r="N21" s="29" t="str">
        <f t="shared" si="1"/>
        <v>Moderate</v>
      </c>
      <c r="O21" s="25" t="s">
        <v>314</v>
      </c>
      <c r="P21" s="31">
        <v>5.0</v>
      </c>
      <c r="Q21" s="29">
        <f t="shared" si="2"/>
        <v>2</v>
      </c>
      <c r="R21" s="29">
        <f t="shared" si="3"/>
        <v>4</v>
      </c>
      <c r="S21" s="31">
        <v>5.0</v>
      </c>
      <c r="T21" s="31">
        <v>5.0</v>
      </c>
      <c r="U21" s="31">
        <v>5.0</v>
      </c>
      <c r="V21" s="38">
        <f>ROUND((P21*'Business Analysis'!$D$36+Q21*'Business Analysis'!$D$37+R21*'Business Analysis'!$D$38+S21*'Business Analysis'!$D$39+T21*'Business Analysis'!$D$40+U21*'Business Analysis'!$D$41)/5*100,0)</f>
        <v>90</v>
      </c>
      <c r="W21" s="29" t="str">
        <f t="shared" si="4"/>
        <v>Critical</v>
      </c>
      <c r="X21" s="25" t="s">
        <v>68</v>
      </c>
      <c r="Y21" s="29" t="s">
        <v>77</v>
      </c>
      <c r="Z21" s="25" t="s">
        <v>157</v>
      </c>
    </row>
    <row r="22" ht="15.75" customHeight="1">
      <c r="A22" s="9" t="s">
        <v>370</v>
      </c>
      <c r="B22" s="10" t="s">
        <v>305</v>
      </c>
      <c r="C22" s="12" t="s">
        <v>302</v>
      </c>
      <c r="D22" s="12" t="s">
        <v>159</v>
      </c>
      <c r="E22" s="15" t="s">
        <v>305</v>
      </c>
      <c r="F22" s="15" t="s">
        <v>35</v>
      </c>
      <c r="G22" s="15" t="s">
        <v>111</v>
      </c>
      <c r="H22" s="16">
        <v>170.0</v>
      </c>
      <c r="I22" s="10" t="s">
        <v>38</v>
      </c>
      <c r="J22" s="17">
        <v>34.0</v>
      </c>
      <c r="K22" s="10" t="s">
        <v>41</v>
      </c>
      <c r="L22" s="18">
        <v>7.6</v>
      </c>
      <c r="M22" s="10" t="s">
        <v>44</v>
      </c>
      <c r="N22" s="15" t="str">
        <f t="shared" si="1"/>
        <v>Moderate</v>
      </c>
      <c r="O22" s="12" t="s">
        <v>314</v>
      </c>
      <c r="P22" s="17">
        <v>5.0</v>
      </c>
      <c r="Q22" s="15">
        <f t="shared" si="2"/>
        <v>2</v>
      </c>
      <c r="R22" s="15">
        <f t="shared" si="3"/>
        <v>4</v>
      </c>
      <c r="S22" s="17">
        <v>5.0</v>
      </c>
      <c r="T22" s="17">
        <v>5.0</v>
      </c>
      <c r="U22" s="17">
        <v>5.0</v>
      </c>
      <c r="V22" s="21">
        <f>ROUND((P22*'Business Analysis'!$D$36+Q22*'Business Analysis'!$D$37+R22*'Business Analysis'!$D$38+S22*'Business Analysis'!$D$39+T22*'Business Analysis'!$D$40+U22*'Business Analysis'!$D$41)/5*100,0)</f>
        <v>90</v>
      </c>
      <c r="W22" s="15" t="str">
        <f t="shared" si="4"/>
        <v>Critical</v>
      </c>
      <c r="X22" s="12" t="s">
        <v>68</v>
      </c>
      <c r="Y22" s="15" t="s">
        <v>77</v>
      </c>
      <c r="Z22" s="12" t="s">
        <v>157</v>
      </c>
    </row>
    <row r="23" ht="15.75" customHeight="1">
      <c r="A23" s="22" t="s">
        <v>372</v>
      </c>
      <c r="B23" s="24" t="s">
        <v>299</v>
      </c>
      <c r="C23" s="25" t="s">
        <v>302</v>
      </c>
      <c r="D23" s="25" t="s">
        <v>159</v>
      </c>
      <c r="E23" s="29" t="s">
        <v>305</v>
      </c>
      <c r="F23" s="29" t="s">
        <v>35</v>
      </c>
      <c r="G23" s="29" t="s">
        <v>111</v>
      </c>
      <c r="H23" s="30">
        <v>260.0</v>
      </c>
      <c r="I23" s="24" t="s">
        <v>38</v>
      </c>
      <c r="J23" s="31">
        <v>42.0</v>
      </c>
      <c r="K23" s="24" t="s">
        <v>41</v>
      </c>
      <c r="L23" s="32">
        <v>7.9</v>
      </c>
      <c r="M23" s="24" t="s">
        <v>44</v>
      </c>
      <c r="N23" s="29" t="str">
        <f t="shared" si="1"/>
        <v>Competitive</v>
      </c>
      <c r="O23" s="25" t="s">
        <v>314</v>
      </c>
      <c r="P23" s="31">
        <v>5.0</v>
      </c>
      <c r="Q23" s="29">
        <f t="shared" si="2"/>
        <v>2</v>
      </c>
      <c r="R23" s="29">
        <f t="shared" si="3"/>
        <v>3</v>
      </c>
      <c r="S23" s="31">
        <v>5.0</v>
      </c>
      <c r="T23" s="31">
        <v>5.0</v>
      </c>
      <c r="U23" s="31">
        <v>5.0</v>
      </c>
      <c r="V23" s="38">
        <f>ROUND((P23*'Business Analysis'!$D$36+Q23*'Business Analysis'!$D$37+R23*'Business Analysis'!$D$38+S23*'Business Analysis'!$D$39+T23*'Business Analysis'!$D$40+U23*'Business Analysis'!$D$41)/5*100,0)</f>
        <v>86</v>
      </c>
      <c r="W23" s="29" t="str">
        <f t="shared" si="4"/>
        <v>High</v>
      </c>
      <c r="X23" s="25" t="s">
        <v>68</v>
      </c>
      <c r="Y23" s="29" t="s">
        <v>77</v>
      </c>
      <c r="Z23" s="25" t="s">
        <v>157</v>
      </c>
    </row>
    <row r="24" ht="15.75" customHeight="1">
      <c r="A24" s="9" t="s">
        <v>379</v>
      </c>
      <c r="B24" s="10" t="s">
        <v>299</v>
      </c>
      <c r="C24" s="12" t="s">
        <v>302</v>
      </c>
      <c r="D24" s="12" t="s">
        <v>159</v>
      </c>
      <c r="E24" s="15" t="s">
        <v>305</v>
      </c>
      <c r="F24" s="15" t="s">
        <v>35</v>
      </c>
      <c r="G24" s="15" t="s">
        <v>111</v>
      </c>
      <c r="H24" s="16">
        <v>320.0</v>
      </c>
      <c r="I24" s="10" t="s">
        <v>38</v>
      </c>
      <c r="J24" s="17">
        <v>44.0</v>
      </c>
      <c r="K24" s="10" t="s">
        <v>41</v>
      </c>
      <c r="L24" s="18">
        <v>7.2</v>
      </c>
      <c r="M24" s="10" t="s">
        <v>44</v>
      </c>
      <c r="N24" s="15" t="str">
        <f t="shared" si="1"/>
        <v>Competitive</v>
      </c>
      <c r="O24" s="12" t="s">
        <v>314</v>
      </c>
      <c r="P24" s="17">
        <v>5.0</v>
      </c>
      <c r="Q24" s="15">
        <f t="shared" si="2"/>
        <v>3</v>
      </c>
      <c r="R24" s="15">
        <f t="shared" si="3"/>
        <v>3</v>
      </c>
      <c r="S24" s="17">
        <v>5.0</v>
      </c>
      <c r="T24" s="17">
        <v>5.0</v>
      </c>
      <c r="U24" s="17">
        <v>5.0</v>
      </c>
      <c r="V24" s="21">
        <f>ROUND((P24*'Business Analysis'!$D$36+Q24*'Business Analysis'!$D$37+R24*'Business Analysis'!$D$38+S24*'Business Analysis'!$D$39+T24*'Business Analysis'!$D$40+U24*'Business Analysis'!$D$41)/5*100,0)</f>
        <v>88</v>
      </c>
      <c r="W24" s="15" t="str">
        <f t="shared" si="4"/>
        <v>High</v>
      </c>
      <c r="X24" s="12" t="s">
        <v>68</v>
      </c>
      <c r="Y24" s="15" t="s">
        <v>77</v>
      </c>
      <c r="Z24" s="12" t="s">
        <v>157</v>
      </c>
    </row>
    <row r="25" ht="15.75" customHeight="1">
      <c r="A25" s="22" t="s">
        <v>181</v>
      </c>
      <c r="B25" s="24" t="s">
        <v>299</v>
      </c>
      <c r="C25" s="25" t="s">
        <v>380</v>
      </c>
      <c r="D25" s="25" t="s">
        <v>180</v>
      </c>
      <c r="E25" s="29" t="s">
        <v>305</v>
      </c>
      <c r="F25" s="29" t="s">
        <v>35</v>
      </c>
      <c r="G25" s="29" t="s">
        <v>36</v>
      </c>
      <c r="H25" s="30">
        <v>390.0</v>
      </c>
      <c r="I25" s="24" t="s">
        <v>38</v>
      </c>
      <c r="J25" s="31">
        <v>41.0</v>
      </c>
      <c r="K25" s="24" t="s">
        <v>41</v>
      </c>
      <c r="L25" s="32">
        <v>7.7</v>
      </c>
      <c r="M25" s="24" t="s">
        <v>44</v>
      </c>
      <c r="N25" s="29" t="str">
        <f t="shared" si="1"/>
        <v>Competitive</v>
      </c>
      <c r="O25" s="25" t="s">
        <v>381</v>
      </c>
      <c r="P25" s="31">
        <v>5.0</v>
      </c>
      <c r="Q25" s="29">
        <f t="shared" si="2"/>
        <v>3</v>
      </c>
      <c r="R25" s="29">
        <f t="shared" si="3"/>
        <v>3</v>
      </c>
      <c r="S25" s="31">
        <v>5.0</v>
      </c>
      <c r="T25" s="31">
        <v>5.0</v>
      </c>
      <c r="U25" s="31">
        <v>5.0</v>
      </c>
      <c r="V25" s="38">
        <f>ROUND((P25*'Business Analysis'!$D$36+Q25*'Business Analysis'!$D$37+R25*'Business Analysis'!$D$38+S25*'Business Analysis'!$D$39+T25*'Business Analysis'!$D$40+U25*'Business Analysis'!$D$41)/5*100,0)</f>
        <v>88</v>
      </c>
      <c r="W25" s="29" t="str">
        <f t="shared" si="4"/>
        <v>High</v>
      </c>
      <c r="X25" s="25" t="s">
        <v>385</v>
      </c>
      <c r="Y25" s="29" t="s">
        <v>386</v>
      </c>
      <c r="Z25" s="25" t="s">
        <v>388</v>
      </c>
    </row>
    <row r="26" ht="15.75" customHeight="1">
      <c r="A26" s="9" t="s">
        <v>389</v>
      </c>
      <c r="B26" s="10" t="s">
        <v>299</v>
      </c>
      <c r="C26" s="12" t="s">
        <v>380</v>
      </c>
      <c r="D26" s="12" t="s">
        <v>180</v>
      </c>
      <c r="E26" s="15" t="s">
        <v>305</v>
      </c>
      <c r="F26" s="15" t="s">
        <v>35</v>
      </c>
      <c r="G26" s="15" t="s">
        <v>111</v>
      </c>
      <c r="H26" s="16">
        <v>170.0</v>
      </c>
      <c r="I26" s="10" t="s">
        <v>38</v>
      </c>
      <c r="J26" s="17">
        <v>36.0</v>
      </c>
      <c r="K26" s="10" t="s">
        <v>41</v>
      </c>
      <c r="L26" s="18">
        <v>7.2</v>
      </c>
      <c r="M26" s="10" t="s">
        <v>44</v>
      </c>
      <c r="N26" s="15" t="str">
        <f t="shared" si="1"/>
        <v>Moderate</v>
      </c>
      <c r="O26" s="12" t="s">
        <v>381</v>
      </c>
      <c r="P26" s="17">
        <v>5.0</v>
      </c>
      <c r="Q26" s="15">
        <f t="shared" si="2"/>
        <v>2</v>
      </c>
      <c r="R26" s="15">
        <f t="shared" si="3"/>
        <v>3</v>
      </c>
      <c r="S26" s="17">
        <v>5.0</v>
      </c>
      <c r="T26" s="17">
        <v>5.0</v>
      </c>
      <c r="U26" s="17">
        <v>4.0</v>
      </c>
      <c r="V26" s="21">
        <f>ROUND((P26*'Business Analysis'!$D$36+Q26*'Business Analysis'!$D$37+R26*'Business Analysis'!$D$38+S26*'Business Analysis'!$D$39+T26*'Business Analysis'!$D$40+U26*'Business Analysis'!$D$41)/5*100,0)</f>
        <v>84</v>
      </c>
      <c r="W26" s="15" t="str">
        <f t="shared" si="4"/>
        <v>High</v>
      </c>
      <c r="X26" s="12" t="s">
        <v>385</v>
      </c>
      <c r="Y26" s="15" t="s">
        <v>386</v>
      </c>
      <c r="Z26" s="12" t="s">
        <v>157</v>
      </c>
    </row>
    <row r="27" ht="15.75" customHeight="1">
      <c r="A27" s="22" t="s">
        <v>391</v>
      </c>
      <c r="B27" s="24" t="s">
        <v>337</v>
      </c>
      <c r="C27" s="25" t="s">
        <v>380</v>
      </c>
      <c r="D27" s="25" t="s">
        <v>180</v>
      </c>
      <c r="E27" s="29" t="s">
        <v>305</v>
      </c>
      <c r="F27" s="29" t="s">
        <v>35</v>
      </c>
      <c r="G27" s="29" t="s">
        <v>111</v>
      </c>
      <c r="H27" s="30">
        <v>90.0</v>
      </c>
      <c r="I27" s="24" t="s">
        <v>38</v>
      </c>
      <c r="J27" s="31">
        <v>33.0</v>
      </c>
      <c r="K27" s="24" t="s">
        <v>41</v>
      </c>
      <c r="L27" s="32">
        <v>7.5</v>
      </c>
      <c r="M27" s="24" t="s">
        <v>44</v>
      </c>
      <c r="N27" s="29" t="str">
        <f t="shared" si="1"/>
        <v>Moderate</v>
      </c>
      <c r="O27" s="25" t="s">
        <v>381</v>
      </c>
      <c r="P27" s="31">
        <v>5.0</v>
      </c>
      <c r="Q27" s="29">
        <f t="shared" si="2"/>
        <v>1</v>
      </c>
      <c r="R27" s="29">
        <f t="shared" si="3"/>
        <v>4</v>
      </c>
      <c r="S27" s="31">
        <v>5.0</v>
      </c>
      <c r="T27" s="31">
        <v>5.0</v>
      </c>
      <c r="U27" s="31">
        <v>4.0</v>
      </c>
      <c r="V27" s="38">
        <f>ROUND((P27*'Business Analysis'!$D$36+Q27*'Business Analysis'!$D$37+R27*'Business Analysis'!$D$38+S27*'Business Analysis'!$D$39+T27*'Business Analysis'!$D$40+U27*'Business Analysis'!$D$41)/5*100,0)</f>
        <v>86</v>
      </c>
      <c r="W27" s="29" t="str">
        <f t="shared" si="4"/>
        <v>High</v>
      </c>
      <c r="X27" s="25" t="s">
        <v>385</v>
      </c>
      <c r="Y27" s="29" t="s">
        <v>386</v>
      </c>
      <c r="Z27" s="25" t="s">
        <v>157</v>
      </c>
    </row>
    <row r="28" ht="15.75" customHeight="1">
      <c r="A28" s="9" t="s">
        <v>397</v>
      </c>
      <c r="B28" s="10" t="s">
        <v>398</v>
      </c>
      <c r="C28" s="12" t="s">
        <v>380</v>
      </c>
      <c r="D28" s="12" t="s">
        <v>180</v>
      </c>
      <c r="E28" s="15" t="s">
        <v>356</v>
      </c>
      <c r="F28" s="15" t="s">
        <v>208</v>
      </c>
      <c r="G28" s="15" t="s">
        <v>111</v>
      </c>
      <c r="H28" s="16">
        <v>40.0</v>
      </c>
      <c r="I28" s="10" t="s">
        <v>38</v>
      </c>
      <c r="J28" s="17">
        <v>22.0</v>
      </c>
      <c r="K28" s="10" t="s">
        <v>41</v>
      </c>
      <c r="L28" s="18">
        <v>6.2</v>
      </c>
      <c r="M28" s="10" t="s">
        <v>44</v>
      </c>
      <c r="N28" s="15" t="str">
        <f t="shared" si="1"/>
        <v>Moderate</v>
      </c>
      <c r="O28" s="12" t="s">
        <v>381</v>
      </c>
      <c r="P28" s="17">
        <v>4.0</v>
      </c>
      <c r="Q28" s="15">
        <f t="shared" si="2"/>
        <v>1</v>
      </c>
      <c r="R28" s="15">
        <f t="shared" si="3"/>
        <v>5</v>
      </c>
      <c r="S28" s="17">
        <v>4.0</v>
      </c>
      <c r="T28" s="17">
        <v>4.0</v>
      </c>
      <c r="U28" s="17">
        <v>4.0</v>
      </c>
      <c r="V28" s="21">
        <f>ROUND((P28*'Business Analysis'!$D$36+Q28*'Business Analysis'!$D$37+R28*'Business Analysis'!$D$38+S28*'Business Analysis'!$D$39+T28*'Business Analysis'!$D$40+U28*'Business Analysis'!$D$41)/5*100,0)</f>
        <v>78</v>
      </c>
      <c r="W28" s="15" t="str">
        <f t="shared" si="4"/>
        <v>High</v>
      </c>
      <c r="X28" s="12" t="s">
        <v>385</v>
      </c>
      <c r="Y28" s="15" t="s">
        <v>386</v>
      </c>
      <c r="Z28" s="12" t="s">
        <v>157</v>
      </c>
    </row>
    <row r="29" ht="15.75" customHeight="1">
      <c r="A29" s="22" t="s">
        <v>411</v>
      </c>
      <c r="B29" s="24" t="s">
        <v>412</v>
      </c>
      <c r="C29" s="25" t="s">
        <v>380</v>
      </c>
      <c r="D29" s="25" t="s">
        <v>180</v>
      </c>
      <c r="E29" s="29" t="s">
        <v>412</v>
      </c>
      <c r="F29" s="29" t="s">
        <v>413</v>
      </c>
      <c r="G29" s="29" t="s">
        <v>111</v>
      </c>
      <c r="H29" s="30">
        <v>880.0</v>
      </c>
      <c r="I29" s="24" t="s">
        <v>38</v>
      </c>
      <c r="J29" s="31">
        <v>26.0</v>
      </c>
      <c r="K29" s="24" t="s">
        <v>41</v>
      </c>
      <c r="L29" s="32">
        <v>2.4</v>
      </c>
      <c r="M29" s="24" t="s">
        <v>44</v>
      </c>
      <c r="N29" s="29" t="str">
        <f t="shared" si="1"/>
        <v>Moderate</v>
      </c>
      <c r="O29" s="25" t="s">
        <v>224</v>
      </c>
      <c r="P29" s="31">
        <v>3.0</v>
      </c>
      <c r="Q29" s="29">
        <f t="shared" si="2"/>
        <v>4</v>
      </c>
      <c r="R29" s="29">
        <f t="shared" si="3"/>
        <v>4</v>
      </c>
      <c r="S29" s="31">
        <v>1.0</v>
      </c>
      <c r="T29" s="31">
        <v>2.0</v>
      </c>
      <c r="U29" s="31">
        <v>4.0</v>
      </c>
      <c r="V29" s="38">
        <f>ROUND((P29*'Business Analysis'!$D$36+Q29*'Business Analysis'!$D$37+R29*'Business Analysis'!$D$38+S29*'Business Analysis'!$D$39+T29*'Business Analysis'!$D$40+U29*'Business Analysis'!$D$41)/5*100,0)</f>
        <v>58</v>
      </c>
      <c r="W29" s="29" t="str">
        <f t="shared" si="4"/>
        <v>Low</v>
      </c>
      <c r="X29" s="25" t="s">
        <v>385</v>
      </c>
      <c r="Y29" s="29" t="s">
        <v>386</v>
      </c>
      <c r="Z29" s="25" t="s">
        <v>157</v>
      </c>
    </row>
    <row r="30" ht="15.75" customHeight="1">
      <c r="A30" s="9" t="s">
        <v>420</v>
      </c>
      <c r="B30" s="10" t="s">
        <v>421</v>
      </c>
      <c r="C30" s="12" t="s">
        <v>380</v>
      </c>
      <c r="D30" s="12" t="s">
        <v>180</v>
      </c>
      <c r="E30" s="15" t="s">
        <v>356</v>
      </c>
      <c r="F30" s="15" t="s">
        <v>208</v>
      </c>
      <c r="G30" s="15" t="s">
        <v>111</v>
      </c>
      <c r="H30" s="16">
        <v>720.0</v>
      </c>
      <c r="I30" s="10" t="s">
        <v>38</v>
      </c>
      <c r="J30" s="17">
        <v>24.0</v>
      </c>
      <c r="K30" s="10" t="s">
        <v>41</v>
      </c>
      <c r="L30" s="18">
        <v>2.6</v>
      </c>
      <c r="M30" s="10" t="s">
        <v>44</v>
      </c>
      <c r="N30" s="15" t="str">
        <f t="shared" si="1"/>
        <v>Moderate</v>
      </c>
      <c r="O30" s="12" t="s">
        <v>224</v>
      </c>
      <c r="P30" s="17">
        <v>4.0</v>
      </c>
      <c r="Q30" s="15">
        <f t="shared" si="2"/>
        <v>3</v>
      </c>
      <c r="R30" s="15">
        <f t="shared" si="3"/>
        <v>5</v>
      </c>
      <c r="S30" s="17">
        <v>3.0</v>
      </c>
      <c r="T30" s="17">
        <v>3.0</v>
      </c>
      <c r="U30" s="17">
        <v>4.0</v>
      </c>
      <c r="V30" s="21">
        <f>ROUND((P30*'Business Analysis'!$D$36+Q30*'Business Analysis'!$D$37+R30*'Business Analysis'!$D$38+S30*'Business Analysis'!$D$39+T30*'Business Analysis'!$D$40+U30*'Business Analysis'!$D$41)/5*100,0)</f>
        <v>75</v>
      </c>
      <c r="W30" s="15" t="str">
        <f t="shared" si="4"/>
        <v>High</v>
      </c>
      <c r="X30" s="12" t="s">
        <v>385</v>
      </c>
      <c r="Y30" s="15" t="s">
        <v>386</v>
      </c>
      <c r="Z30" s="12" t="s">
        <v>157</v>
      </c>
    </row>
    <row r="31" ht="15.75" customHeight="1">
      <c r="A31" s="22" t="s">
        <v>195</v>
      </c>
      <c r="B31" s="24" t="s">
        <v>299</v>
      </c>
      <c r="C31" s="25" t="s">
        <v>380</v>
      </c>
      <c r="D31" s="25" t="s">
        <v>194</v>
      </c>
      <c r="E31" s="29" t="s">
        <v>305</v>
      </c>
      <c r="F31" s="29" t="s">
        <v>35</v>
      </c>
      <c r="G31" s="29" t="s">
        <v>36</v>
      </c>
      <c r="H31" s="30">
        <v>320.0</v>
      </c>
      <c r="I31" s="24" t="s">
        <v>38</v>
      </c>
      <c r="J31" s="31">
        <v>38.0</v>
      </c>
      <c r="K31" s="24" t="s">
        <v>41</v>
      </c>
      <c r="L31" s="32">
        <v>6.9</v>
      </c>
      <c r="M31" s="24" t="s">
        <v>44</v>
      </c>
      <c r="N31" s="29" t="str">
        <f t="shared" si="1"/>
        <v>Moderate</v>
      </c>
      <c r="O31" s="25" t="s">
        <v>314</v>
      </c>
      <c r="P31" s="31">
        <v>4.0</v>
      </c>
      <c r="Q31" s="29">
        <f t="shared" si="2"/>
        <v>3</v>
      </c>
      <c r="R31" s="29">
        <f t="shared" si="3"/>
        <v>3</v>
      </c>
      <c r="S31" s="31">
        <v>5.0</v>
      </c>
      <c r="T31" s="31">
        <v>5.0</v>
      </c>
      <c r="U31" s="31">
        <v>4.0</v>
      </c>
      <c r="V31" s="38">
        <f>ROUND((P31*'Business Analysis'!$D$36+Q31*'Business Analysis'!$D$37+R31*'Business Analysis'!$D$38+S31*'Business Analysis'!$D$39+T31*'Business Analysis'!$D$40+U31*'Business Analysis'!$D$41)/5*100,0)</f>
        <v>81</v>
      </c>
      <c r="W31" s="29" t="str">
        <f t="shared" si="4"/>
        <v>High</v>
      </c>
      <c r="X31" s="25" t="s">
        <v>429</v>
      </c>
      <c r="Y31" s="29" t="s">
        <v>386</v>
      </c>
      <c r="Z31" s="25" t="s">
        <v>430</v>
      </c>
    </row>
    <row r="32" ht="15.75" customHeight="1">
      <c r="A32" s="9" t="s">
        <v>431</v>
      </c>
      <c r="B32" s="10" t="s">
        <v>299</v>
      </c>
      <c r="C32" s="12" t="s">
        <v>380</v>
      </c>
      <c r="D32" s="12" t="s">
        <v>194</v>
      </c>
      <c r="E32" s="15" t="s">
        <v>305</v>
      </c>
      <c r="F32" s="15" t="s">
        <v>35</v>
      </c>
      <c r="G32" s="15" t="s">
        <v>111</v>
      </c>
      <c r="H32" s="16">
        <v>260.0</v>
      </c>
      <c r="I32" s="10" t="s">
        <v>38</v>
      </c>
      <c r="J32" s="17">
        <v>36.0</v>
      </c>
      <c r="K32" s="10" t="s">
        <v>41</v>
      </c>
      <c r="L32" s="18">
        <v>6.8</v>
      </c>
      <c r="M32" s="10" t="s">
        <v>44</v>
      </c>
      <c r="N32" s="15" t="str">
        <f t="shared" si="1"/>
        <v>Moderate</v>
      </c>
      <c r="O32" s="12" t="s">
        <v>314</v>
      </c>
      <c r="P32" s="17">
        <v>4.0</v>
      </c>
      <c r="Q32" s="15">
        <f t="shared" si="2"/>
        <v>2</v>
      </c>
      <c r="R32" s="15">
        <f t="shared" si="3"/>
        <v>3</v>
      </c>
      <c r="S32" s="17">
        <v>5.0</v>
      </c>
      <c r="T32" s="17">
        <v>5.0</v>
      </c>
      <c r="U32" s="17">
        <v>3.0</v>
      </c>
      <c r="V32" s="21">
        <f>ROUND((P32*'Business Analysis'!$D$36+Q32*'Business Analysis'!$D$37+R32*'Business Analysis'!$D$38+S32*'Business Analysis'!$D$39+T32*'Business Analysis'!$D$40+U32*'Business Analysis'!$D$41)/5*100,0)</f>
        <v>77</v>
      </c>
      <c r="W32" s="15" t="str">
        <f t="shared" si="4"/>
        <v>High</v>
      </c>
      <c r="X32" s="12" t="s">
        <v>429</v>
      </c>
      <c r="Y32" s="15" t="s">
        <v>386</v>
      </c>
      <c r="Z32" s="12" t="s">
        <v>157</v>
      </c>
    </row>
    <row r="33" ht="15.75" customHeight="1">
      <c r="A33" s="22" t="s">
        <v>434</v>
      </c>
      <c r="B33" s="24" t="s">
        <v>299</v>
      </c>
      <c r="C33" s="25" t="s">
        <v>380</v>
      </c>
      <c r="D33" s="25" t="s">
        <v>194</v>
      </c>
      <c r="E33" s="29" t="s">
        <v>305</v>
      </c>
      <c r="F33" s="29" t="s">
        <v>35</v>
      </c>
      <c r="G33" s="29" t="s">
        <v>111</v>
      </c>
      <c r="H33" s="30">
        <v>90.0</v>
      </c>
      <c r="I33" s="24" t="s">
        <v>38</v>
      </c>
      <c r="J33" s="31">
        <v>28.0</v>
      </c>
      <c r="K33" s="24" t="s">
        <v>41</v>
      </c>
      <c r="L33" s="32">
        <v>6.4</v>
      </c>
      <c r="M33" s="24" t="s">
        <v>44</v>
      </c>
      <c r="N33" s="29" t="str">
        <f t="shared" si="1"/>
        <v>Moderate</v>
      </c>
      <c r="O33" s="25" t="s">
        <v>314</v>
      </c>
      <c r="P33" s="31">
        <v>4.0</v>
      </c>
      <c r="Q33" s="29">
        <f t="shared" si="2"/>
        <v>1</v>
      </c>
      <c r="R33" s="29">
        <f t="shared" si="3"/>
        <v>4</v>
      </c>
      <c r="S33" s="31">
        <v>5.0</v>
      </c>
      <c r="T33" s="31">
        <v>5.0</v>
      </c>
      <c r="U33" s="31">
        <v>3.0</v>
      </c>
      <c r="V33" s="38">
        <f>ROUND((P33*'Business Analysis'!$D$36+Q33*'Business Analysis'!$D$37+R33*'Business Analysis'!$D$38+S33*'Business Analysis'!$D$39+T33*'Business Analysis'!$D$40+U33*'Business Analysis'!$D$41)/5*100,0)</f>
        <v>79</v>
      </c>
      <c r="W33" s="29" t="str">
        <f t="shared" si="4"/>
        <v>High</v>
      </c>
      <c r="X33" s="25" t="s">
        <v>429</v>
      </c>
      <c r="Y33" s="29" t="s">
        <v>386</v>
      </c>
      <c r="Z33" s="25" t="s">
        <v>157</v>
      </c>
    </row>
    <row r="34" ht="15.75" customHeight="1">
      <c r="A34" s="9" t="s">
        <v>439</v>
      </c>
      <c r="B34" s="10" t="s">
        <v>299</v>
      </c>
      <c r="C34" s="12" t="s">
        <v>380</v>
      </c>
      <c r="D34" s="12" t="s">
        <v>194</v>
      </c>
      <c r="E34" s="15" t="s">
        <v>305</v>
      </c>
      <c r="F34" s="15" t="s">
        <v>35</v>
      </c>
      <c r="G34" s="15" t="s">
        <v>111</v>
      </c>
      <c r="H34" s="16">
        <v>110.0</v>
      </c>
      <c r="I34" s="10" t="s">
        <v>38</v>
      </c>
      <c r="J34" s="17">
        <v>30.0</v>
      </c>
      <c r="K34" s="10" t="s">
        <v>41</v>
      </c>
      <c r="L34" s="18">
        <v>6.2</v>
      </c>
      <c r="M34" s="10" t="s">
        <v>44</v>
      </c>
      <c r="N34" s="15" t="str">
        <f t="shared" si="1"/>
        <v>Moderate</v>
      </c>
      <c r="O34" s="12" t="s">
        <v>314</v>
      </c>
      <c r="P34" s="17">
        <v>4.0</v>
      </c>
      <c r="Q34" s="15">
        <f t="shared" si="2"/>
        <v>2</v>
      </c>
      <c r="R34" s="15">
        <f t="shared" si="3"/>
        <v>4</v>
      </c>
      <c r="S34" s="17">
        <v>5.0</v>
      </c>
      <c r="T34" s="17">
        <v>5.0</v>
      </c>
      <c r="U34" s="17">
        <v>3.0</v>
      </c>
      <c r="V34" s="21">
        <f>ROUND((P34*'Business Analysis'!$D$36+Q34*'Business Analysis'!$D$37+R34*'Business Analysis'!$D$38+S34*'Business Analysis'!$D$39+T34*'Business Analysis'!$D$40+U34*'Business Analysis'!$D$41)/5*100,0)</f>
        <v>81</v>
      </c>
      <c r="W34" s="15" t="str">
        <f t="shared" si="4"/>
        <v>High</v>
      </c>
      <c r="X34" s="12" t="s">
        <v>429</v>
      </c>
      <c r="Y34" s="15" t="s">
        <v>386</v>
      </c>
      <c r="Z34" s="12" t="s">
        <v>157</v>
      </c>
    </row>
    <row r="35" ht="15.75" customHeight="1">
      <c r="A35" s="22" t="s">
        <v>449</v>
      </c>
      <c r="B35" s="24" t="s">
        <v>412</v>
      </c>
      <c r="C35" s="25" t="s">
        <v>380</v>
      </c>
      <c r="D35" s="25" t="s">
        <v>194</v>
      </c>
      <c r="E35" s="29" t="s">
        <v>412</v>
      </c>
      <c r="F35" s="29" t="s">
        <v>413</v>
      </c>
      <c r="G35" s="29" t="s">
        <v>111</v>
      </c>
      <c r="H35" s="30">
        <v>4400.0</v>
      </c>
      <c r="I35" s="24" t="s">
        <v>38</v>
      </c>
      <c r="J35" s="31">
        <v>38.0</v>
      </c>
      <c r="K35" s="24" t="s">
        <v>41</v>
      </c>
      <c r="L35" s="32">
        <v>1.6</v>
      </c>
      <c r="M35" s="24" t="s">
        <v>44</v>
      </c>
      <c r="N35" s="29" t="str">
        <f t="shared" si="1"/>
        <v>Moderate</v>
      </c>
      <c r="O35" s="25" t="s">
        <v>224</v>
      </c>
      <c r="P35" s="31">
        <v>2.0</v>
      </c>
      <c r="Q35" s="29">
        <f t="shared" si="2"/>
        <v>5</v>
      </c>
      <c r="R35" s="29">
        <f t="shared" si="3"/>
        <v>3</v>
      </c>
      <c r="S35" s="31">
        <v>1.0</v>
      </c>
      <c r="T35" s="31">
        <v>2.0</v>
      </c>
      <c r="U35" s="31">
        <v>3.0</v>
      </c>
      <c r="V35" s="38">
        <f>ROUND((P35*'Business Analysis'!$D$36+Q35*'Business Analysis'!$D$37+R35*'Business Analysis'!$D$38+S35*'Business Analysis'!$D$39+T35*'Business Analysis'!$D$40+U35*'Business Analysis'!$D$41)/5*100,0)</f>
        <v>49</v>
      </c>
      <c r="W35" s="29" t="str">
        <f t="shared" si="4"/>
        <v>Low</v>
      </c>
      <c r="X35" s="25" t="s">
        <v>429</v>
      </c>
      <c r="Y35" s="29" t="s">
        <v>386</v>
      </c>
      <c r="Z35" s="25" t="s">
        <v>157</v>
      </c>
    </row>
    <row r="36" ht="15.75" customHeight="1">
      <c r="A36" s="9" t="s">
        <v>475</v>
      </c>
      <c r="B36" s="10" t="s">
        <v>412</v>
      </c>
      <c r="C36" s="12" t="s">
        <v>380</v>
      </c>
      <c r="D36" s="12" t="s">
        <v>194</v>
      </c>
      <c r="E36" s="15" t="s">
        <v>412</v>
      </c>
      <c r="F36" s="15" t="s">
        <v>413</v>
      </c>
      <c r="G36" s="15" t="s">
        <v>111</v>
      </c>
      <c r="H36" s="16">
        <v>1900.0</v>
      </c>
      <c r="I36" s="10" t="s">
        <v>38</v>
      </c>
      <c r="J36" s="17">
        <v>30.0</v>
      </c>
      <c r="K36" s="10" t="s">
        <v>41</v>
      </c>
      <c r="L36" s="18">
        <v>1.4</v>
      </c>
      <c r="M36" s="10" t="s">
        <v>44</v>
      </c>
      <c r="N36" s="15" t="str">
        <f t="shared" si="1"/>
        <v>Moderate</v>
      </c>
      <c r="O36" s="12" t="s">
        <v>224</v>
      </c>
      <c r="P36" s="17">
        <v>2.0</v>
      </c>
      <c r="Q36" s="15">
        <f t="shared" si="2"/>
        <v>4</v>
      </c>
      <c r="R36" s="15">
        <f t="shared" si="3"/>
        <v>4</v>
      </c>
      <c r="S36" s="17">
        <v>1.0</v>
      </c>
      <c r="T36" s="17">
        <v>2.0</v>
      </c>
      <c r="U36" s="17">
        <v>3.0</v>
      </c>
      <c r="V36" s="21">
        <f>ROUND((P36*'Business Analysis'!$D$36+Q36*'Business Analysis'!$D$37+R36*'Business Analysis'!$D$38+S36*'Business Analysis'!$D$39+T36*'Business Analysis'!$D$40+U36*'Business Analysis'!$D$41)/5*100,0)</f>
        <v>51</v>
      </c>
      <c r="W36" s="15" t="str">
        <f t="shared" si="4"/>
        <v>Low</v>
      </c>
      <c r="X36" s="12" t="s">
        <v>429</v>
      </c>
      <c r="Y36" s="15" t="s">
        <v>386</v>
      </c>
      <c r="Z36" s="12" t="s">
        <v>157</v>
      </c>
    </row>
    <row r="37" ht="15.75" customHeight="1">
      <c r="A37" s="22" t="s">
        <v>492</v>
      </c>
      <c r="B37" s="24" t="s">
        <v>356</v>
      </c>
      <c r="C37" s="25" t="s">
        <v>380</v>
      </c>
      <c r="D37" s="25" t="s">
        <v>194</v>
      </c>
      <c r="E37" s="29" t="s">
        <v>356</v>
      </c>
      <c r="F37" s="29" t="s">
        <v>208</v>
      </c>
      <c r="G37" s="29" t="s">
        <v>111</v>
      </c>
      <c r="H37" s="30">
        <v>2400.0</v>
      </c>
      <c r="I37" s="24" t="s">
        <v>38</v>
      </c>
      <c r="J37" s="31">
        <v>42.0</v>
      </c>
      <c r="K37" s="24" t="s">
        <v>41</v>
      </c>
      <c r="L37" s="32">
        <v>4.1</v>
      </c>
      <c r="M37" s="24" t="s">
        <v>44</v>
      </c>
      <c r="N37" s="29" t="str">
        <f t="shared" si="1"/>
        <v>Competitive</v>
      </c>
      <c r="O37" s="25" t="s">
        <v>493</v>
      </c>
      <c r="P37" s="31">
        <v>3.0</v>
      </c>
      <c r="Q37" s="29">
        <f t="shared" si="2"/>
        <v>5</v>
      </c>
      <c r="R37" s="29">
        <f t="shared" si="3"/>
        <v>3</v>
      </c>
      <c r="S37" s="31">
        <v>3.0</v>
      </c>
      <c r="T37" s="31">
        <v>3.0</v>
      </c>
      <c r="U37" s="31">
        <v>3.0</v>
      </c>
      <c r="V37" s="38">
        <f>ROUND((P37*'Business Analysis'!$D$36+Q37*'Business Analysis'!$D$37+R37*'Business Analysis'!$D$38+S37*'Business Analysis'!$D$39+T37*'Business Analysis'!$D$40+U37*'Business Analysis'!$D$41)/5*100,0)</f>
        <v>64</v>
      </c>
      <c r="W37" s="29" t="str">
        <f t="shared" si="4"/>
        <v>Medium</v>
      </c>
      <c r="X37" s="25" t="s">
        <v>429</v>
      </c>
      <c r="Y37" s="29" t="s">
        <v>386</v>
      </c>
      <c r="Z37" s="25" t="s">
        <v>157</v>
      </c>
    </row>
    <row r="38" ht="15.75" customHeight="1">
      <c r="A38" s="9" t="s">
        <v>203</v>
      </c>
      <c r="B38" s="10" t="s">
        <v>299</v>
      </c>
      <c r="C38" s="12" t="s">
        <v>380</v>
      </c>
      <c r="D38" s="12" t="s">
        <v>202</v>
      </c>
      <c r="E38" s="15" t="s">
        <v>305</v>
      </c>
      <c r="F38" s="15" t="s">
        <v>35</v>
      </c>
      <c r="G38" s="15" t="s">
        <v>36</v>
      </c>
      <c r="H38" s="16">
        <v>390.0</v>
      </c>
      <c r="I38" s="10" t="s">
        <v>38</v>
      </c>
      <c r="J38" s="17">
        <v>44.0</v>
      </c>
      <c r="K38" s="10" t="s">
        <v>41</v>
      </c>
      <c r="L38" s="18">
        <v>6.8</v>
      </c>
      <c r="M38" s="10" t="s">
        <v>44</v>
      </c>
      <c r="N38" s="15" t="str">
        <f t="shared" si="1"/>
        <v>Competitive</v>
      </c>
      <c r="O38" s="12" t="s">
        <v>499</v>
      </c>
      <c r="P38" s="17">
        <v>3.0</v>
      </c>
      <c r="Q38" s="15">
        <f t="shared" si="2"/>
        <v>3</v>
      </c>
      <c r="R38" s="15">
        <f t="shared" si="3"/>
        <v>3</v>
      </c>
      <c r="S38" s="17">
        <v>5.0</v>
      </c>
      <c r="T38" s="17">
        <v>5.0</v>
      </c>
      <c r="U38" s="17">
        <v>4.0</v>
      </c>
      <c r="V38" s="21">
        <f>ROUND((P38*'Business Analysis'!$D$36+Q38*'Business Analysis'!$D$37+R38*'Business Analysis'!$D$38+S38*'Business Analysis'!$D$39+T38*'Business Analysis'!$D$40+U38*'Business Analysis'!$D$41)/5*100,0)</f>
        <v>76</v>
      </c>
      <c r="W38" s="15" t="str">
        <f t="shared" si="4"/>
        <v>High</v>
      </c>
      <c r="X38" s="12" t="s">
        <v>437</v>
      </c>
      <c r="Y38" s="15" t="s">
        <v>386</v>
      </c>
      <c r="Z38" s="12" t="s">
        <v>502</v>
      </c>
    </row>
    <row r="39" ht="15.75" customHeight="1">
      <c r="A39" s="22" t="s">
        <v>505</v>
      </c>
      <c r="B39" s="24" t="s">
        <v>299</v>
      </c>
      <c r="C39" s="25" t="s">
        <v>380</v>
      </c>
      <c r="D39" s="25" t="s">
        <v>202</v>
      </c>
      <c r="E39" s="29" t="s">
        <v>305</v>
      </c>
      <c r="F39" s="29" t="s">
        <v>35</v>
      </c>
      <c r="G39" s="29" t="s">
        <v>111</v>
      </c>
      <c r="H39" s="30">
        <v>320.0</v>
      </c>
      <c r="I39" s="24" t="s">
        <v>38</v>
      </c>
      <c r="J39" s="31">
        <v>43.0</v>
      </c>
      <c r="K39" s="24" t="s">
        <v>41</v>
      </c>
      <c r="L39" s="32">
        <v>6.6</v>
      </c>
      <c r="M39" s="24" t="s">
        <v>44</v>
      </c>
      <c r="N39" s="29" t="str">
        <f t="shared" si="1"/>
        <v>Competitive</v>
      </c>
      <c r="O39" s="25" t="s">
        <v>499</v>
      </c>
      <c r="P39" s="31">
        <v>3.0</v>
      </c>
      <c r="Q39" s="29">
        <f t="shared" si="2"/>
        <v>3</v>
      </c>
      <c r="R39" s="29">
        <f t="shared" si="3"/>
        <v>3</v>
      </c>
      <c r="S39" s="31">
        <v>5.0</v>
      </c>
      <c r="T39" s="31">
        <v>5.0</v>
      </c>
      <c r="U39" s="31">
        <v>3.0</v>
      </c>
      <c r="V39" s="38">
        <f>ROUND((P39*'Business Analysis'!$D$36+Q39*'Business Analysis'!$D$37+R39*'Business Analysis'!$D$38+S39*'Business Analysis'!$D$39+T39*'Business Analysis'!$D$40+U39*'Business Analysis'!$D$41)/5*100,0)</f>
        <v>74</v>
      </c>
      <c r="W39" s="29" t="str">
        <f t="shared" si="4"/>
        <v>Medium</v>
      </c>
      <c r="X39" s="25" t="s">
        <v>437</v>
      </c>
      <c r="Y39" s="29" t="s">
        <v>386</v>
      </c>
      <c r="Z39" s="25" t="s">
        <v>157</v>
      </c>
    </row>
    <row r="40" ht="15.75" customHeight="1">
      <c r="A40" s="9" t="s">
        <v>519</v>
      </c>
      <c r="B40" s="10" t="s">
        <v>299</v>
      </c>
      <c r="C40" s="12" t="s">
        <v>380</v>
      </c>
      <c r="D40" s="12" t="s">
        <v>202</v>
      </c>
      <c r="E40" s="15" t="s">
        <v>305</v>
      </c>
      <c r="F40" s="15" t="s">
        <v>35</v>
      </c>
      <c r="G40" s="15" t="s">
        <v>111</v>
      </c>
      <c r="H40" s="16">
        <v>260.0</v>
      </c>
      <c r="I40" s="10" t="s">
        <v>38</v>
      </c>
      <c r="J40" s="17">
        <v>45.0</v>
      </c>
      <c r="K40" s="10" t="s">
        <v>41</v>
      </c>
      <c r="L40" s="18">
        <v>7.0</v>
      </c>
      <c r="M40" s="10" t="s">
        <v>44</v>
      </c>
      <c r="N40" s="15" t="str">
        <f t="shared" si="1"/>
        <v>Competitive</v>
      </c>
      <c r="O40" s="12" t="s">
        <v>499</v>
      </c>
      <c r="P40" s="17">
        <v>3.0</v>
      </c>
      <c r="Q40" s="15">
        <f t="shared" si="2"/>
        <v>2</v>
      </c>
      <c r="R40" s="15">
        <f t="shared" si="3"/>
        <v>3</v>
      </c>
      <c r="S40" s="17">
        <v>5.0</v>
      </c>
      <c r="T40" s="17">
        <v>5.0</v>
      </c>
      <c r="U40" s="17">
        <v>3.0</v>
      </c>
      <c r="V40" s="21">
        <f>ROUND((P40*'Business Analysis'!$D$36+Q40*'Business Analysis'!$D$37+R40*'Business Analysis'!$D$38+S40*'Business Analysis'!$D$39+T40*'Business Analysis'!$D$40+U40*'Business Analysis'!$D$41)/5*100,0)</f>
        <v>72</v>
      </c>
      <c r="W40" s="15" t="str">
        <f t="shared" si="4"/>
        <v>Medium</v>
      </c>
      <c r="X40" s="12" t="s">
        <v>437</v>
      </c>
      <c r="Y40" s="15" t="s">
        <v>386</v>
      </c>
      <c r="Z40" s="12" t="s">
        <v>157</v>
      </c>
    </row>
    <row r="41" ht="15.75" customHeight="1">
      <c r="A41" s="22" t="s">
        <v>529</v>
      </c>
      <c r="B41" s="24" t="s">
        <v>412</v>
      </c>
      <c r="C41" s="25" t="s">
        <v>380</v>
      </c>
      <c r="D41" s="25" t="s">
        <v>202</v>
      </c>
      <c r="E41" s="29" t="s">
        <v>412</v>
      </c>
      <c r="F41" s="29" t="s">
        <v>413</v>
      </c>
      <c r="G41" s="29" t="s">
        <v>111</v>
      </c>
      <c r="H41" s="30">
        <v>1300.0</v>
      </c>
      <c r="I41" s="24" t="s">
        <v>38</v>
      </c>
      <c r="J41" s="31">
        <v>28.0</v>
      </c>
      <c r="K41" s="24" t="s">
        <v>41</v>
      </c>
      <c r="L41" s="32">
        <v>1.3</v>
      </c>
      <c r="M41" s="24" t="s">
        <v>44</v>
      </c>
      <c r="N41" s="29" t="str">
        <f t="shared" si="1"/>
        <v>Moderate</v>
      </c>
      <c r="O41" s="25" t="s">
        <v>224</v>
      </c>
      <c r="P41" s="31">
        <v>1.0</v>
      </c>
      <c r="Q41" s="29">
        <f t="shared" si="2"/>
        <v>4</v>
      </c>
      <c r="R41" s="29">
        <f t="shared" si="3"/>
        <v>4</v>
      </c>
      <c r="S41" s="31">
        <v>1.0</v>
      </c>
      <c r="T41" s="31">
        <v>1.0</v>
      </c>
      <c r="U41" s="31">
        <v>3.0</v>
      </c>
      <c r="V41" s="38">
        <f>ROUND((P41*'Business Analysis'!$D$36+Q41*'Business Analysis'!$D$37+R41*'Business Analysis'!$D$38+S41*'Business Analysis'!$D$39+T41*'Business Analysis'!$D$40+U41*'Business Analysis'!$D$41)/5*100,0)</f>
        <v>42</v>
      </c>
      <c r="W41" s="29" t="str">
        <f t="shared" si="4"/>
        <v>Low</v>
      </c>
      <c r="X41" s="25" t="s">
        <v>437</v>
      </c>
      <c r="Y41" s="29" t="s">
        <v>386</v>
      </c>
      <c r="Z41" s="25" t="s">
        <v>157</v>
      </c>
    </row>
    <row r="42" ht="15.75" customHeight="1">
      <c r="A42" s="9" t="s">
        <v>211</v>
      </c>
      <c r="B42" s="10" t="s">
        <v>299</v>
      </c>
      <c r="C42" s="12" t="s">
        <v>380</v>
      </c>
      <c r="D42" s="12" t="s">
        <v>210</v>
      </c>
      <c r="E42" s="15" t="s">
        <v>305</v>
      </c>
      <c r="F42" s="15" t="s">
        <v>35</v>
      </c>
      <c r="G42" s="15" t="s">
        <v>36</v>
      </c>
      <c r="H42" s="16">
        <v>390.0</v>
      </c>
      <c r="I42" s="10" t="s">
        <v>38</v>
      </c>
      <c r="J42" s="17">
        <v>46.0</v>
      </c>
      <c r="K42" s="10" t="s">
        <v>41</v>
      </c>
      <c r="L42" s="18">
        <v>14.2</v>
      </c>
      <c r="M42" s="10" t="s">
        <v>44</v>
      </c>
      <c r="N42" s="15" t="str">
        <f t="shared" si="1"/>
        <v>Competitive</v>
      </c>
      <c r="O42" s="12" t="s">
        <v>537</v>
      </c>
      <c r="P42" s="17">
        <v>4.0</v>
      </c>
      <c r="Q42" s="15">
        <f t="shared" si="2"/>
        <v>3</v>
      </c>
      <c r="R42" s="15">
        <f t="shared" si="3"/>
        <v>2</v>
      </c>
      <c r="S42" s="17">
        <v>5.0</v>
      </c>
      <c r="T42" s="17">
        <v>5.0</v>
      </c>
      <c r="U42" s="17">
        <v>4.0</v>
      </c>
      <c r="V42" s="21">
        <f>ROUND((P42*'Business Analysis'!$D$36+Q42*'Business Analysis'!$D$37+R42*'Business Analysis'!$D$38+S42*'Business Analysis'!$D$39+T42*'Business Analysis'!$D$40+U42*'Business Analysis'!$D$41)/5*100,0)</f>
        <v>77</v>
      </c>
      <c r="W42" s="15" t="str">
        <f t="shared" si="4"/>
        <v>High</v>
      </c>
      <c r="X42" s="12" t="s">
        <v>446</v>
      </c>
      <c r="Y42" s="15" t="s">
        <v>386</v>
      </c>
      <c r="Z42" s="12" t="s">
        <v>546</v>
      </c>
    </row>
    <row r="43" ht="15.75" customHeight="1">
      <c r="A43" s="22" t="s">
        <v>547</v>
      </c>
      <c r="B43" s="24" t="s">
        <v>337</v>
      </c>
      <c r="C43" s="25" t="s">
        <v>380</v>
      </c>
      <c r="D43" s="25" t="s">
        <v>210</v>
      </c>
      <c r="E43" s="29" t="s">
        <v>305</v>
      </c>
      <c r="F43" s="29" t="s">
        <v>35</v>
      </c>
      <c r="G43" s="29" t="s">
        <v>111</v>
      </c>
      <c r="H43" s="30">
        <v>210.0</v>
      </c>
      <c r="I43" s="24" t="s">
        <v>38</v>
      </c>
      <c r="J43" s="31">
        <v>42.0</v>
      </c>
      <c r="K43" s="24" t="s">
        <v>41</v>
      </c>
      <c r="L43" s="32">
        <v>13.8</v>
      </c>
      <c r="M43" s="24" t="s">
        <v>44</v>
      </c>
      <c r="N43" s="29" t="str">
        <f t="shared" si="1"/>
        <v>Competitive</v>
      </c>
      <c r="O43" s="25" t="s">
        <v>537</v>
      </c>
      <c r="P43" s="31">
        <v>4.0</v>
      </c>
      <c r="Q43" s="29">
        <f t="shared" si="2"/>
        <v>2</v>
      </c>
      <c r="R43" s="29">
        <f t="shared" si="3"/>
        <v>3</v>
      </c>
      <c r="S43" s="31">
        <v>5.0</v>
      </c>
      <c r="T43" s="31">
        <v>5.0</v>
      </c>
      <c r="U43" s="31">
        <v>3.0</v>
      </c>
      <c r="V43" s="38">
        <f>ROUND((P43*'Business Analysis'!$D$36+Q43*'Business Analysis'!$D$37+R43*'Business Analysis'!$D$38+S43*'Business Analysis'!$D$39+T43*'Business Analysis'!$D$40+U43*'Business Analysis'!$D$41)/5*100,0)</f>
        <v>77</v>
      </c>
      <c r="W43" s="29" t="str">
        <f t="shared" si="4"/>
        <v>High</v>
      </c>
      <c r="X43" s="25" t="s">
        <v>446</v>
      </c>
      <c r="Y43" s="29" t="s">
        <v>386</v>
      </c>
      <c r="Z43" s="25" t="s">
        <v>157</v>
      </c>
    </row>
    <row r="44" ht="15.75" customHeight="1">
      <c r="A44" s="9" t="s">
        <v>560</v>
      </c>
      <c r="B44" s="10" t="s">
        <v>299</v>
      </c>
      <c r="C44" s="12" t="s">
        <v>380</v>
      </c>
      <c r="D44" s="12" t="s">
        <v>210</v>
      </c>
      <c r="E44" s="15" t="s">
        <v>305</v>
      </c>
      <c r="F44" s="15" t="s">
        <v>35</v>
      </c>
      <c r="G44" s="15" t="s">
        <v>111</v>
      </c>
      <c r="H44" s="16">
        <v>90.0</v>
      </c>
      <c r="I44" s="10" t="s">
        <v>38</v>
      </c>
      <c r="J44" s="17">
        <v>30.0</v>
      </c>
      <c r="K44" s="10" t="s">
        <v>41</v>
      </c>
      <c r="L44" s="18">
        <v>11.5</v>
      </c>
      <c r="M44" s="10" t="s">
        <v>44</v>
      </c>
      <c r="N44" s="15" t="str">
        <f t="shared" si="1"/>
        <v>Moderate</v>
      </c>
      <c r="O44" s="12" t="s">
        <v>537</v>
      </c>
      <c r="P44" s="17">
        <v>4.0</v>
      </c>
      <c r="Q44" s="15">
        <f t="shared" si="2"/>
        <v>1</v>
      </c>
      <c r="R44" s="15">
        <f t="shared" si="3"/>
        <v>4</v>
      </c>
      <c r="S44" s="17">
        <v>5.0</v>
      </c>
      <c r="T44" s="17">
        <v>5.0</v>
      </c>
      <c r="U44" s="17">
        <v>3.0</v>
      </c>
      <c r="V44" s="21">
        <f>ROUND((P44*'Business Analysis'!$D$36+Q44*'Business Analysis'!$D$37+R44*'Business Analysis'!$D$38+S44*'Business Analysis'!$D$39+T44*'Business Analysis'!$D$40+U44*'Business Analysis'!$D$41)/5*100,0)</f>
        <v>79</v>
      </c>
      <c r="W44" s="15" t="str">
        <f t="shared" si="4"/>
        <v>High</v>
      </c>
      <c r="X44" s="12" t="s">
        <v>446</v>
      </c>
      <c r="Y44" s="15" t="s">
        <v>386</v>
      </c>
      <c r="Z44" s="12" t="s">
        <v>157</v>
      </c>
    </row>
    <row r="45" ht="15.75" customHeight="1">
      <c r="A45" s="22" t="s">
        <v>564</v>
      </c>
      <c r="B45" s="24" t="s">
        <v>565</v>
      </c>
      <c r="C45" s="25" t="s">
        <v>380</v>
      </c>
      <c r="D45" s="25" t="s">
        <v>210</v>
      </c>
      <c r="E45" s="29" t="s">
        <v>305</v>
      </c>
      <c r="F45" s="29" t="s">
        <v>35</v>
      </c>
      <c r="G45" s="29" t="s">
        <v>111</v>
      </c>
      <c r="H45" s="30">
        <v>70.0</v>
      </c>
      <c r="I45" s="24" t="s">
        <v>38</v>
      </c>
      <c r="J45" s="31">
        <v>28.0</v>
      </c>
      <c r="K45" s="24" t="s">
        <v>41</v>
      </c>
      <c r="L45" s="32">
        <v>9.6</v>
      </c>
      <c r="M45" s="24" t="s">
        <v>44</v>
      </c>
      <c r="N45" s="29" t="str">
        <f t="shared" si="1"/>
        <v>Moderate</v>
      </c>
      <c r="O45" s="25" t="s">
        <v>537</v>
      </c>
      <c r="P45" s="31">
        <v>4.0</v>
      </c>
      <c r="Q45" s="29">
        <f t="shared" si="2"/>
        <v>1</v>
      </c>
      <c r="R45" s="29">
        <f t="shared" si="3"/>
        <v>4</v>
      </c>
      <c r="S45" s="31">
        <v>5.0</v>
      </c>
      <c r="T45" s="31">
        <v>5.0</v>
      </c>
      <c r="U45" s="31">
        <v>3.0</v>
      </c>
      <c r="V45" s="38">
        <f>ROUND((P45*'Business Analysis'!$D$36+Q45*'Business Analysis'!$D$37+R45*'Business Analysis'!$D$38+S45*'Business Analysis'!$D$39+T45*'Business Analysis'!$D$40+U45*'Business Analysis'!$D$41)/5*100,0)</f>
        <v>79</v>
      </c>
      <c r="W45" s="29" t="str">
        <f t="shared" si="4"/>
        <v>High</v>
      </c>
      <c r="X45" s="25" t="s">
        <v>446</v>
      </c>
      <c r="Y45" s="29" t="s">
        <v>386</v>
      </c>
      <c r="Z45" s="25" t="s">
        <v>157</v>
      </c>
    </row>
    <row r="46" ht="15.75" customHeight="1">
      <c r="A46" s="9" t="s">
        <v>570</v>
      </c>
      <c r="B46" s="10" t="s">
        <v>565</v>
      </c>
      <c r="C46" s="12" t="s">
        <v>380</v>
      </c>
      <c r="D46" s="12" t="s">
        <v>210</v>
      </c>
      <c r="E46" s="15" t="s">
        <v>305</v>
      </c>
      <c r="F46" s="15" t="s">
        <v>35</v>
      </c>
      <c r="G46" s="15" t="s">
        <v>111</v>
      </c>
      <c r="H46" s="16">
        <v>60.0</v>
      </c>
      <c r="I46" s="10" t="s">
        <v>38</v>
      </c>
      <c r="J46" s="17">
        <v>26.0</v>
      </c>
      <c r="K46" s="10" t="s">
        <v>41</v>
      </c>
      <c r="L46" s="18">
        <v>9.2</v>
      </c>
      <c r="M46" s="10" t="s">
        <v>44</v>
      </c>
      <c r="N46" s="15" t="str">
        <f t="shared" si="1"/>
        <v>Moderate</v>
      </c>
      <c r="O46" s="12" t="s">
        <v>537</v>
      </c>
      <c r="P46" s="17">
        <v>4.0</v>
      </c>
      <c r="Q46" s="15">
        <f t="shared" si="2"/>
        <v>1</v>
      </c>
      <c r="R46" s="15">
        <f t="shared" si="3"/>
        <v>4</v>
      </c>
      <c r="S46" s="17">
        <v>5.0</v>
      </c>
      <c r="T46" s="17">
        <v>5.0</v>
      </c>
      <c r="U46" s="17">
        <v>3.0</v>
      </c>
      <c r="V46" s="21">
        <f>ROUND((P46*'Business Analysis'!$D$36+Q46*'Business Analysis'!$D$37+R46*'Business Analysis'!$D$38+S46*'Business Analysis'!$D$39+T46*'Business Analysis'!$D$40+U46*'Business Analysis'!$D$41)/5*100,0)</f>
        <v>79</v>
      </c>
      <c r="W46" s="15" t="str">
        <f t="shared" si="4"/>
        <v>High</v>
      </c>
      <c r="X46" s="12" t="s">
        <v>446</v>
      </c>
      <c r="Y46" s="15" t="s">
        <v>386</v>
      </c>
      <c r="Z46" s="12" t="s">
        <v>157</v>
      </c>
    </row>
    <row r="47" ht="15.75" customHeight="1">
      <c r="A47" s="22" t="s">
        <v>578</v>
      </c>
      <c r="B47" s="24" t="s">
        <v>565</v>
      </c>
      <c r="C47" s="25" t="s">
        <v>380</v>
      </c>
      <c r="D47" s="25" t="s">
        <v>210</v>
      </c>
      <c r="E47" s="29" t="s">
        <v>305</v>
      </c>
      <c r="F47" s="29" t="s">
        <v>35</v>
      </c>
      <c r="G47" s="29" t="s">
        <v>111</v>
      </c>
      <c r="H47" s="30">
        <v>50.0</v>
      </c>
      <c r="I47" s="24" t="s">
        <v>38</v>
      </c>
      <c r="J47" s="31">
        <v>25.0</v>
      </c>
      <c r="K47" s="24" t="s">
        <v>41</v>
      </c>
      <c r="L47" s="32">
        <v>8.9</v>
      </c>
      <c r="M47" s="24" t="s">
        <v>44</v>
      </c>
      <c r="N47" s="29" t="str">
        <f t="shared" si="1"/>
        <v>Moderate</v>
      </c>
      <c r="O47" s="25" t="s">
        <v>537</v>
      </c>
      <c r="P47" s="31">
        <v>4.0</v>
      </c>
      <c r="Q47" s="29">
        <f t="shared" si="2"/>
        <v>1</v>
      </c>
      <c r="R47" s="29">
        <f t="shared" si="3"/>
        <v>5</v>
      </c>
      <c r="S47" s="31">
        <v>5.0</v>
      </c>
      <c r="T47" s="31">
        <v>5.0</v>
      </c>
      <c r="U47" s="31">
        <v>3.0</v>
      </c>
      <c r="V47" s="38">
        <f>ROUND((P47*'Business Analysis'!$D$36+Q47*'Business Analysis'!$D$37+R47*'Business Analysis'!$D$38+S47*'Business Analysis'!$D$39+T47*'Business Analysis'!$D$40+U47*'Business Analysis'!$D$41)/5*100,0)</f>
        <v>83</v>
      </c>
      <c r="W47" s="29" t="str">
        <f t="shared" si="4"/>
        <v>High</v>
      </c>
      <c r="X47" s="25" t="s">
        <v>446</v>
      </c>
      <c r="Y47" s="29" t="s">
        <v>386</v>
      </c>
      <c r="Z47" s="25" t="s">
        <v>157</v>
      </c>
    </row>
    <row r="48" ht="15.75" customHeight="1">
      <c r="A48" s="9" t="s">
        <v>580</v>
      </c>
      <c r="B48" s="10" t="s">
        <v>565</v>
      </c>
      <c r="C48" s="12" t="s">
        <v>380</v>
      </c>
      <c r="D48" s="12" t="s">
        <v>210</v>
      </c>
      <c r="E48" s="15" t="s">
        <v>412</v>
      </c>
      <c r="F48" s="15" t="s">
        <v>413</v>
      </c>
      <c r="G48" s="15" t="s">
        <v>111</v>
      </c>
      <c r="H48" s="16">
        <v>2900.0</v>
      </c>
      <c r="I48" s="10" t="s">
        <v>38</v>
      </c>
      <c r="J48" s="17">
        <v>34.0</v>
      </c>
      <c r="K48" s="10" t="s">
        <v>41</v>
      </c>
      <c r="L48" s="18">
        <v>1.8</v>
      </c>
      <c r="M48" s="10" t="s">
        <v>44</v>
      </c>
      <c r="N48" s="15" t="str">
        <f t="shared" si="1"/>
        <v>Moderate</v>
      </c>
      <c r="O48" s="12" t="s">
        <v>224</v>
      </c>
      <c r="P48" s="17">
        <v>2.0</v>
      </c>
      <c r="Q48" s="15">
        <f t="shared" si="2"/>
        <v>5</v>
      </c>
      <c r="R48" s="15">
        <f t="shared" si="3"/>
        <v>4</v>
      </c>
      <c r="S48" s="17">
        <v>2.0</v>
      </c>
      <c r="T48" s="17">
        <v>2.0</v>
      </c>
      <c r="U48" s="17">
        <v>3.0</v>
      </c>
      <c r="V48" s="21">
        <f>ROUND((P48*'Business Analysis'!$D$36+Q48*'Business Analysis'!$D$37+R48*'Business Analysis'!$D$38+S48*'Business Analysis'!$D$39+T48*'Business Analysis'!$D$40+U48*'Business Analysis'!$D$41)/5*100,0)</f>
        <v>56</v>
      </c>
      <c r="W48" s="15" t="str">
        <f t="shared" si="4"/>
        <v>Low</v>
      </c>
      <c r="X48" s="12" t="s">
        <v>446</v>
      </c>
      <c r="Y48" s="15" t="s">
        <v>386</v>
      </c>
      <c r="Z48" s="12" t="s">
        <v>157</v>
      </c>
    </row>
    <row r="49" ht="15.75" customHeight="1">
      <c r="A49" s="22" t="s">
        <v>592</v>
      </c>
      <c r="B49" s="24" t="s">
        <v>565</v>
      </c>
      <c r="C49" s="25" t="s">
        <v>380</v>
      </c>
      <c r="D49" s="25" t="s">
        <v>210</v>
      </c>
      <c r="E49" s="29" t="s">
        <v>412</v>
      </c>
      <c r="F49" s="29" t="s">
        <v>413</v>
      </c>
      <c r="G49" s="29" t="s">
        <v>111</v>
      </c>
      <c r="H49" s="30">
        <v>3600.0</v>
      </c>
      <c r="I49" s="24" t="s">
        <v>38</v>
      </c>
      <c r="J49" s="31">
        <v>36.0</v>
      </c>
      <c r="K49" s="24" t="s">
        <v>41</v>
      </c>
      <c r="L49" s="32">
        <v>1.5</v>
      </c>
      <c r="M49" s="24" t="s">
        <v>44</v>
      </c>
      <c r="N49" s="29" t="str">
        <f t="shared" si="1"/>
        <v>Moderate</v>
      </c>
      <c r="O49" s="25" t="s">
        <v>224</v>
      </c>
      <c r="P49" s="31">
        <v>2.0</v>
      </c>
      <c r="Q49" s="29">
        <f t="shared" si="2"/>
        <v>5</v>
      </c>
      <c r="R49" s="29">
        <f t="shared" si="3"/>
        <v>3</v>
      </c>
      <c r="S49" s="31">
        <v>2.0</v>
      </c>
      <c r="T49" s="31">
        <v>2.0</v>
      </c>
      <c r="U49" s="31">
        <v>3.0</v>
      </c>
      <c r="V49" s="38">
        <f>ROUND((P49*'Business Analysis'!$D$36+Q49*'Business Analysis'!$D$37+R49*'Business Analysis'!$D$38+S49*'Business Analysis'!$D$39+T49*'Business Analysis'!$D$40+U49*'Business Analysis'!$D$41)/5*100,0)</f>
        <v>52</v>
      </c>
      <c r="W49" s="29" t="str">
        <f t="shared" si="4"/>
        <v>Low</v>
      </c>
      <c r="X49" s="25" t="s">
        <v>446</v>
      </c>
      <c r="Y49" s="29" t="s">
        <v>386</v>
      </c>
      <c r="Z49" s="25" t="s">
        <v>157</v>
      </c>
    </row>
    <row r="50" ht="15.75" customHeight="1">
      <c r="A50" s="9" t="s">
        <v>219</v>
      </c>
      <c r="B50" s="10" t="s">
        <v>299</v>
      </c>
      <c r="C50" s="12" t="s">
        <v>462</v>
      </c>
      <c r="D50" s="12" t="s">
        <v>218</v>
      </c>
      <c r="E50" s="15" t="s">
        <v>305</v>
      </c>
      <c r="F50" s="15" t="s">
        <v>35</v>
      </c>
      <c r="G50" s="15" t="s">
        <v>36</v>
      </c>
      <c r="H50" s="16">
        <v>480.0</v>
      </c>
      <c r="I50" s="10" t="s">
        <v>38</v>
      </c>
      <c r="J50" s="17">
        <v>38.0</v>
      </c>
      <c r="K50" s="10" t="s">
        <v>41</v>
      </c>
      <c r="L50" s="18">
        <v>14.5</v>
      </c>
      <c r="M50" s="10" t="s">
        <v>44</v>
      </c>
      <c r="N50" s="15" t="str">
        <f t="shared" si="1"/>
        <v>Moderate</v>
      </c>
      <c r="O50" s="12" t="s">
        <v>598</v>
      </c>
      <c r="P50" s="17">
        <v>5.0</v>
      </c>
      <c r="Q50" s="15">
        <f t="shared" si="2"/>
        <v>3</v>
      </c>
      <c r="R50" s="15">
        <f t="shared" si="3"/>
        <v>3</v>
      </c>
      <c r="S50" s="17">
        <v>5.0</v>
      </c>
      <c r="T50" s="17">
        <v>5.0</v>
      </c>
      <c r="U50" s="17">
        <v>5.0</v>
      </c>
      <c r="V50" s="21">
        <f>ROUND((P50*'Business Analysis'!$D$36+Q50*'Business Analysis'!$D$37+R50*'Business Analysis'!$D$38+S50*'Business Analysis'!$D$39+T50*'Business Analysis'!$D$40+U50*'Business Analysis'!$D$41)/5*100,0)</f>
        <v>88</v>
      </c>
      <c r="W50" s="15" t="str">
        <f t="shared" si="4"/>
        <v>High</v>
      </c>
      <c r="X50" s="12" t="s">
        <v>222</v>
      </c>
      <c r="Y50" s="15" t="s">
        <v>77</v>
      </c>
      <c r="Z50" s="12" t="s">
        <v>600</v>
      </c>
    </row>
    <row r="51" ht="15.75" customHeight="1">
      <c r="A51" s="22" t="s">
        <v>601</v>
      </c>
      <c r="B51" s="24" t="s">
        <v>299</v>
      </c>
      <c r="C51" s="25" t="s">
        <v>462</v>
      </c>
      <c r="D51" s="25" t="s">
        <v>218</v>
      </c>
      <c r="E51" s="29" t="s">
        <v>305</v>
      </c>
      <c r="F51" s="29" t="s">
        <v>35</v>
      </c>
      <c r="G51" s="29" t="s">
        <v>111</v>
      </c>
      <c r="H51" s="30">
        <v>170.0</v>
      </c>
      <c r="I51" s="24" t="s">
        <v>38</v>
      </c>
      <c r="J51" s="31">
        <v>36.0</v>
      </c>
      <c r="K51" s="24" t="s">
        <v>41</v>
      </c>
      <c r="L51" s="32">
        <v>14.0</v>
      </c>
      <c r="M51" s="24" t="s">
        <v>44</v>
      </c>
      <c r="N51" s="29" t="str">
        <f t="shared" si="1"/>
        <v>Moderate</v>
      </c>
      <c r="O51" s="25" t="s">
        <v>598</v>
      </c>
      <c r="P51" s="31">
        <v>5.0</v>
      </c>
      <c r="Q51" s="29">
        <f t="shared" si="2"/>
        <v>2</v>
      </c>
      <c r="R51" s="29">
        <f t="shared" si="3"/>
        <v>3</v>
      </c>
      <c r="S51" s="31">
        <v>5.0</v>
      </c>
      <c r="T51" s="31">
        <v>5.0</v>
      </c>
      <c r="U51" s="31">
        <v>5.0</v>
      </c>
      <c r="V51" s="38">
        <f>ROUND((P51*'Business Analysis'!$D$36+Q51*'Business Analysis'!$D$37+R51*'Business Analysis'!$D$38+S51*'Business Analysis'!$D$39+T51*'Business Analysis'!$D$40+U51*'Business Analysis'!$D$41)/5*100,0)</f>
        <v>86</v>
      </c>
      <c r="W51" s="29" t="str">
        <f t="shared" si="4"/>
        <v>High</v>
      </c>
      <c r="X51" s="25" t="s">
        <v>222</v>
      </c>
      <c r="Y51" s="29" t="s">
        <v>77</v>
      </c>
      <c r="Z51" s="25" t="s">
        <v>157</v>
      </c>
    </row>
    <row r="52" ht="15.75" customHeight="1">
      <c r="A52" s="9" t="s">
        <v>603</v>
      </c>
      <c r="B52" s="10" t="s">
        <v>299</v>
      </c>
      <c r="C52" s="12" t="s">
        <v>462</v>
      </c>
      <c r="D52" s="12" t="s">
        <v>218</v>
      </c>
      <c r="E52" s="15" t="s">
        <v>305</v>
      </c>
      <c r="F52" s="15" t="s">
        <v>35</v>
      </c>
      <c r="G52" s="15" t="s">
        <v>111</v>
      </c>
      <c r="H52" s="16">
        <v>90.0</v>
      </c>
      <c r="I52" s="10" t="s">
        <v>38</v>
      </c>
      <c r="J52" s="17">
        <v>30.0</v>
      </c>
      <c r="K52" s="10" t="s">
        <v>41</v>
      </c>
      <c r="L52" s="18">
        <v>13.2</v>
      </c>
      <c r="M52" s="10" t="s">
        <v>44</v>
      </c>
      <c r="N52" s="15" t="str">
        <f t="shared" si="1"/>
        <v>Moderate</v>
      </c>
      <c r="O52" s="12" t="s">
        <v>598</v>
      </c>
      <c r="P52" s="17">
        <v>5.0</v>
      </c>
      <c r="Q52" s="15">
        <f t="shared" si="2"/>
        <v>1</v>
      </c>
      <c r="R52" s="15">
        <f t="shared" si="3"/>
        <v>4</v>
      </c>
      <c r="S52" s="17">
        <v>5.0</v>
      </c>
      <c r="T52" s="17">
        <v>5.0</v>
      </c>
      <c r="U52" s="17">
        <v>5.0</v>
      </c>
      <c r="V52" s="21">
        <f>ROUND((P52*'Business Analysis'!$D$36+Q52*'Business Analysis'!$D$37+R52*'Business Analysis'!$D$38+S52*'Business Analysis'!$D$39+T52*'Business Analysis'!$D$40+U52*'Business Analysis'!$D$41)/5*100,0)</f>
        <v>88</v>
      </c>
      <c r="W52" s="15" t="str">
        <f t="shared" si="4"/>
        <v>High</v>
      </c>
      <c r="X52" s="12" t="s">
        <v>222</v>
      </c>
      <c r="Y52" s="15" t="s">
        <v>77</v>
      </c>
      <c r="Z52" s="12" t="s">
        <v>157</v>
      </c>
    </row>
    <row r="53" ht="15.75" customHeight="1">
      <c r="A53" s="22" t="s">
        <v>610</v>
      </c>
      <c r="B53" s="24" t="s">
        <v>337</v>
      </c>
      <c r="C53" s="25" t="s">
        <v>462</v>
      </c>
      <c r="D53" s="25" t="s">
        <v>218</v>
      </c>
      <c r="E53" s="29" t="s">
        <v>305</v>
      </c>
      <c r="F53" s="29" t="s">
        <v>35</v>
      </c>
      <c r="G53" s="29" t="s">
        <v>111</v>
      </c>
      <c r="H53" s="30">
        <v>140.0</v>
      </c>
      <c r="I53" s="24" t="s">
        <v>38</v>
      </c>
      <c r="J53" s="31">
        <v>37.0</v>
      </c>
      <c r="K53" s="24" t="s">
        <v>41</v>
      </c>
      <c r="L53" s="32">
        <v>14.3</v>
      </c>
      <c r="M53" s="24" t="s">
        <v>44</v>
      </c>
      <c r="N53" s="29" t="str">
        <f t="shared" si="1"/>
        <v>Moderate</v>
      </c>
      <c r="O53" s="25" t="s">
        <v>598</v>
      </c>
      <c r="P53" s="31">
        <v>5.0</v>
      </c>
      <c r="Q53" s="29">
        <f t="shared" si="2"/>
        <v>2</v>
      </c>
      <c r="R53" s="29">
        <f t="shared" si="3"/>
        <v>3</v>
      </c>
      <c r="S53" s="31">
        <v>5.0</v>
      </c>
      <c r="T53" s="31">
        <v>5.0</v>
      </c>
      <c r="U53" s="31">
        <v>5.0</v>
      </c>
      <c r="V53" s="38">
        <f>ROUND((P53*'Business Analysis'!$D$36+Q53*'Business Analysis'!$D$37+R53*'Business Analysis'!$D$38+S53*'Business Analysis'!$D$39+T53*'Business Analysis'!$D$40+U53*'Business Analysis'!$D$41)/5*100,0)</f>
        <v>86</v>
      </c>
      <c r="W53" s="29" t="str">
        <f t="shared" si="4"/>
        <v>High</v>
      </c>
      <c r="X53" s="25" t="s">
        <v>222</v>
      </c>
      <c r="Y53" s="29" t="s">
        <v>77</v>
      </c>
      <c r="Z53" s="25" t="s">
        <v>157</v>
      </c>
    </row>
    <row r="54" ht="15.75" customHeight="1">
      <c r="A54" s="9" t="s">
        <v>612</v>
      </c>
      <c r="B54" s="10" t="s">
        <v>337</v>
      </c>
      <c r="C54" s="12" t="s">
        <v>462</v>
      </c>
      <c r="D54" s="12" t="s">
        <v>218</v>
      </c>
      <c r="E54" s="15" t="s">
        <v>305</v>
      </c>
      <c r="F54" s="15" t="s">
        <v>35</v>
      </c>
      <c r="G54" s="15" t="s">
        <v>111</v>
      </c>
      <c r="H54" s="16">
        <v>210.0</v>
      </c>
      <c r="I54" s="10" t="s">
        <v>38</v>
      </c>
      <c r="J54" s="17">
        <v>38.0</v>
      </c>
      <c r="K54" s="10" t="s">
        <v>41</v>
      </c>
      <c r="L54" s="18">
        <v>14.1</v>
      </c>
      <c r="M54" s="10" t="s">
        <v>44</v>
      </c>
      <c r="N54" s="15" t="str">
        <f t="shared" si="1"/>
        <v>Moderate</v>
      </c>
      <c r="O54" s="12" t="s">
        <v>598</v>
      </c>
      <c r="P54" s="17">
        <v>5.0</v>
      </c>
      <c r="Q54" s="15">
        <f t="shared" si="2"/>
        <v>2</v>
      </c>
      <c r="R54" s="15">
        <f t="shared" si="3"/>
        <v>3</v>
      </c>
      <c r="S54" s="17">
        <v>5.0</v>
      </c>
      <c r="T54" s="17">
        <v>5.0</v>
      </c>
      <c r="U54" s="17">
        <v>5.0</v>
      </c>
      <c r="V54" s="21">
        <f>ROUND((P54*'Business Analysis'!$D$36+Q54*'Business Analysis'!$D$37+R54*'Business Analysis'!$D$38+S54*'Business Analysis'!$D$39+T54*'Business Analysis'!$D$40+U54*'Business Analysis'!$D$41)/5*100,0)</f>
        <v>86</v>
      </c>
      <c r="W54" s="15" t="str">
        <f t="shared" si="4"/>
        <v>High</v>
      </c>
      <c r="X54" s="12" t="s">
        <v>222</v>
      </c>
      <c r="Y54" s="15" t="s">
        <v>77</v>
      </c>
      <c r="Z54" s="12" t="s">
        <v>157</v>
      </c>
    </row>
    <row r="55" ht="15.75" customHeight="1">
      <c r="A55" s="22" t="s">
        <v>615</v>
      </c>
      <c r="B55" s="24" t="s">
        <v>356</v>
      </c>
      <c r="C55" s="25" t="s">
        <v>462</v>
      </c>
      <c r="D55" s="25" t="s">
        <v>218</v>
      </c>
      <c r="E55" s="29" t="s">
        <v>356</v>
      </c>
      <c r="F55" s="29" t="s">
        <v>208</v>
      </c>
      <c r="G55" s="29" t="s">
        <v>111</v>
      </c>
      <c r="H55" s="30">
        <v>110.0</v>
      </c>
      <c r="I55" s="24" t="s">
        <v>38</v>
      </c>
      <c r="J55" s="31">
        <v>35.0</v>
      </c>
      <c r="K55" s="24" t="s">
        <v>41</v>
      </c>
      <c r="L55" s="32">
        <v>12.6</v>
      </c>
      <c r="M55" s="24" t="s">
        <v>44</v>
      </c>
      <c r="N55" s="29" t="str">
        <f t="shared" si="1"/>
        <v>Moderate</v>
      </c>
      <c r="O55" s="25" t="s">
        <v>598</v>
      </c>
      <c r="P55" s="31">
        <v>4.0</v>
      </c>
      <c r="Q55" s="29">
        <f t="shared" si="2"/>
        <v>2</v>
      </c>
      <c r="R55" s="29">
        <f t="shared" si="3"/>
        <v>4</v>
      </c>
      <c r="S55" s="31">
        <v>4.0</v>
      </c>
      <c r="T55" s="31">
        <v>4.0</v>
      </c>
      <c r="U55" s="31">
        <v>5.0</v>
      </c>
      <c r="V55" s="38">
        <f>ROUND((P55*'Business Analysis'!$D$36+Q55*'Business Analysis'!$D$37+R55*'Business Analysis'!$D$38+S55*'Business Analysis'!$D$39+T55*'Business Analysis'!$D$40+U55*'Business Analysis'!$D$41)/5*100,0)</f>
        <v>78</v>
      </c>
      <c r="W55" s="29" t="str">
        <f t="shared" si="4"/>
        <v>High</v>
      </c>
      <c r="X55" s="25" t="s">
        <v>222</v>
      </c>
      <c r="Y55" s="29" t="s">
        <v>77</v>
      </c>
      <c r="Z55" s="25" t="s">
        <v>157</v>
      </c>
    </row>
    <row r="56" ht="15.75" customHeight="1">
      <c r="A56" s="9" t="s">
        <v>621</v>
      </c>
      <c r="B56" s="10" t="s">
        <v>337</v>
      </c>
      <c r="C56" s="12" t="s">
        <v>462</v>
      </c>
      <c r="D56" s="12" t="s">
        <v>218</v>
      </c>
      <c r="E56" s="15" t="s">
        <v>305</v>
      </c>
      <c r="F56" s="15" t="s">
        <v>35</v>
      </c>
      <c r="G56" s="15" t="s">
        <v>111</v>
      </c>
      <c r="H56" s="16">
        <v>90.0</v>
      </c>
      <c r="I56" s="10" t="s">
        <v>38</v>
      </c>
      <c r="J56" s="17">
        <v>36.0</v>
      </c>
      <c r="K56" s="10" t="s">
        <v>41</v>
      </c>
      <c r="L56" s="18">
        <v>14.2</v>
      </c>
      <c r="M56" s="10" t="s">
        <v>44</v>
      </c>
      <c r="N56" s="15" t="str">
        <f t="shared" si="1"/>
        <v>Moderate</v>
      </c>
      <c r="O56" s="12" t="s">
        <v>598</v>
      </c>
      <c r="P56" s="17">
        <v>5.0</v>
      </c>
      <c r="Q56" s="15">
        <f t="shared" si="2"/>
        <v>1</v>
      </c>
      <c r="R56" s="15">
        <f t="shared" si="3"/>
        <v>3</v>
      </c>
      <c r="S56" s="17">
        <v>5.0</v>
      </c>
      <c r="T56" s="17">
        <v>5.0</v>
      </c>
      <c r="U56" s="17">
        <v>5.0</v>
      </c>
      <c r="V56" s="21">
        <f>ROUND((P56*'Business Analysis'!$D$36+Q56*'Business Analysis'!$D$37+R56*'Business Analysis'!$D$38+S56*'Business Analysis'!$D$39+T56*'Business Analysis'!$D$40+U56*'Business Analysis'!$D$41)/5*100,0)</f>
        <v>84</v>
      </c>
      <c r="W56" s="15" t="str">
        <f t="shared" si="4"/>
        <v>High</v>
      </c>
      <c r="X56" s="12" t="s">
        <v>222</v>
      </c>
      <c r="Y56" s="15" t="s">
        <v>77</v>
      </c>
      <c r="Z56" s="12" t="s">
        <v>157</v>
      </c>
    </row>
    <row r="57" ht="15.75" customHeight="1">
      <c r="A57" s="22" t="s">
        <v>625</v>
      </c>
      <c r="B57" s="24" t="s">
        <v>299</v>
      </c>
      <c r="C57" s="25" t="s">
        <v>462</v>
      </c>
      <c r="D57" s="25" t="s">
        <v>218</v>
      </c>
      <c r="E57" s="29" t="s">
        <v>305</v>
      </c>
      <c r="F57" s="29" t="s">
        <v>35</v>
      </c>
      <c r="G57" s="29" t="s">
        <v>111</v>
      </c>
      <c r="H57" s="30">
        <v>40.0</v>
      </c>
      <c r="I57" s="24" t="s">
        <v>38</v>
      </c>
      <c r="J57" s="31">
        <v>24.0</v>
      </c>
      <c r="K57" s="24" t="s">
        <v>41</v>
      </c>
      <c r="L57" s="32">
        <v>12.8</v>
      </c>
      <c r="M57" s="24" t="s">
        <v>44</v>
      </c>
      <c r="N57" s="29" t="str">
        <f t="shared" si="1"/>
        <v>Moderate</v>
      </c>
      <c r="O57" s="25" t="s">
        <v>598</v>
      </c>
      <c r="P57" s="31">
        <v>5.0</v>
      </c>
      <c r="Q57" s="29">
        <f t="shared" si="2"/>
        <v>1</v>
      </c>
      <c r="R57" s="29">
        <f t="shared" si="3"/>
        <v>5</v>
      </c>
      <c r="S57" s="31">
        <v>5.0</v>
      </c>
      <c r="T57" s="31">
        <v>5.0</v>
      </c>
      <c r="U57" s="31">
        <v>5.0</v>
      </c>
      <c r="V57" s="38">
        <f>ROUND((P57*'Business Analysis'!$D$36+Q57*'Business Analysis'!$D$37+R57*'Business Analysis'!$D$38+S57*'Business Analysis'!$D$39+T57*'Business Analysis'!$D$40+U57*'Business Analysis'!$D$41)/5*100,0)</f>
        <v>92</v>
      </c>
      <c r="W57" s="29" t="str">
        <f t="shared" si="4"/>
        <v>Critical</v>
      </c>
      <c r="X57" s="25" t="s">
        <v>222</v>
      </c>
      <c r="Y57" s="29" t="s">
        <v>77</v>
      </c>
      <c r="Z57" s="25" t="s">
        <v>157</v>
      </c>
    </row>
    <row r="58" ht="15.75" customHeight="1">
      <c r="A58" s="9" t="s">
        <v>226</v>
      </c>
      <c r="B58" s="10" t="s">
        <v>305</v>
      </c>
      <c r="C58" s="12" t="s">
        <v>462</v>
      </c>
      <c r="D58" s="12" t="s">
        <v>225</v>
      </c>
      <c r="E58" s="15" t="s">
        <v>305</v>
      </c>
      <c r="F58" s="15" t="s">
        <v>35</v>
      </c>
      <c r="G58" s="15" t="s">
        <v>36</v>
      </c>
      <c r="H58" s="16">
        <v>170.0</v>
      </c>
      <c r="I58" s="10" t="s">
        <v>38</v>
      </c>
      <c r="J58" s="17">
        <v>32.0</v>
      </c>
      <c r="K58" s="10" t="s">
        <v>41</v>
      </c>
      <c r="L58" s="18">
        <v>12.1</v>
      </c>
      <c r="M58" s="10" t="s">
        <v>44</v>
      </c>
      <c r="N58" s="15" t="str">
        <f t="shared" si="1"/>
        <v>Moderate</v>
      </c>
      <c r="O58" s="12" t="s">
        <v>314</v>
      </c>
      <c r="P58" s="17">
        <v>5.0</v>
      </c>
      <c r="Q58" s="15">
        <f t="shared" si="2"/>
        <v>2</v>
      </c>
      <c r="R58" s="15">
        <f t="shared" si="3"/>
        <v>4</v>
      </c>
      <c r="S58" s="17">
        <v>5.0</v>
      </c>
      <c r="T58" s="17">
        <v>5.0</v>
      </c>
      <c r="U58" s="17">
        <v>5.0</v>
      </c>
      <c r="V58" s="21">
        <f>ROUND((P58*'Business Analysis'!$D$36+Q58*'Business Analysis'!$D$37+R58*'Business Analysis'!$D$38+S58*'Business Analysis'!$D$39+T58*'Business Analysis'!$D$40+U58*'Business Analysis'!$D$41)/5*100,0)</f>
        <v>90</v>
      </c>
      <c r="W58" s="15" t="str">
        <f t="shared" si="4"/>
        <v>Critical</v>
      </c>
      <c r="X58" s="12" t="s">
        <v>465</v>
      </c>
      <c r="Y58" s="15" t="s">
        <v>386</v>
      </c>
      <c r="Z58" s="12" t="s">
        <v>637</v>
      </c>
    </row>
    <row r="59" ht="15.75" customHeight="1">
      <c r="A59" s="22" t="s">
        <v>638</v>
      </c>
      <c r="B59" s="24" t="s">
        <v>356</v>
      </c>
      <c r="C59" s="25" t="s">
        <v>462</v>
      </c>
      <c r="D59" s="25" t="s">
        <v>225</v>
      </c>
      <c r="E59" s="29" t="s">
        <v>356</v>
      </c>
      <c r="F59" s="29" t="s">
        <v>208</v>
      </c>
      <c r="G59" s="29" t="s">
        <v>111</v>
      </c>
      <c r="H59" s="30">
        <v>90.0</v>
      </c>
      <c r="I59" s="24" t="s">
        <v>38</v>
      </c>
      <c r="J59" s="31">
        <v>29.0</v>
      </c>
      <c r="K59" s="24" t="s">
        <v>41</v>
      </c>
      <c r="L59" s="32">
        <v>9.8</v>
      </c>
      <c r="M59" s="24" t="s">
        <v>44</v>
      </c>
      <c r="N59" s="29" t="str">
        <f t="shared" si="1"/>
        <v>Moderate</v>
      </c>
      <c r="O59" s="25" t="s">
        <v>314</v>
      </c>
      <c r="P59" s="31">
        <v>4.0</v>
      </c>
      <c r="Q59" s="29">
        <f t="shared" si="2"/>
        <v>1</v>
      </c>
      <c r="R59" s="29">
        <f t="shared" si="3"/>
        <v>4</v>
      </c>
      <c r="S59" s="31">
        <v>4.0</v>
      </c>
      <c r="T59" s="31">
        <v>4.0</v>
      </c>
      <c r="U59" s="31">
        <v>4.0</v>
      </c>
      <c r="V59" s="38">
        <f>ROUND((P59*'Business Analysis'!$D$36+Q59*'Business Analysis'!$D$37+R59*'Business Analysis'!$D$38+S59*'Business Analysis'!$D$39+T59*'Business Analysis'!$D$40+U59*'Business Analysis'!$D$41)/5*100,0)</f>
        <v>74</v>
      </c>
      <c r="W59" s="29" t="str">
        <f t="shared" si="4"/>
        <v>Medium</v>
      </c>
      <c r="X59" s="25" t="s">
        <v>465</v>
      </c>
      <c r="Y59" s="29" t="s">
        <v>386</v>
      </c>
      <c r="Z59" s="25" t="s">
        <v>157</v>
      </c>
    </row>
    <row r="60" ht="15.75" customHeight="1">
      <c r="A60" s="9" t="s">
        <v>646</v>
      </c>
      <c r="B60" s="10" t="s">
        <v>356</v>
      </c>
      <c r="C60" s="12" t="s">
        <v>462</v>
      </c>
      <c r="D60" s="12" t="s">
        <v>225</v>
      </c>
      <c r="E60" s="15" t="s">
        <v>356</v>
      </c>
      <c r="F60" s="15" t="s">
        <v>208</v>
      </c>
      <c r="G60" s="15" t="s">
        <v>111</v>
      </c>
      <c r="H60" s="16">
        <v>14800.0</v>
      </c>
      <c r="I60" s="10" t="s">
        <v>38</v>
      </c>
      <c r="J60" s="17">
        <v>68.0</v>
      </c>
      <c r="K60" s="10" t="s">
        <v>41</v>
      </c>
      <c r="L60" s="18">
        <v>10.4</v>
      </c>
      <c r="M60" s="10" t="s">
        <v>44</v>
      </c>
      <c r="N60" s="15" t="str">
        <f t="shared" si="1"/>
        <v>Competitive</v>
      </c>
      <c r="O60" s="12" t="s">
        <v>493</v>
      </c>
      <c r="P60" s="17">
        <v>4.0</v>
      </c>
      <c r="Q60" s="15">
        <f t="shared" si="2"/>
        <v>5</v>
      </c>
      <c r="R60" s="15">
        <f t="shared" si="3"/>
        <v>1</v>
      </c>
      <c r="S60" s="17">
        <v>3.0</v>
      </c>
      <c r="T60" s="17">
        <v>3.0</v>
      </c>
      <c r="U60" s="17">
        <v>4.0</v>
      </c>
      <c r="V60" s="21">
        <f>ROUND((P60*'Business Analysis'!$D$36+Q60*'Business Analysis'!$D$37+R60*'Business Analysis'!$D$38+S60*'Business Analysis'!$D$39+T60*'Business Analysis'!$D$40+U60*'Business Analysis'!$D$41)/5*100,0)</f>
        <v>63</v>
      </c>
      <c r="W60" s="15" t="str">
        <f t="shared" si="4"/>
        <v>Medium</v>
      </c>
      <c r="X60" s="12" t="s">
        <v>465</v>
      </c>
      <c r="Y60" s="15" t="s">
        <v>386</v>
      </c>
      <c r="Z60" s="12" t="s">
        <v>157</v>
      </c>
    </row>
    <row r="61" ht="15.75" customHeight="1">
      <c r="A61" s="22" t="s">
        <v>653</v>
      </c>
      <c r="B61" s="24" t="s">
        <v>356</v>
      </c>
      <c r="C61" s="25" t="s">
        <v>462</v>
      </c>
      <c r="D61" s="25" t="s">
        <v>225</v>
      </c>
      <c r="E61" s="29" t="s">
        <v>356</v>
      </c>
      <c r="F61" s="29" t="s">
        <v>208</v>
      </c>
      <c r="G61" s="29" t="s">
        <v>111</v>
      </c>
      <c r="H61" s="30">
        <v>5400.0</v>
      </c>
      <c r="I61" s="24" t="s">
        <v>38</v>
      </c>
      <c r="J61" s="31">
        <v>54.0</v>
      </c>
      <c r="K61" s="24" t="s">
        <v>41</v>
      </c>
      <c r="L61" s="32">
        <v>8.7</v>
      </c>
      <c r="M61" s="24" t="s">
        <v>44</v>
      </c>
      <c r="N61" s="29" t="str">
        <f t="shared" si="1"/>
        <v>Competitive</v>
      </c>
      <c r="O61" s="25" t="s">
        <v>493</v>
      </c>
      <c r="P61" s="31">
        <v>4.0</v>
      </c>
      <c r="Q61" s="29">
        <f t="shared" si="2"/>
        <v>5</v>
      </c>
      <c r="R61" s="29">
        <f t="shared" si="3"/>
        <v>2</v>
      </c>
      <c r="S61" s="31">
        <v>3.0</v>
      </c>
      <c r="T61" s="31">
        <v>3.0</v>
      </c>
      <c r="U61" s="31">
        <v>4.0</v>
      </c>
      <c r="V61" s="38">
        <f>ROUND((P61*'Business Analysis'!$D$36+Q61*'Business Analysis'!$D$37+R61*'Business Analysis'!$D$38+S61*'Business Analysis'!$D$39+T61*'Business Analysis'!$D$40+U61*'Business Analysis'!$D$41)/5*100,0)</f>
        <v>67</v>
      </c>
      <c r="W61" s="29" t="str">
        <f t="shared" si="4"/>
        <v>Medium</v>
      </c>
      <c r="X61" s="25" t="s">
        <v>465</v>
      </c>
      <c r="Y61" s="29" t="s">
        <v>386</v>
      </c>
      <c r="Z61" s="25" t="s">
        <v>157</v>
      </c>
    </row>
    <row r="62" ht="15.75" customHeight="1">
      <c r="A62" s="9" t="s">
        <v>658</v>
      </c>
      <c r="B62" s="10" t="s">
        <v>305</v>
      </c>
      <c r="C62" s="12" t="s">
        <v>462</v>
      </c>
      <c r="D62" s="12" t="s">
        <v>225</v>
      </c>
      <c r="E62" s="15" t="s">
        <v>305</v>
      </c>
      <c r="F62" s="15" t="s">
        <v>35</v>
      </c>
      <c r="G62" s="15" t="s">
        <v>111</v>
      </c>
      <c r="H62" s="16">
        <v>40.0</v>
      </c>
      <c r="I62" s="10" t="s">
        <v>38</v>
      </c>
      <c r="J62" s="17">
        <v>21.0</v>
      </c>
      <c r="K62" s="10" t="s">
        <v>41</v>
      </c>
      <c r="L62" s="18">
        <v>11.3</v>
      </c>
      <c r="M62" s="10" t="s">
        <v>44</v>
      </c>
      <c r="N62" s="15" t="str">
        <f t="shared" si="1"/>
        <v>Moderate</v>
      </c>
      <c r="O62" s="12" t="s">
        <v>314</v>
      </c>
      <c r="P62" s="17">
        <v>5.0</v>
      </c>
      <c r="Q62" s="15">
        <f t="shared" si="2"/>
        <v>1</v>
      </c>
      <c r="R62" s="15">
        <f t="shared" si="3"/>
        <v>5</v>
      </c>
      <c r="S62" s="17">
        <v>5.0</v>
      </c>
      <c r="T62" s="17">
        <v>5.0</v>
      </c>
      <c r="U62" s="17">
        <v>4.0</v>
      </c>
      <c r="V62" s="21">
        <f>ROUND((P62*'Business Analysis'!$D$36+Q62*'Business Analysis'!$D$37+R62*'Business Analysis'!$D$38+S62*'Business Analysis'!$D$39+T62*'Business Analysis'!$D$40+U62*'Business Analysis'!$D$41)/5*100,0)</f>
        <v>90</v>
      </c>
      <c r="W62" s="15" t="str">
        <f t="shared" si="4"/>
        <v>Critical</v>
      </c>
      <c r="X62" s="12" t="s">
        <v>465</v>
      </c>
      <c r="Y62" s="15" t="s">
        <v>386</v>
      </c>
      <c r="Z62" s="12" t="s">
        <v>157</v>
      </c>
    </row>
    <row r="63" ht="15.75" customHeight="1">
      <c r="A63" s="22" t="s">
        <v>671</v>
      </c>
      <c r="B63" s="24" t="s">
        <v>305</v>
      </c>
      <c r="C63" s="25" t="s">
        <v>462</v>
      </c>
      <c r="D63" s="25" t="s">
        <v>225</v>
      </c>
      <c r="E63" s="29" t="s">
        <v>305</v>
      </c>
      <c r="F63" s="29" t="s">
        <v>35</v>
      </c>
      <c r="G63" s="29" t="s">
        <v>111</v>
      </c>
      <c r="H63" s="30">
        <v>60.0</v>
      </c>
      <c r="I63" s="24" t="s">
        <v>38</v>
      </c>
      <c r="J63" s="31">
        <v>27.0</v>
      </c>
      <c r="K63" s="24" t="s">
        <v>41</v>
      </c>
      <c r="L63" s="32">
        <v>11.8</v>
      </c>
      <c r="M63" s="24" t="s">
        <v>44</v>
      </c>
      <c r="N63" s="29" t="str">
        <f t="shared" si="1"/>
        <v>Moderate</v>
      </c>
      <c r="O63" s="25" t="s">
        <v>314</v>
      </c>
      <c r="P63" s="31">
        <v>5.0</v>
      </c>
      <c r="Q63" s="29">
        <f t="shared" si="2"/>
        <v>1</v>
      </c>
      <c r="R63" s="29">
        <f t="shared" si="3"/>
        <v>4</v>
      </c>
      <c r="S63" s="31">
        <v>5.0</v>
      </c>
      <c r="T63" s="31">
        <v>5.0</v>
      </c>
      <c r="U63" s="31">
        <v>4.0</v>
      </c>
      <c r="V63" s="38">
        <f>ROUND((P63*'Business Analysis'!$D$36+Q63*'Business Analysis'!$D$37+R63*'Business Analysis'!$D$38+S63*'Business Analysis'!$D$39+T63*'Business Analysis'!$D$40+U63*'Business Analysis'!$D$41)/5*100,0)</f>
        <v>86</v>
      </c>
      <c r="W63" s="29" t="str">
        <f t="shared" si="4"/>
        <v>High</v>
      </c>
      <c r="X63" s="25" t="s">
        <v>465</v>
      </c>
      <c r="Y63" s="29" t="s">
        <v>386</v>
      </c>
      <c r="Z63" s="25" t="s">
        <v>157</v>
      </c>
    </row>
    <row r="64" ht="15.75" customHeight="1">
      <c r="A64" s="9" t="s">
        <v>689</v>
      </c>
      <c r="B64" s="10" t="s">
        <v>412</v>
      </c>
      <c r="C64" s="12" t="s">
        <v>462</v>
      </c>
      <c r="D64" s="12" t="s">
        <v>225</v>
      </c>
      <c r="E64" s="15" t="s">
        <v>412</v>
      </c>
      <c r="F64" s="15" t="s">
        <v>413</v>
      </c>
      <c r="G64" s="15" t="s">
        <v>111</v>
      </c>
      <c r="H64" s="16">
        <v>3600.0</v>
      </c>
      <c r="I64" s="10" t="s">
        <v>38</v>
      </c>
      <c r="J64" s="17">
        <v>40.0</v>
      </c>
      <c r="K64" s="10" t="s">
        <v>41</v>
      </c>
      <c r="L64" s="18">
        <v>4.5</v>
      </c>
      <c r="M64" s="10" t="s">
        <v>44</v>
      </c>
      <c r="N64" s="15" t="str">
        <f t="shared" si="1"/>
        <v>Moderate</v>
      </c>
      <c r="O64" s="12" t="s">
        <v>493</v>
      </c>
      <c r="P64" s="17">
        <v>3.0</v>
      </c>
      <c r="Q64" s="15">
        <f t="shared" si="2"/>
        <v>5</v>
      </c>
      <c r="R64" s="15">
        <f t="shared" si="3"/>
        <v>3</v>
      </c>
      <c r="S64" s="17">
        <v>1.0</v>
      </c>
      <c r="T64" s="17">
        <v>2.0</v>
      </c>
      <c r="U64" s="17">
        <v>4.0</v>
      </c>
      <c r="V64" s="21">
        <f>ROUND((P64*'Business Analysis'!$D$36+Q64*'Business Analysis'!$D$37+R64*'Business Analysis'!$D$38+S64*'Business Analysis'!$D$39+T64*'Business Analysis'!$D$40+U64*'Business Analysis'!$D$41)/5*100,0)</f>
        <v>56</v>
      </c>
      <c r="W64" s="15" t="str">
        <f t="shared" si="4"/>
        <v>Low</v>
      </c>
      <c r="X64" s="12" t="s">
        <v>465</v>
      </c>
      <c r="Y64" s="15" t="s">
        <v>386</v>
      </c>
      <c r="Z64" s="12" t="s">
        <v>157</v>
      </c>
    </row>
    <row r="65" ht="15.75" customHeight="1">
      <c r="A65" s="22" t="s">
        <v>722</v>
      </c>
      <c r="B65" s="24" t="s">
        <v>356</v>
      </c>
      <c r="C65" s="25" t="s">
        <v>462</v>
      </c>
      <c r="D65" s="25" t="s">
        <v>225</v>
      </c>
      <c r="E65" s="29" t="s">
        <v>356</v>
      </c>
      <c r="F65" s="29" t="s">
        <v>208</v>
      </c>
      <c r="G65" s="29" t="s">
        <v>111</v>
      </c>
      <c r="H65" s="30">
        <v>880.0</v>
      </c>
      <c r="I65" s="24" t="s">
        <v>38</v>
      </c>
      <c r="J65" s="31">
        <v>30.0</v>
      </c>
      <c r="K65" s="24" t="s">
        <v>41</v>
      </c>
      <c r="L65" s="32">
        <v>6.1</v>
      </c>
      <c r="M65" s="24" t="s">
        <v>44</v>
      </c>
      <c r="N65" s="29" t="str">
        <f t="shared" si="1"/>
        <v>Moderate</v>
      </c>
      <c r="O65" s="25" t="s">
        <v>493</v>
      </c>
      <c r="P65" s="31">
        <v>4.0</v>
      </c>
      <c r="Q65" s="29">
        <f t="shared" si="2"/>
        <v>4</v>
      </c>
      <c r="R65" s="29">
        <f t="shared" si="3"/>
        <v>4</v>
      </c>
      <c r="S65" s="31">
        <v>3.0</v>
      </c>
      <c r="T65" s="31">
        <v>3.0</v>
      </c>
      <c r="U65" s="31">
        <v>4.0</v>
      </c>
      <c r="V65" s="38">
        <f>ROUND((P65*'Business Analysis'!$D$36+Q65*'Business Analysis'!$D$37+R65*'Business Analysis'!$D$38+S65*'Business Analysis'!$D$39+T65*'Business Analysis'!$D$40+U65*'Business Analysis'!$D$41)/5*100,0)</f>
        <v>73</v>
      </c>
      <c r="W65" s="29" t="str">
        <f t="shared" si="4"/>
        <v>Medium</v>
      </c>
      <c r="X65" s="25" t="s">
        <v>465</v>
      </c>
      <c r="Y65" s="29" t="s">
        <v>386</v>
      </c>
      <c r="Z65" s="25" t="s">
        <v>157</v>
      </c>
    </row>
    <row r="66" ht="15.75" customHeight="1">
      <c r="A66" s="9" t="s">
        <v>235</v>
      </c>
      <c r="B66" s="10" t="s">
        <v>412</v>
      </c>
      <c r="C66" s="12" t="s">
        <v>462</v>
      </c>
      <c r="D66" s="12" t="s">
        <v>234</v>
      </c>
      <c r="E66" s="15" t="s">
        <v>412</v>
      </c>
      <c r="F66" s="15" t="s">
        <v>413</v>
      </c>
      <c r="G66" s="15" t="s">
        <v>36</v>
      </c>
      <c r="H66" s="16">
        <v>1900.0</v>
      </c>
      <c r="I66" s="10" t="s">
        <v>38</v>
      </c>
      <c r="J66" s="17">
        <v>33.0</v>
      </c>
      <c r="K66" s="10" t="s">
        <v>41</v>
      </c>
      <c r="L66" s="18">
        <v>5.2</v>
      </c>
      <c r="M66" s="10" t="s">
        <v>44</v>
      </c>
      <c r="N66" s="15" t="str">
        <f t="shared" si="1"/>
        <v>Moderate</v>
      </c>
      <c r="O66" s="12" t="s">
        <v>224</v>
      </c>
      <c r="P66" s="17">
        <v>2.0</v>
      </c>
      <c r="Q66" s="15">
        <f t="shared" si="2"/>
        <v>4</v>
      </c>
      <c r="R66" s="15">
        <f t="shared" si="3"/>
        <v>4</v>
      </c>
      <c r="S66" s="17">
        <v>1.0</v>
      </c>
      <c r="T66" s="17">
        <v>2.0</v>
      </c>
      <c r="U66" s="17">
        <v>5.0</v>
      </c>
      <c r="V66" s="21">
        <f>ROUND((P66*'Business Analysis'!$D$36+Q66*'Business Analysis'!$D$37+R66*'Business Analysis'!$D$38+S66*'Business Analysis'!$D$39+T66*'Business Analysis'!$D$40+U66*'Business Analysis'!$D$41)/5*100,0)</f>
        <v>55</v>
      </c>
      <c r="W66" s="15" t="str">
        <f t="shared" si="4"/>
        <v>Low</v>
      </c>
      <c r="X66" s="12" t="s">
        <v>472</v>
      </c>
      <c r="Y66" s="15" t="s">
        <v>386</v>
      </c>
      <c r="Z66" s="12" t="s">
        <v>727</v>
      </c>
    </row>
    <row r="67" ht="15.75" customHeight="1">
      <c r="A67" s="22" t="s">
        <v>728</v>
      </c>
      <c r="B67" s="24" t="s">
        <v>412</v>
      </c>
      <c r="C67" s="25" t="s">
        <v>462</v>
      </c>
      <c r="D67" s="25" t="s">
        <v>234</v>
      </c>
      <c r="E67" s="29" t="s">
        <v>412</v>
      </c>
      <c r="F67" s="29" t="s">
        <v>413</v>
      </c>
      <c r="G67" s="29" t="s">
        <v>111</v>
      </c>
      <c r="H67" s="30">
        <v>2900.0</v>
      </c>
      <c r="I67" s="24" t="s">
        <v>38</v>
      </c>
      <c r="J67" s="31">
        <v>40.0</v>
      </c>
      <c r="K67" s="24" t="s">
        <v>41</v>
      </c>
      <c r="L67" s="32">
        <v>3.8</v>
      </c>
      <c r="M67" s="24" t="s">
        <v>44</v>
      </c>
      <c r="N67" s="29" t="str">
        <f t="shared" si="1"/>
        <v>Moderate</v>
      </c>
      <c r="O67" s="25" t="s">
        <v>224</v>
      </c>
      <c r="P67" s="31">
        <v>2.0</v>
      </c>
      <c r="Q67" s="29">
        <f t="shared" si="2"/>
        <v>5</v>
      </c>
      <c r="R67" s="29">
        <f t="shared" si="3"/>
        <v>3</v>
      </c>
      <c r="S67" s="31">
        <v>1.0</v>
      </c>
      <c r="T67" s="31">
        <v>2.0</v>
      </c>
      <c r="U67" s="31">
        <v>4.0</v>
      </c>
      <c r="V67" s="38">
        <f>ROUND((P67*'Business Analysis'!$D$36+Q67*'Business Analysis'!$D$37+R67*'Business Analysis'!$D$38+S67*'Business Analysis'!$D$39+T67*'Business Analysis'!$D$40+U67*'Business Analysis'!$D$41)/5*100,0)</f>
        <v>51</v>
      </c>
      <c r="W67" s="29" t="str">
        <f t="shared" si="4"/>
        <v>Low</v>
      </c>
      <c r="X67" s="25" t="s">
        <v>472</v>
      </c>
      <c r="Y67" s="29" t="s">
        <v>386</v>
      </c>
      <c r="Z67" s="25" t="s">
        <v>157</v>
      </c>
    </row>
    <row r="68" ht="15.75" customHeight="1">
      <c r="A68" s="9" t="s">
        <v>729</v>
      </c>
      <c r="B68" s="10" t="s">
        <v>412</v>
      </c>
      <c r="C68" s="12" t="s">
        <v>462</v>
      </c>
      <c r="D68" s="12" t="s">
        <v>234</v>
      </c>
      <c r="E68" s="15" t="s">
        <v>412</v>
      </c>
      <c r="F68" s="15" t="s">
        <v>413</v>
      </c>
      <c r="G68" s="15" t="s">
        <v>111</v>
      </c>
      <c r="H68" s="16">
        <v>3600.0</v>
      </c>
      <c r="I68" s="10" t="s">
        <v>38</v>
      </c>
      <c r="J68" s="17">
        <v>37.0</v>
      </c>
      <c r="K68" s="10" t="s">
        <v>41</v>
      </c>
      <c r="L68" s="18">
        <v>2.9</v>
      </c>
      <c r="M68" s="10" t="s">
        <v>44</v>
      </c>
      <c r="N68" s="15" t="str">
        <f t="shared" si="1"/>
        <v>Moderate</v>
      </c>
      <c r="O68" s="12" t="s">
        <v>224</v>
      </c>
      <c r="P68" s="17">
        <v>2.0</v>
      </c>
      <c r="Q68" s="15">
        <f t="shared" si="2"/>
        <v>5</v>
      </c>
      <c r="R68" s="15">
        <f t="shared" si="3"/>
        <v>3</v>
      </c>
      <c r="S68" s="17">
        <v>1.0</v>
      </c>
      <c r="T68" s="17">
        <v>2.0</v>
      </c>
      <c r="U68" s="17">
        <v>4.0</v>
      </c>
      <c r="V68" s="21">
        <f>ROUND((P68*'Business Analysis'!$D$36+Q68*'Business Analysis'!$D$37+R68*'Business Analysis'!$D$38+S68*'Business Analysis'!$D$39+T68*'Business Analysis'!$D$40+U68*'Business Analysis'!$D$41)/5*100,0)</f>
        <v>51</v>
      </c>
      <c r="W68" s="15" t="str">
        <f t="shared" si="4"/>
        <v>Low</v>
      </c>
      <c r="X68" s="12" t="s">
        <v>472</v>
      </c>
      <c r="Y68" s="15" t="s">
        <v>386</v>
      </c>
      <c r="Z68" s="12" t="s">
        <v>157</v>
      </c>
    </row>
    <row r="69" ht="15.75" customHeight="1">
      <c r="A69" s="22" t="s">
        <v>730</v>
      </c>
      <c r="B69" s="24" t="s">
        <v>412</v>
      </c>
      <c r="C69" s="25" t="s">
        <v>462</v>
      </c>
      <c r="D69" s="25" t="s">
        <v>234</v>
      </c>
      <c r="E69" s="29" t="s">
        <v>412</v>
      </c>
      <c r="F69" s="29" t="s">
        <v>413</v>
      </c>
      <c r="G69" s="29" t="s">
        <v>111</v>
      </c>
      <c r="H69" s="30">
        <v>9900.0</v>
      </c>
      <c r="I69" s="24" t="s">
        <v>38</v>
      </c>
      <c r="J69" s="31">
        <v>46.0</v>
      </c>
      <c r="K69" s="24" t="s">
        <v>41</v>
      </c>
      <c r="L69" s="32">
        <v>3.2</v>
      </c>
      <c r="M69" s="24" t="s">
        <v>44</v>
      </c>
      <c r="N69" s="29" t="str">
        <f t="shared" si="1"/>
        <v>Competitive</v>
      </c>
      <c r="O69" s="25" t="s">
        <v>224</v>
      </c>
      <c r="P69" s="31">
        <v>2.0</v>
      </c>
      <c r="Q69" s="29">
        <f t="shared" si="2"/>
        <v>5</v>
      </c>
      <c r="R69" s="29">
        <f t="shared" si="3"/>
        <v>2</v>
      </c>
      <c r="S69" s="31">
        <v>1.0</v>
      </c>
      <c r="T69" s="31">
        <v>2.0</v>
      </c>
      <c r="U69" s="31">
        <v>4.0</v>
      </c>
      <c r="V69" s="38">
        <f>ROUND((P69*'Business Analysis'!$D$36+Q69*'Business Analysis'!$D$37+R69*'Business Analysis'!$D$38+S69*'Business Analysis'!$D$39+T69*'Business Analysis'!$D$40+U69*'Business Analysis'!$D$41)/5*100,0)</f>
        <v>47</v>
      </c>
      <c r="W69" s="29" t="str">
        <f t="shared" si="4"/>
        <v>Low</v>
      </c>
      <c r="X69" s="25" t="s">
        <v>472</v>
      </c>
      <c r="Y69" s="29" t="s">
        <v>386</v>
      </c>
      <c r="Z69" s="25" t="s">
        <v>157</v>
      </c>
    </row>
    <row r="70" ht="15.75" customHeight="1">
      <c r="A70" s="9" t="s">
        <v>731</v>
      </c>
      <c r="B70" s="10" t="s">
        <v>412</v>
      </c>
      <c r="C70" s="12" t="s">
        <v>462</v>
      </c>
      <c r="D70" s="12" t="s">
        <v>234</v>
      </c>
      <c r="E70" s="15" t="s">
        <v>412</v>
      </c>
      <c r="F70" s="15" t="s">
        <v>413</v>
      </c>
      <c r="G70" s="15" t="s">
        <v>111</v>
      </c>
      <c r="H70" s="16">
        <v>880.0</v>
      </c>
      <c r="I70" s="10" t="s">
        <v>38</v>
      </c>
      <c r="J70" s="17">
        <v>22.0</v>
      </c>
      <c r="K70" s="10" t="s">
        <v>41</v>
      </c>
      <c r="L70" s="18">
        <v>2.1</v>
      </c>
      <c r="M70" s="10" t="s">
        <v>44</v>
      </c>
      <c r="N70" s="15" t="str">
        <f t="shared" si="1"/>
        <v>Moderate</v>
      </c>
      <c r="O70" s="12" t="s">
        <v>224</v>
      </c>
      <c r="P70" s="17">
        <v>2.0</v>
      </c>
      <c r="Q70" s="15">
        <f t="shared" si="2"/>
        <v>4</v>
      </c>
      <c r="R70" s="15">
        <f t="shared" si="3"/>
        <v>5</v>
      </c>
      <c r="S70" s="17">
        <v>1.0</v>
      </c>
      <c r="T70" s="17">
        <v>2.0</v>
      </c>
      <c r="U70" s="17">
        <v>4.0</v>
      </c>
      <c r="V70" s="21">
        <f>ROUND((P70*'Business Analysis'!$D$36+Q70*'Business Analysis'!$D$37+R70*'Business Analysis'!$D$38+S70*'Business Analysis'!$D$39+T70*'Business Analysis'!$D$40+U70*'Business Analysis'!$D$41)/5*100,0)</f>
        <v>57</v>
      </c>
      <c r="W70" s="15" t="str">
        <f t="shared" si="4"/>
        <v>Low</v>
      </c>
      <c r="X70" s="12" t="s">
        <v>472</v>
      </c>
      <c r="Y70" s="15" t="s">
        <v>386</v>
      </c>
      <c r="Z70" s="12" t="s">
        <v>157</v>
      </c>
    </row>
    <row r="71" ht="15.75" customHeight="1">
      <c r="A71" s="22" t="s">
        <v>763</v>
      </c>
      <c r="B71" s="24" t="s">
        <v>412</v>
      </c>
      <c r="C71" s="25" t="s">
        <v>462</v>
      </c>
      <c r="D71" s="25" t="s">
        <v>234</v>
      </c>
      <c r="E71" s="29" t="s">
        <v>412</v>
      </c>
      <c r="F71" s="29" t="s">
        <v>413</v>
      </c>
      <c r="G71" s="29" t="s">
        <v>111</v>
      </c>
      <c r="H71" s="30">
        <v>480.0</v>
      </c>
      <c r="I71" s="24" t="s">
        <v>38</v>
      </c>
      <c r="J71" s="31">
        <v>24.0</v>
      </c>
      <c r="K71" s="24" t="s">
        <v>41</v>
      </c>
      <c r="L71" s="32">
        <v>2.4</v>
      </c>
      <c r="M71" s="24" t="s">
        <v>44</v>
      </c>
      <c r="N71" s="29" t="str">
        <f t="shared" si="1"/>
        <v>Moderate</v>
      </c>
      <c r="O71" s="25" t="s">
        <v>224</v>
      </c>
      <c r="P71" s="31">
        <v>2.0</v>
      </c>
      <c r="Q71" s="29">
        <f t="shared" si="2"/>
        <v>3</v>
      </c>
      <c r="R71" s="29">
        <f t="shared" si="3"/>
        <v>5</v>
      </c>
      <c r="S71" s="31">
        <v>1.0</v>
      </c>
      <c r="T71" s="31">
        <v>2.0</v>
      </c>
      <c r="U71" s="31">
        <v>4.0</v>
      </c>
      <c r="V71" s="38">
        <f>ROUND((P71*'Business Analysis'!$D$36+Q71*'Business Analysis'!$D$37+R71*'Business Analysis'!$D$38+S71*'Business Analysis'!$D$39+T71*'Business Analysis'!$D$40+U71*'Business Analysis'!$D$41)/5*100,0)</f>
        <v>55</v>
      </c>
      <c r="W71" s="29" t="str">
        <f t="shared" si="4"/>
        <v>Low</v>
      </c>
      <c r="X71" s="25" t="s">
        <v>472</v>
      </c>
      <c r="Y71" s="29" t="s">
        <v>386</v>
      </c>
      <c r="Z71" s="25" t="s">
        <v>157</v>
      </c>
    </row>
    <row r="72" ht="15.75" customHeight="1">
      <c r="A72" s="9" t="s">
        <v>764</v>
      </c>
      <c r="B72" s="10" t="s">
        <v>412</v>
      </c>
      <c r="C72" s="12" t="s">
        <v>462</v>
      </c>
      <c r="D72" s="12" t="s">
        <v>234</v>
      </c>
      <c r="E72" s="15" t="s">
        <v>412</v>
      </c>
      <c r="F72" s="15" t="s">
        <v>413</v>
      </c>
      <c r="G72" s="15" t="s">
        <v>111</v>
      </c>
      <c r="H72" s="16">
        <v>390.0</v>
      </c>
      <c r="I72" s="10" t="s">
        <v>38</v>
      </c>
      <c r="J72" s="17">
        <v>26.0</v>
      </c>
      <c r="K72" s="10" t="s">
        <v>41</v>
      </c>
      <c r="L72" s="18">
        <v>2.0</v>
      </c>
      <c r="M72" s="10" t="s">
        <v>44</v>
      </c>
      <c r="N72" s="15" t="str">
        <f t="shared" si="1"/>
        <v>Moderate</v>
      </c>
      <c r="O72" s="12" t="s">
        <v>224</v>
      </c>
      <c r="P72" s="17">
        <v>2.0</v>
      </c>
      <c r="Q72" s="15">
        <f t="shared" si="2"/>
        <v>3</v>
      </c>
      <c r="R72" s="15">
        <f t="shared" si="3"/>
        <v>4</v>
      </c>
      <c r="S72" s="17">
        <v>1.0</v>
      </c>
      <c r="T72" s="17">
        <v>2.0</v>
      </c>
      <c r="U72" s="17">
        <v>4.0</v>
      </c>
      <c r="V72" s="21">
        <f>ROUND((P72*'Business Analysis'!$D$36+Q72*'Business Analysis'!$D$37+R72*'Business Analysis'!$D$38+S72*'Business Analysis'!$D$39+T72*'Business Analysis'!$D$40+U72*'Business Analysis'!$D$41)/5*100,0)</f>
        <v>51</v>
      </c>
      <c r="W72" s="15" t="str">
        <f t="shared" si="4"/>
        <v>Low</v>
      </c>
      <c r="X72" s="12" t="s">
        <v>472</v>
      </c>
      <c r="Y72" s="15" t="s">
        <v>386</v>
      </c>
      <c r="Z72" s="12" t="s">
        <v>157</v>
      </c>
    </row>
    <row r="73" ht="15.75" customHeight="1">
      <c r="A73" s="22" t="s">
        <v>765</v>
      </c>
      <c r="B73" s="24" t="s">
        <v>412</v>
      </c>
      <c r="C73" s="25" t="s">
        <v>462</v>
      </c>
      <c r="D73" s="25" t="s">
        <v>234</v>
      </c>
      <c r="E73" s="29" t="s">
        <v>412</v>
      </c>
      <c r="F73" s="29" t="s">
        <v>413</v>
      </c>
      <c r="G73" s="29" t="s">
        <v>111</v>
      </c>
      <c r="H73" s="30">
        <v>8100.0</v>
      </c>
      <c r="I73" s="24" t="s">
        <v>38</v>
      </c>
      <c r="J73" s="31">
        <v>52.0</v>
      </c>
      <c r="K73" s="24" t="s">
        <v>41</v>
      </c>
      <c r="L73" s="32">
        <v>3.4</v>
      </c>
      <c r="M73" s="24" t="s">
        <v>44</v>
      </c>
      <c r="N73" s="29" t="str">
        <f t="shared" si="1"/>
        <v>Competitive</v>
      </c>
      <c r="O73" s="25" t="s">
        <v>224</v>
      </c>
      <c r="P73" s="31">
        <v>2.0</v>
      </c>
      <c r="Q73" s="29">
        <f t="shared" si="2"/>
        <v>5</v>
      </c>
      <c r="R73" s="29">
        <f t="shared" si="3"/>
        <v>2</v>
      </c>
      <c r="S73" s="31">
        <v>1.0</v>
      </c>
      <c r="T73" s="31">
        <v>2.0</v>
      </c>
      <c r="U73" s="31">
        <v>4.0</v>
      </c>
      <c r="V73" s="38">
        <f>ROUND((P73*'Business Analysis'!$D$36+Q73*'Business Analysis'!$D$37+R73*'Business Analysis'!$D$38+S73*'Business Analysis'!$D$39+T73*'Business Analysis'!$D$40+U73*'Business Analysis'!$D$41)/5*100,0)</f>
        <v>47</v>
      </c>
      <c r="W73" s="29" t="str">
        <f t="shared" si="4"/>
        <v>Low</v>
      </c>
      <c r="X73" s="25" t="s">
        <v>472</v>
      </c>
      <c r="Y73" s="29" t="s">
        <v>386</v>
      </c>
      <c r="Z73" s="25" t="s">
        <v>157</v>
      </c>
    </row>
    <row r="74" ht="15.75" customHeight="1">
      <c r="A74" s="9" t="s">
        <v>244</v>
      </c>
      <c r="B74" s="10" t="s">
        <v>412</v>
      </c>
      <c r="C74" s="12" t="s">
        <v>462</v>
      </c>
      <c r="D74" s="12" t="s">
        <v>243</v>
      </c>
      <c r="E74" s="15" t="s">
        <v>412</v>
      </c>
      <c r="F74" s="15" t="s">
        <v>413</v>
      </c>
      <c r="G74" s="15" t="s">
        <v>36</v>
      </c>
      <c r="H74" s="16">
        <v>2400.0</v>
      </c>
      <c r="I74" s="10" t="s">
        <v>38</v>
      </c>
      <c r="J74" s="17">
        <v>35.0</v>
      </c>
      <c r="K74" s="10" t="s">
        <v>41</v>
      </c>
      <c r="L74" s="18">
        <v>2.7</v>
      </c>
      <c r="M74" s="10" t="s">
        <v>44</v>
      </c>
      <c r="N74" s="15" t="str">
        <f t="shared" si="1"/>
        <v>Moderate</v>
      </c>
      <c r="O74" s="12" t="s">
        <v>224</v>
      </c>
      <c r="P74" s="17">
        <v>1.0</v>
      </c>
      <c r="Q74" s="15">
        <f t="shared" si="2"/>
        <v>5</v>
      </c>
      <c r="R74" s="15">
        <f t="shared" si="3"/>
        <v>4</v>
      </c>
      <c r="S74" s="17">
        <v>1.0</v>
      </c>
      <c r="T74" s="17">
        <v>1.0</v>
      </c>
      <c r="U74" s="17">
        <v>4.0</v>
      </c>
      <c r="V74" s="21">
        <f>ROUND((P74*'Business Analysis'!$D$36+Q74*'Business Analysis'!$D$37+R74*'Business Analysis'!$D$38+S74*'Business Analysis'!$D$39+T74*'Business Analysis'!$D$40+U74*'Business Analysis'!$D$41)/5*100,0)</f>
        <v>46</v>
      </c>
      <c r="W74" s="15" t="str">
        <f t="shared" si="4"/>
        <v>Low</v>
      </c>
      <c r="X74" s="12" t="s">
        <v>481</v>
      </c>
      <c r="Y74" s="15" t="s">
        <v>386</v>
      </c>
      <c r="Z74" s="12" t="s">
        <v>781</v>
      </c>
    </row>
    <row r="75" ht="15.75" customHeight="1">
      <c r="A75" s="22" t="s">
        <v>782</v>
      </c>
      <c r="B75" s="24" t="s">
        <v>412</v>
      </c>
      <c r="C75" s="25" t="s">
        <v>462</v>
      </c>
      <c r="D75" s="25" t="s">
        <v>243</v>
      </c>
      <c r="E75" s="29" t="s">
        <v>412</v>
      </c>
      <c r="F75" s="29" t="s">
        <v>413</v>
      </c>
      <c r="G75" s="29" t="s">
        <v>111</v>
      </c>
      <c r="H75" s="30">
        <v>1900.0</v>
      </c>
      <c r="I75" s="24" t="s">
        <v>38</v>
      </c>
      <c r="J75" s="31">
        <v>34.0</v>
      </c>
      <c r="K75" s="24" t="s">
        <v>41</v>
      </c>
      <c r="L75" s="32">
        <v>2.3</v>
      </c>
      <c r="M75" s="24" t="s">
        <v>44</v>
      </c>
      <c r="N75" s="29" t="str">
        <f t="shared" si="1"/>
        <v>Moderate</v>
      </c>
      <c r="O75" s="25" t="s">
        <v>224</v>
      </c>
      <c r="P75" s="31">
        <v>1.0</v>
      </c>
      <c r="Q75" s="29">
        <f t="shared" si="2"/>
        <v>4</v>
      </c>
      <c r="R75" s="29">
        <f t="shared" si="3"/>
        <v>4</v>
      </c>
      <c r="S75" s="31">
        <v>1.0</v>
      </c>
      <c r="T75" s="31">
        <v>1.0</v>
      </c>
      <c r="U75" s="31">
        <v>3.0</v>
      </c>
      <c r="V75" s="38">
        <f>ROUND((P75*'Business Analysis'!$D$36+Q75*'Business Analysis'!$D$37+R75*'Business Analysis'!$D$38+S75*'Business Analysis'!$D$39+T75*'Business Analysis'!$D$40+U75*'Business Analysis'!$D$41)/5*100,0)</f>
        <v>42</v>
      </c>
      <c r="W75" s="29" t="str">
        <f t="shared" si="4"/>
        <v>Low</v>
      </c>
      <c r="X75" s="25" t="s">
        <v>481</v>
      </c>
      <c r="Y75" s="29" t="s">
        <v>386</v>
      </c>
      <c r="Z75" s="25" t="s">
        <v>157</v>
      </c>
    </row>
    <row r="76" ht="15.75" customHeight="1">
      <c r="A76" s="9" t="s">
        <v>794</v>
      </c>
      <c r="B76" s="10" t="s">
        <v>412</v>
      </c>
      <c r="C76" s="12" t="s">
        <v>462</v>
      </c>
      <c r="D76" s="12" t="s">
        <v>243</v>
      </c>
      <c r="E76" s="15" t="s">
        <v>412</v>
      </c>
      <c r="F76" s="15" t="s">
        <v>413</v>
      </c>
      <c r="G76" s="15" t="s">
        <v>111</v>
      </c>
      <c r="H76" s="16">
        <v>720.0</v>
      </c>
      <c r="I76" s="10" t="s">
        <v>38</v>
      </c>
      <c r="J76" s="17">
        <v>26.0</v>
      </c>
      <c r="K76" s="10" t="s">
        <v>41</v>
      </c>
      <c r="L76" s="18">
        <v>1.9</v>
      </c>
      <c r="M76" s="10" t="s">
        <v>44</v>
      </c>
      <c r="N76" s="15" t="str">
        <f t="shared" si="1"/>
        <v>Moderate</v>
      </c>
      <c r="O76" s="12" t="s">
        <v>224</v>
      </c>
      <c r="P76" s="17">
        <v>1.0</v>
      </c>
      <c r="Q76" s="15">
        <f t="shared" si="2"/>
        <v>3</v>
      </c>
      <c r="R76" s="15">
        <f t="shared" si="3"/>
        <v>4</v>
      </c>
      <c r="S76" s="17">
        <v>1.0</v>
      </c>
      <c r="T76" s="17">
        <v>1.0</v>
      </c>
      <c r="U76" s="17">
        <v>3.0</v>
      </c>
      <c r="V76" s="21">
        <f>ROUND((P76*'Business Analysis'!$D$36+Q76*'Business Analysis'!$D$37+R76*'Business Analysis'!$D$38+S76*'Business Analysis'!$D$39+T76*'Business Analysis'!$D$40+U76*'Business Analysis'!$D$41)/5*100,0)</f>
        <v>40</v>
      </c>
      <c r="W76" s="15" t="str">
        <f t="shared" si="4"/>
        <v>Low</v>
      </c>
      <c r="X76" s="12" t="s">
        <v>481</v>
      </c>
      <c r="Y76" s="15" t="s">
        <v>386</v>
      </c>
      <c r="Z76" s="12" t="s">
        <v>157</v>
      </c>
    </row>
    <row r="77" ht="15.75" customHeight="1">
      <c r="A77" s="22" t="s">
        <v>800</v>
      </c>
      <c r="B77" s="24" t="s">
        <v>412</v>
      </c>
      <c r="C77" s="25" t="s">
        <v>462</v>
      </c>
      <c r="D77" s="25" t="s">
        <v>243</v>
      </c>
      <c r="E77" s="29" t="s">
        <v>412</v>
      </c>
      <c r="F77" s="29" t="s">
        <v>413</v>
      </c>
      <c r="G77" s="29" t="s">
        <v>111</v>
      </c>
      <c r="H77" s="30">
        <v>1300.0</v>
      </c>
      <c r="I77" s="24" t="s">
        <v>38</v>
      </c>
      <c r="J77" s="31">
        <v>30.0</v>
      </c>
      <c r="K77" s="24" t="s">
        <v>41</v>
      </c>
      <c r="L77" s="32">
        <v>1.4</v>
      </c>
      <c r="M77" s="24" t="s">
        <v>44</v>
      </c>
      <c r="N77" s="29" t="str">
        <f t="shared" si="1"/>
        <v>Moderate</v>
      </c>
      <c r="O77" s="25" t="s">
        <v>224</v>
      </c>
      <c r="P77" s="31">
        <v>1.0</v>
      </c>
      <c r="Q77" s="29">
        <f t="shared" si="2"/>
        <v>4</v>
      </c>
      <c r="R77" s="29">
        <f t="shared" si="3"/>
        <v>4</v>
      </c>
      <c r="S77" s="31">
        <v>1.0</v>
      </c>
      <c r="T77" s="31">
        <v>1.0</v>
      </c>
      <c r="U77" s="31">
        <v>3.0</v>
      </c>
      <c r="V77" s="38">
        <f>ROUND((P77*'Business Analysis'!$D$36+Q77*'Business Analysis'!$D$37+R77*'Business Analysis'!$D$38+S77*'Business Analysis'!$D$39+T77*'Business Analysis'!$D$40+U77*'Business Analysis'!$D$41)/5*100,0)</f>
        <v>42</v>
      </c>
      <c r="W77" s="29" t="str">
        <f t="shared" si="4"/>
        <v>Low</v>
      </c>
      <c r="X77" s="25" t="s">
        <v>481</v>
      </c>
      <c r="Y77" s="29" t="s">
        <v>386</v>
      </c>
      <c r="Z77" s="25" t="s">
        <v>157</v>
      </c>
    </row>
    <row r="78" ht="15.75" customHeight="1">
      <c r="A78" s="9" t="s">
        <v>811</v>
      </c>
      <c r="B78" s="10" t="s">
        <v>412</v>
      </c>
      <c r="C78" s="12" t="s">
        <v>462</v>
      </c>
      <c r="D78" s="12" t="s">
        <v>243</v>
      </c>
      <c r="E78" s="15" t="s">
        <v>412</v>
      </c>
      <c r="F78" s="15" t="s">
        <v>413</v>
      </c>
      <c r="G78" s="15" t="s">
        <v>111</v>
      </c>
      <c r="H78" s="16">
        <v>1600.0</v>
      </c>
      <c r="I78" s="10" t="s">
        <v>38</v>
      </c>
      <c r="J78" s="17">
        <v>33.0</v>
      </c>
      <c r="K78" s="10" t="s">
        <v>41</v>
      </c>
      <c r="L78" s="18">
        <v>2.5</v>
      </c>
      <c r="M78" s="10" t="s">
        <v>44</v>
      </c>
      <c r="N78" s="15" t="str">
        <f t="shared" si="1"/>
        <v>Moderate</v>
      </c>
      <c r="O78" s="12" t="s">
        <v>224</v>
      </c>
      <c r="P78" s="17">
        <v>1.0</v>
      </c>
      <c r="Q78" s="15">
        <f t="shared" si="2"/>
        <v>4</v>
      </c>
      <c r="R78" s="15">
        <f t="shared" si="3"/>
        <v>4</v>
      </c>
      <c r="S78" s="17">
        <v>1.0</v>
      </c>
      <c r="T78" s="17">
        <v>1.0</v>
      </c>
      <c r="U78" s="17">
        <v>3.0</v>
      </c>
      <c r="V78" s="21">
        <f>ROUND((P78*'Business Analysis'!$D$36+Q78*'Business Analysis'!$D$37+R78*'Business Analysis'!$D$38+S78*'Business Analysis'!$D$39+T78*'Business Analysis'!$D$40+U78*'Business Analysis'!$D$41)/5*100,0)</f>
        <v>42</v>
      </c>
      <c r="W78" s="15" t="str">
        <f t="shared" si="4"/>
        <v>Low</v>
      </c>
      <c r="X78" s="12" t="s">
        <v>481</v>
      </c>
      <c r="Y78" s="15" t="s">
        <v>386</v>
      </c>
      <c r="Z78" s="12" t="s">
        <v>157</v>
      </c>
    </row>
    <row r="79" ht="15.75" customHeight="1">
      <c r="A79" s="22" t="s">
        <v>250</v>
      </c>
      <c r="B79" s="24" t="s">
        <v>398</v>
      </c>
      <c r="C79" s="25" t="s">
        <v>833</v>
      </c>
      <c r="D79" s="25" t="s">
        <v>249</v>
      </c>
      <c r="E79" s="29" t="s">
        <v>356</v>
      </c>
      <c r="F79" s="29" t="s">
        <v>208</v>
      </c>
      <c r="G79" s="29" t="s">
        <v>36</v>
      </c>
      <c r="H79" s="30">
        <v>110.0</v>
      </c>
      <c r="I79" s="24" t="s">
        <v>38</v>
      </c>
      <c r="J79" s="31">
        <v>30.0</v>
      </c>
      <c r="K79" s="24" t="s">
        <v>41</v>
      </c>
      <c r="L79" s="32">
        <v>10.4</v>
      </c>
      <c r="M79" s="24" t="s">
        <v>44</v>
      </c>
      <c r="N79" s="29" t="str">
        <f t="shared" si="1"/>
        <v>Moderate</v>
      </c>
      <c r="O79" s="25" t="s">
        <v>598</v>
      </c>
      <c r="P79" s="31">
        <v>4.0</v>
      </c>
      <c r="Q79" s="29">
        <f t="shared" si="2"/>
        <v>2</v>
      </c>
      <c r="R79" s="29">
        <f t="shared" si="3"/>
        <v>4</v>
      </c>
      <c r="S79" s="31">
        <v>4.0</v>
      </c>
      <c r="T79" s="31">
        <v>4.0</v>
      </c>
      <c r="U79" s="31">
        <v>5.0</v>
      </c>
      <c r="V79" s="38">
        <f>ROUND((P79*'Business Analysis'!$D$36+Q79*'Business Analysis'!$D$37+R79*'Business Analysis'!$D$38+S79*'Business Analysis'!$D$39+T79*'Business Analysis'!$D$40+U79*'Business Analysis'!$D$41)/5*100,0)</f>
        <v>78</v>
      </c>
      <c r="W79" s="29" t="str">
        <f t="shared" si="4"/>
        <v>High</v>
      </c>
      <c r="X79" s="25" t="s">
        <v>489</v>
      </c>
      <c r="Y79" s="29" t="s">
        <v>386</v>
      </c>
      <c r="Z79" s="25" t="s">
        <v>844</v>
      </c>
    </row>
    <row r="80" ht="15.75" customHeight="1">
      <c r="A80" s="9" t="s">
        <v>845</v>
      </c>
      <c r="B80" s="10" t="s">
        <v>398</v>
      </c>
      <c r="C80" s="12" t="s">
        <v>833</v>
      </c>
      <c r="D80" s="12" t="s">
        <v>249</v>
      </c>
      <c r="E80" s="15" t="s">
        <v>356</v>
      </c>
      <c r="F80" s="15" t="s">
        <v>208</v>
      </c>
      <c r="G80" s="15" t="s">
        <v>111</v>
      </c>
      <c r="H80" s="16">
        <v>1300.0</v>
      </c>
      <c r="I80" s="10" t="s">
        <v>38</v>
      </c>
      <c r="J80" s="17">
        <v>40.0</v>
      </c>
      <c r="K80" s="10" t="s">
        <v>41</v>
      </c>
      <c r="L80" s="18">
        <v>4.6</v>
      </c>
      <c r="M80" s="10" t="s">
        <v>44</v>
      </c>
      <c r="N80" s="15" t="str">
        <f t="shared" si="1"/>
        <v>Moderate</v>
      </c>
      <c r="O80" s="12" t="s">
        <v>224</v>
      </c>
      <c r="P80" s="17">
        <v>4.0</v>
      </c>
      <c r="Q80" s="15">
        <f t="shared" si="2"/>
        <v>4</v>
      </c>
      <c r="R80" s="15">
        <f t="shared" si="3"/>
        <v>3</v>
      </c>
      <c r="S80" s="17">
        <v>3.0</v>
      </c>
      <c r="T80" s="17">
        <v>3.0</v>
      </c>
      <c r="U80" s="17">
        <v>4.0</v>
      </c>
      <c r="V80" s="21">
        <f>ROUND((P80*'Business Analysis'!$D$36+Q80*'Business Analysis'!$D$37+R80*'Business Analysis'!$D$38+S80*'Business Analysis'!$D$39+T80*'Business Analysis'!$D$40+U80*'Business Analysis'!$D$41)/5*100,0)</f>
        <v>69</v>
      </c>
      <c r="W80" s="15" t="str">
        <f t="shared" si="4"/>
        <v>Medium</v>
      </c>
      <c r="X80" s="12" t="s">
        <v>489</v>
      </c>
      <c r="Y80" s="15" t="s">
        <v>386</v>
      </c>
      <c r="Z80" s="12" t="s">
        <v>157</v>
      </c>
    </row>
    <row r="81" ht="15.75" customHeight="1">
      <c r="A81" s="22" t="s">
        <v>855</v>
      </c>
      <c r="B81" s="24" t="s">
        <v>421</v>
      </c>
      <c r="C81" s="25" t="s">
        <v>833</v>
      </c>
      <c r="D81" s="25" t="s">
        <v>249</v>
      </c>
      <c r="E81" s="29" t="s">
        <v>356</v>
      </c>
      <c r="F81" s="29" t="s">
        <v>208</v>
      </c>
      <c r="G81" s="29" t="s">
        <v>111</v>
      </c>
      <c r="H81" s="30">
        <v>6600.0</v>
      </c>
      <c r="I81" s="24" t="s">
        <v>38</v>
      </c>
      <c r="J81" s="31">
        <v>48.0</v>
      </c>
      <c r="K81" s="24" t="s">
        <v>41</v>
      </c>
      <c r="L81" s="32">
        <v>4.9</v>
      </c>
      <c r="M81" s="24" t="s">
        <v>44</v>
      </c>
      <c r="N81" s="29" t="str">
        <f t="shared" si="1"/>
        <v>Competitive</v>
      </c>
      <c r="O81" s="25" t="s">
        <v>224</v>
      </c>
      <c r="P81" s="31">
        <v>4.0</v>
      </c>
      <c r="Q81" s="29">
        <f t="shared" si="2"/>
        <v>5</v>
      </c>
      <c r="R81" s="29">
        <f t="shared" si="3"/>
        <v>2</v>
      </c>
      <c r="S81" s="31">
        <v>3.0</v>
      </c>
      <c r="T81" s="31">
        <v>3.0</v>
      </c>
      <c r="U81" s="31">
        <v>4.0</v>
      </c>
      <c r="V81" s="38">
        <f>ROUND((P81*'Business Analysis'!$D$36+Q81*'Business Analysis'!$D$37+R81*'Business Analysis'!$D$38+S81*'Business Analysis'!$D$39+T81*'Business Analysis'!$D$40+U81*'Business Analysis'!$D$41)/5*100,0)</f>
        <v>67</v>
      </c>
      <c r="W81" s="29" t="str">
        <f t="shared" si="4"/>
        <v>Medium</v>
      </c>
      <c r="X81" s="25" t="s">
        <v>489</v>
      </c>
      <c r="Y81" s="29" t="s">
        <v>386</v>
      </c>
      <c r="Z81" s="25" t="s">
        <v>157</v>
      </c>
    </row>
    <row r="82" ht="15.75" customHeight="1">
      <c r="A82" s="9" t="s">
        <v>863</v>
      </c>
      <c r="B82" s="10" t="s">
        <v>421</v>
      </c>
      <c r="C82" s="12" t="s">
        <v>833</v>
      </c>
      <c r="D82" s="12" t="s">
        <v>249</v>
      </c>
      <c r="E82" s="15" t="s">
        <v>356</v>
      </c>
      <c r="F82" s="15" t="s">
        <v>208</v>
      </c>
      <c r="G82" s="15" t="s">
        <v>111</v>
      </c>
      <c r="H82" s="16">
        <v>4400.0</v>
      </c>
      <c r="I82" s="10" t="s">
        <v>38</v>
      </c>
      <c r="J82" s="17">
        <v>44.0</v>
      </c>
      <c r="K82" s="10" t="s">
        <v>41</v>
      </c>
      <c r="L82" s="18">
        <v>5.1</v>
      </c>
      <c r="M82" s="10" t="s">
        <v>44</v>
      </c>
      <c r="N82" s="15" t="str">
        <f t="shared" si="1"/>
        <v>Competitive</v>
      </c>
      <c r="O82" s="12" t="s">
        <v>224</v>
      </c>
      <c r="P82" s="17">
        <v>4.0</v>
      </c>
      <c r="Q82" s="15">
        <f t="shared" si="2"/>
        <v>5</v>
      </c>
      <c r="R82" s="15">
        <f t="shared" si="3"/>
        <v>3</v>
      </c>
      <c r="S82" s="17">
        <v>3.0</v>
      </c>
      <c r="T82" s="17">
        <v>3.0</v>
      </c>
      <c r="U82" s="17">
        <v>4.0</v>
      </c>
      <c r="V82" s="21">
        <f>ROUND((P82*'Business Analysis'!$D$36+Q82*'Business Analysis'!$D$37+R82*'Business Analysis'!$D$38+S82*'Business Analysis'!$D$39+T82*'Business Analysis'!$D$40+U82*'Business Analysis'!$D$41)/5*100,0)</f>
        <v>71</v>
      </c>
      <c r="W82" s="15" t="str">
        <f t="shared" si="4"/>
        <v>Medium</v>
      </c>
      <c r="X82" s="12" t="s">
        <v>489</v>
      </c>
      <c r="Y82" s="15" t="s">
        <v>386</v>
      </c>
      <c r="Z82" s="12" t="s">
        <v>157</v>
      </c>
    </row>
    <row r="83" ht="15.75" customHeight="1">
      <c r="A83" s="22" t="s">
        <v>874</v>
      </c>
      <c r="B83" s="24" t="s">
        <v>421</v>
      </c>
      <c r="C83" s="25" t="s">
        <v>833</v>
      </c>
      <c r="D83" s="25" t="s">
        <v>249</v>
      </c>
      <c r="E83" s="29" t="s">
        <v>356</v>
      </c>
      <c r="F83" s="29" t="s">
        <v>208</v>
      </c>
      <c r="G83" s="29" t="s">
        <v>111</v>
      </c>
      <c r="H83" s="30">
        <v>590.0</v>
      </c>
      <c r="I83" s="24" t="s">
        <v>38</v>
      </c>
      <c r="J83" s="31">
        <v>33.0</v>
      </c>
      <c r="K83" s="24" t="s">
        <v>41</v>
      </c>
      <c r="L83" s="32">
        <v>5.6</v>
      </c>
      <c r="M83" s="24" t="s">
        <v>44</v>
      </c>
      <c r="N83" s="29" t="str">
        <f t="shared" si="1"/>
        <v>Moderate</v>
      </c>
      <c r="O83" s="25" t="s">
        <v>493</v>
      </c>
      <c r="P83" s="31">
        <v>4.0</v>
      </c>
      <c r="Q83" s="29">
        <f t="shared" si="2"/>
        <v>3</v>
      </c>
      <c r="R83" s="29">
        <f t="shared" si="3"/>
        <v>4</v>
      </c>
      <c r="S83" s="31">
        <v>3.0</v>
      </c>
      <c r="T83" s="31">
        <v>3.0</v>
      </c>
      <c r="U83" s="31">
        <v>4.0</v>
      </c>
      <c r="V83" s="38">
        <f>ROUND((P83*'Business Analysis'!$D$36+Q83*'Business Analysis'!$D$37+R83*'Business Analysis'!$D$38+S83*'Business Analysis'!$D$39+T83*'Business Analysis'!$D$40+U83*'Business Analysis'!$D$41)/5*100,0)</f>
        <v>71</v>
      </c>
      <c r="W83" s="29" t="str">
        <f t="shared" si="4"/>
        <v>Medium</v>
      </c>
      <c r="X83" s="25" t="s">
        <v>489</v>
      </c>
      <c r="Y83" s="29" t="s">
        <v>386</v>
      </c>
      <c r="Z83" s="25" t="s">
        <v>157</v>
      </c>
    </row>
    <row r="84" ht="15.75" customHeight="1">
      <c r="A84" s="9" t="s">
        <v>880</v>
      </c>
      <c r="B84" s="10" t="s">
        <v>421</v>
      </c>
      <c r="C84" s="12" t="s">
        <v>833</v>
      </c>
      <c r="D84" s="12" t="s">
        <v>249</v>
      </c>
      <c r="E84" s="15" t="s">
        <v>356</v>
      </c>
      <c r="F84" s="15" t="s">
        <v>208</v>
      </c>
      <c r="G84" s="15" t="s">
        <v>111</v>
      </c>
      <c r="H84" s="16">
        <v>390.0</v>
      </c>
      <c r="I84" s="10" t="s">
        <v>38</v>
      </c>
      <c r="J84" s="17">
        <v>30.0</v>
      </c>
      <c r="K84" s="10" t="s">
        <v>41</v>
      </c>
      <c r="L84" s="18">
        <v>4.4</v>
      </c>
      <c r="M84" s="10" t="s">
        <v>44</v>
      </c>
      <c r="N84" s="15" t="str">
        <f t="shared" si="1"/>
        <v>Moderate</v>
      </c>
      <c r="O84" s="12" t="s">
        <v>224</v>
      </c>
      <c r="P84" s="17">
        <v>4.0</v>
      </c>
      <c r="Q84" s="15">
        <f t="shared" si="2"/>
        <v>3</v>
      </c>
      <c r="R84" s="15">
        <f t="shared" si="3"/>
        <v>4</v>
      </c>
      <c r="S84" s="17">
        <v>3.0</v>
      </c>
      <c r="T84" s="17">
        <v>3.0</v>
      </c>
      <c r="U84" s="17">
        <v>4.0</v>
      </c>
      <c r="V84" s="21">
        <f>ROUND((P84*'Business Analysis'!$D$36+Q84*'Business Analysis'!$D$37+R84*'Business Analysis'!$D$38+S84*'Business Analysis'!$D$39+T84*'Business Analysis'!$D$40+U84*'Business Analysis'!$D$41)/5*100,0)</f>
        <v>71</v>
      </c>
      <c r="W84" s="15" t="str">
        <f t="shared" si="4"/>
        <v>Medium</v>
      </c>
      <c r="X84" s="12" t="s">
        <v>489</v>
      </c>
      <c r="Y84" s="15" t="s">
        <v>386</v>
      </c>
      <c r="Z84" s="12" t="s">
        <v>157</v>
      </c>
    </row>
    <row r="85" ht="15.75" customHeight="1">
      <c r="A85" s="22" t="s">
        <v>885</v>
      </c>
      <c r="B85" s="24" t="s">
        <v>398</v>
      </c>
      <c r="C85" s="25" t="s">
        <v>833</v>
      </c>
      <c r="D85" s="25" t="s">
        <v>249</v>
      </c>
      <c r="E85" s="29" t="s">
        <v>356</v>
      </c>
      <c r="F85" s="29" t="s">
        <v>208</v>
      </c>
      <c r="G85" s="29" t="s">
        <v>111</v>
      </c>
      <c r="H85" s="30">
        <v>40.0</v>
      </c>
      <c r="I85" s="24" t="s">
        <v>38</v>
      </c>
      <c r="J85" s="31">
        <v>22.0</v>
      </c>
      <c r="K85" s="24" t="s">
        <v>41</v>
      </c>
      <c r="L85" s="32">
        <v>9.1</v>
      </c>
      <c r="M85" s="24" t="s">
        <v>44</v>
      </c>
      <c r="N85" s="29" t="str">
        <f t="shared" si="1"/>
        <v>Moderate</v>
      </c>
      <c r="O85" s="25" t="s">
        <v>598</v>
      </c>
      <c r="P85" s="31">
        <v>4.0</v>
      </c>
      <c r="Q85" s="29">
        <f t="shared" si="2"/>
        <v>1</v>
      </c>
      <c r="R85" s="29">
        <f t="shared" si="3"/>
        <v>5</v>
      </c>
      <c r="S85" s="31">
        <v>4.0</v>
      </c>
      <c r="T85" s="31">
        <v>4.0</v>
      </c>
      <c r="U85" s="31">
        <v>4.0</v>
      </c>
      <c r="V85" s="38">
        <f>ROUND((P85*'Business Analysis'!$D$36+Q85*'Business Analysis'!$D$37+R85*'Business Analysis'!$D$38+S85*'Business Analysis'!$D$39+T85*'Business Analysis'!$D$40+U85*'Business Analysis'!$D$41)/5*100,0)</f>
        <v>78</v>
      </c>
      <c r="W85" s="29" t="str">
        <f t="shared" si="4"/>
        <v>High</v>
      </c>
      <c r="X85" s="25" t="s">
        <v>489</v>
      </c>
      <c r="Y85" s="29" t="s">
        <v>386</v>
      </c>
      <c r="Z85" s="25" t="s">
        <v>157</v>
      </c>
    </row>
    <row r="86" ht="15.75" customHeight="1">
      <c r="A86" s="9" t="s">
        <v>890</v>
      </c>
      <c r="B86" s="10" t="s">
        <v>398</v>
      </c>
      <c r="C86" s="12" t="s">
        <v>833</v>
      </c>
      <c r="D86" s="12" t="s">
        <v>249</v>
      </c>
      <c r="E86" s="15" t="s">
        <v>412</v>
      </c>
      <c r="F86" s="15" t="s">
        <v>413</v>
      </c>
      <c r="G86" s="15" t="s">
        <v>111</v>
      </c>
      <c r="H86" s="16">
        <v>2900.0</v>
      </c>
      <c r="I86" s="10" t="s">
        <v>38</v>
      </c>
      <c r="J86" s="17">
        <v>38.0</v>
      </c>
      <c r="K86" s="10" t="s">
        <v>41</v>
      </c>
      <c r="L86" s="18">
        <v>2.6</v>
      </c>
      <c r="M86" s="10" t="s">
        <v>44</v>
      </c>
      <c r="N86" s="15" t="str">
        <f t="shared" si="1"/>
        <v>Moderate</v>
      </c>
      <c r="O86" s="12" t="s">
        <v>224</v>
      </c>
      <c r="P86" s="17">
        <v>3.0</v>
      </c>
      <c r="Q86" s="15">
        <f t="shared" si="2"/>
        <v>5</v>
      </c>
      <c r="R86" s="15">
        <f t="shared" si="3"/>
        <v>3</v>
      </c>
      <c r="S86" s="17">
        <v>1.0</v>
      </c>
      <c r="T86" s="17">
        <v>2.0</v>
      </c>
      <c r="U86" s="17">
        <v>4.0</v>
      </c>
      <c r="V86" s="21">
        <f>ROUND((P86*'Business Analysis'!$D$36+Q86*'Business Analysis'!$D$37+R86*'Business Analysis'!$D$38+S86*'Business Analysis'!$D$39+T86*'Business Analysis'!$D$40+U86*'Business Analysis'!$D$41)/5*100,0)</f>
        <v>56</v>
      </c>
      <c r="W86" s="15" t="str">
        <f t="shared" si="4"/>
        <v>Low</v>
      </c>
      <c r="X86" s="12" t="s">
        <v>489</v>
      </c>
      <c r="Y86" s="15" t="s">
        <v>386</v>
      </c>
      <c r="Z86" s="12" t="s">
        <v>157</v>
      </c>
    </row>
    <row r="87" ht="15.75" customHeight="1">
      <c r="A87" s="22" t="s">
        <v>301</v>
      </c>
      <c r="B87" s="24" t="s">
        <v>421</v>
      </c>
      <c r="C87" s="25" t="s">
        <v>462</v>
      </c>
      <c r="D87" s="25" t="s">
        <v>298</v>
      </c>
      <c r="E87" s="29" t="s">
        <v>356</v>
      </c>
      <c r="F87" s="29" t="s">
        <v>208</v>
      </c>
      <c r="G87" s="29" t="s">
        <v>36</v>
      </c>
      <c r="H87" s="30">
        <v>140.0</v>
      </c>
      <c r="I87" s="24" t="s">
        <v>38</v>
      </c>
      <c r="J87" s="31">
        <v>20.0</v>
      </c>
      <c r="K87" s="24" t="s">
        <v>41</v>
      </c>
      <c r="L87" s="32">
        <v>3.2</v>
      </c>
      <c r="M87" s="24" t="s">
        <v>44</v>
      </c>
      <c r="N87" s="29" t="str">
        <f t="shared" si="1"/>
        <v>Low</v>
      </c>
      <c r="O87" s="25" t="s">
        <v>224</v>
      </c>
      <c r="P87" s="31">
        <v>3.0</v>
      </c>
      <c r="Q87" s="29">
        <f t="shared" si="2"/>
        <v>2</v>
      </c>
      <c r="R87" s="29">
        <f t="shared" si="3"/>
        <v>5</v>
      </c>
      <c r="S87" s="31">
        <v>3.0</v>
      </c>
      <c r="T87" s="31">
        <v>3.0</v>
      </c>
      <c r="U87" s="31">
        <v>4.0</v>
      </c>
      <c r="V87" s="38">
        <f>ROUND((P87*'Business Analysis'!$D$36+Q87*'Business Analysis'!$D$37+R87*'Business Analysis'!$D$38+S87*'Business Analysis'!$D$39+T87*'Business Analysis'!$D$40+U87*'Business Analysis'!$D$41)/5*100,0)</f>
        <v>68</v>
      </c>
      <c r="W87" s="29" t="str">
        <f t="shared" si="4"/>
        <v>Medium</v>
      </c>
      <c r="X87" s="25" t="s">
        <v>512</v>
      </c>
      <c r="Y87" s="29" t="s">
        <v>386</v>
      </c>
      <c r="Z87" s="25" t="s">
        <v>897</v>
      </c>
    </row>
    <row r="88" ht="15.75" customHeight="1">
      <c r="A88" s="9" t="s">
        <v>900</v>
      </c>
      <c r="B88" s="10" t="s">
        <v>421</v>
      </c>
      <c r="C88" s="12" t="s">
        <v>462</v>
      </c>
      <c r="D88" s="12" t="s">
        <v>298</v>
      </c>
      <c r="E88" s="15" t="s">
        <v>356</v>
      </c>
      <c r="F88" s="15" t="s">
        <v>208</v>
      </c>
      <c r="G88" s="15" t="s">
        <v>111</v>
      </c>
      <c r="H88" s="16">
        <v>880.0</v>
      </c>
      <c r="I88" s="10" t="s">
        <v>38</v>
      </c>
      <c r="J88" s="17">
        <v>28.0</v>
      </c>
      <c r="K88" s="10" t="s">
        <v>41</v>
      </c>
      <c r="L88" s="18">
        <v>3.8</v>
      </c>
      <c r="M88" s="10" t="s">
        <v>44</v>
      </c>
      <c r="N88" s="15" t="str">
        <f t="shared" si="1"/>
        <v>Moderate</v>
      </c>
      <c r="O88" s="12" t="s">
        <v>224</v>
      </c>
      <c r="P88" s="17">
        <v>3.0</v>
      </c>
      <c r="Q88" s="15">
        <f t="shared" si="2"/>
        <v>4</v>
      </c>
      <c r="R88" s="15">
        <f t="shared" si="3"/>
        <v>4</v>
      </c>
      <c r="S88" s="17">
        <v>3.0</v>
      </c>
      <c r="T88" s="17">
        <v>3.0</v>
      </c>
      <c r="U88" s="17">
        <v>3.0</v>
      </c>
      <c r="V88" s="21">
        <f>ROUND((P88*'Business Analysis'!$D$36+Q88*'Business Analysis'!$D$37+R88*'Business Analysis'!$D$38+S88*'Business Analysis'!$D$39+T88*'Business Analysis'!$D$40+U88*'Business Analysis'!$D$41)/5*100,0)</f>
        <v>66</v>
      </c>
      <c r="W88" s="15" t="str">
        <f t="shared" si="4"/>
        <v>Medium</v>
      </c>
      <c r="X88" s="12" t="s">
        <v>512</v>
      </c>
      <c r="Y88" s="15" t="s">
        <v>386</v>
      </c>
      <c r="Z88" s="12" t="s">
        <v>157</v>
      </c>
    </row>
    <row r="89" ht="15.75" customHeight="1">
      <c r="A89" s="22" t="s">
        <v>901</v>
      </c>
      <c r="B89" s="24" t="s">
        <v>412</v>
      </c>
      <c r="C89" s="25" t="s">
        <v>462</v>
      </c>
      <c r="D89" s="25" t="s">
        <v>298</v>
      </c>
      <c r="E89" s="29" t="s">
        <v>412</v>
      </c>
      <c r="F89" s="29" t="s">
        <v>413</v>
      </c>
      <c r="G89" s="29" t="s">
        <v>111</v>
      </c>
      <c r="H89" s="30">
        <v>1300.0</v>
      </c>
      <c r="I89" s="24" t="s">
        <v>38</v>
      </c>
      <c r="J89" s="31">
        <v>30.0</v>
      </c>
      <c r="K89" s="24" t="s">
        <v>41</v>
      </c>
      <c r="L89" s="32">
        <v>2.5</v>
      </c>
      <c r="M89" s="24" t="s">
        <v>44</v>
      </c>
      <c r="N89" s="29" t="str">
        <f t="shared" si="1"/>
        <v>Moderate</v>
      </c>
      <c r="O89" s="25" t="s">
        <v>224</v>
      </c>
      <c r="P89" s="31">
        <v>2.0</v>
      </c>
      <c r="Q89" s="29">
        <f t="shared" si="2"/>
        <v>4</v>
      </c>
      <c r="R89" s="29">
        <f t="shared" si="3"/>
        <v>4</v>
      </c>
      <c r="S89" s="31">
        <v>1.0</v>
      </c>
      <c r="T89" s="31">
        <v>2.0</v>
      </c>
      <c r="U89" s="31">
        <v>3.0</v>
      </c>
      <c r="V89" s="38">
        <f>ROUND((P89*'Business Analysis'!$D$36+Q89*'Business Analysis'!$D$37+R89*'Business Analysis'!$D$38+S89*'Business Analysis'!$D$39+T89*'Business Analysis'!$D$40+U89*'Business Analysis'!$D$41)/5*100,0)</f>
        <v>51</v>
      </c>
      <c r="W89" s="29" t="str">
        <f t="shared" si="4"/>
        <v>Low</v>
      </c>
      <c r="X89" s="25" t="s">
        <v>512</v>
      </c>
      <c r="Y89" s="29" t="s">
        <v>386</v>
      </c>
      <c r="Z89" s="25" t="s">
        <v>157</v>
      </c>
    </row>
    <row r="90" ht="15.75" customHeight="1">
      <c r="A90" s="9" t="s">
        <v>903</v>
      </c>
      <c r="B90" s="10" t="s">
        <v>421</v>
      </c>
      <c r="C90" s="12" t="s">
        <v>462</v>
      </c>
      <c r="D90" s="12" t="s">
        <v>298</v>
      </c>
      <c r="E90" s="15" t="s">
        <v>356</v>
      </c>
      <c r="F90" s="15" t="s">
        <v>208</v>
      </c>
      <c r="G90" s="15" t="s">
        <v>111</v>
      </c>
      <c r="H90" s="16">
        <v>590.0</v>
      </c>
      <c r="I90" s="10" t="s">
        <v>38</v>
      </c>
      <c r="J90" s="17">
        <v>26.0</v>
      </c>
      <c r="K90" s="10" t="s">
        <v>41</v>
      </c>
      <c r="L90" s="18">
        <v>2.2</v>
      </c>
      <c r="M90" s="10" t="s">
        <v>44</v>
      </c>
      <c r="N90" s="15" t="str">
        <f t="shared" si="1"/>
        <v>Moderate</v>
      </c>
      <c r="O90" s="12" t="s">
        <v>224</v>
      </c>
      <c r="P90" s="17">
        <v>3.0</v>
      </c>
      <c r="Q90" s="15">
        <f t="shared" si="2"/>
        <v>3</v>
      </c>
      <c r="R90" s="15">
        <f t="shared" si="3"/>
        <v>4</v>
      </c>
      <c r="S90" s="17">
        <v>3.0</v>
      </c>
      <c r="T90" s="17">
        <v>3.0</v>
      </c>
      <c r="U90" s="17">
        <v>3.0</v>
      </c>
      <c r="V90" s="21">
        <f>ROUND((P90*'Business Analysis'!$D$36+Q90*'Business Analysis'!$D$37+R90*'Business Analysis'!$D$38+S90*'Business Analysis'!$D$39+T90*'Business Analysis'!$D$40+U90*'Business Analysis'!$D$41)/5*100,0)</f>
        <v>64</v>
      </c>
      <c r="W90" s="15" t="str">
        <f t="shared" si="4"/>
        <v>Medium</v>
      </c>
      <c r="X90" s="12" t="s">
        <v>512</v>
      </c>
      <c r="Y90" s="15" t="s">
        <v>386</v>
      </c>
      <c r="Z90" s="12" t="s">
        <v>157</v>
      </c>
    </row>
    <row r="91" ht="15.75" customHeight="1">
      <c r="A91" s="22" t="s">
        <v>905</v>
      </c>
      <c r="B91" s="24" t="s">
        <v>421</v>
      </c>
      <c r="C91" s="25" t="s">
        <v>462</v>
      </c>
      <c r="D91" s="25" t="s">
        <v>298</v>
      </c>
      <c r="E91" s="29" t="s">
        <v>356</v>
      </c>
      <c r="F91" s="29" t="s">
        <v>208</v>
      </c>
      <c r="G91" s="29" t="s">
        <v>111</v>
      </c>
      <c r="H91" s="30">
        <v>30.0</v>
      </c>
      <c r="I91" s="24" t="s">
        <v>38</v>
      </c>
      <c r="J91" s="31">
        <v>14.0</v>
      </c>
      <c r="K91" s="24" t="s">
        <v>41</v>
      </c>
      <c r="L91" s="32">
        <v>8.2</v>
      </c>
      <c r="M91" s="24" t="s">
        <v>44</v>
      </c>
      <c r="N91" s="29" t="str">
        <f t="shared" si="1"/>
        <v>Low</v>
      </c>
      <c r="O91" s="25" t="s">
        <v>314</v>
      </c>
      <c r="P91" s="31">
        <v>3.0</v>
      </c>
      <c r="Q91" s="29">
        <f t="shared" si="2"/>
        <v>1</v>
      </c>
      <c r="R91" s="29">
        <f t="shared" si="3"/>
        <v>5</v>
      </c>
      <c r="S91" s="31">
        <v>4.0</v>
      </c>
      <c r="T91" s="31">
        <v>4.0</v>
      </c>
      <c r="U91" s="31">
        <v>3.0</v>
      </c>
      <c r="V91" s="38">
        <f>ROUND((P91*'Business Analysis'!$D$36+Q91*'Business Analysis'!$D$37+R91*'Business Analysis'!$D$38+S91*'Business Analysis'!$D$39+T91*'Business Analysis'!$D$40+U91*'Business Analysis'!$D$41)/5*100,0)</f>
        <v>71</v>
      </c>
      <c r="W91" s="29" t="str">
        <f t="shared" si="4"/>
        <v>Medium</v>
      </c>
      <c r="X91" s="25" t="s">
        <v>512</v>
      </c>
      <c r="Y91" s="29" t="s">
        <v>386</v>
      </c>
      <c r="Z91" s="25" t="s">
        <v>157</v>
      </c>
    </row>
    <row r="92" ht="15.75" customHeight="1">
      <c r="A92" s="9" t="s">
        <v>339</v>
      </c>
      <c r="B92" s="10" t="s">
        <v>299</v>
      </c>
      <c r="C92" s="12" t="s">
        <v>833</v>
      </c>
      <c r="D92" s="12" t="s">
        <v>338</v>
      </c>
      <c r="E92" s="15" t="s">
        <v>305</v>
      </c>
      <c r="F92" s="15" t="s">
        <v>35</v>
      </c>
      <c r="G92" s="15" t="s">
        <v>36</v>
      </c>
      <c r="H92" s="16">
        <v>320.0</v>
      </c>
      <c r="I92" s="10" t="s">
        <v>38</v>
      </c>
      <c r="J92" s="17">
        <v>36.0</v>
      </c>
      <c r="K92" s="10" t="s">
        <v>41</v>
      </c>
      <c r="L92" s="18">
        <v>9.4</v>
      </c>
      <c r="M92" s="10" t="s">
        <v>44</v>
      </c>
      <c r="N92" s="15" t="str">
        <f t="shared" si="1"/>
        <v>Moderate</v>
      </c>
      <c r="O92" s="12" t="s">
        <v>314</v>
      </c>
      <c r="P92" s="17">
        <v>4.0</v>
      </c>
      <c r="Q92" s="15">
        <f t="shared" si="2"/>
        <v>3</v>
      </c>
      <c r="R92" s="15">
        <f t="shared" si="3"/>
        <v>3</v>
      </c>
      <c r="S92" s="17">
        <v>5.0</v>
      </c>
      <c r="T92" s="17">
        <v>5.0</v>
      </c>
      <c r="U92" s="17">
        <v>5.0</v>
      </c>
      <c r="V92" s="21">
        <f>ROUND((P92*'Business Analysis'!$D$36+Q92*'Business Analysis'!$D$37+R92*'Business Analysis'!$D$38+S92*'Business Analysis'!$D$39+T92*'Business Analysis'!$D$40+U92*'Business Analysis'!$D$41)/5*100,0)</f>
        <v>83</v>
      </c>
      <c r="W92" s="15" t="str">
        <f t="shared" si="4"/>
        <v>High</v>
      </c>
      <c r="X92" s="12" t="s">
        <v>343</v>
      </c>
      <c r="Y92" s="15" t="s">
        <v>77</v>
      </c>
      <c r="Z92" s="12" t="s">
        <v>908</v>
      </c>
    </row>
    <row r="93" ht="15.75" customHeight="1">
      <c r="A93" s="22" t="s">
        <v>909</v>
      </c>
      <c r="B93" s="24" t="s">
        <v>337</v>
      </c>
      <c r="C93" s="25" t="s">
        <v>833</v>
      </c>
      <c r="D93" s="25" t="s">
        <v>338</v>
      </c>
      <c r="E93" s="29" t="s">
        <v>305</v>
      </c>
      <c r="F93" s="29" t="s">
        <v>35</v>
      </c>
      <c r="G93" s="29" t="s">
        <v>111</v>
      </c>
      <c r="H93" s="30">
        <v>170.0</v>
      </c>
      <c r="I93" s="24" t="s">
        <v>38</v>
      </c>
      <c r="J93" s="31">
        <v>35.0</v>
      </c>
      <c r="K93" s="24" t="s">
        <v>41</v>
      </c>
      <c r="L93" s="32">
        <v>9.6</v>
      </c>
      <c r="M93" s="24" t="s">
        <v>44</v>
      </c>
      <c r="N93" s="29" t="str">
        <f t="shared" si="1"/>
        <v>Moderate</v>
      </c>
      <c r="O93" s="25" t="s">
        <v>314</v>
      </c>
      <c r="P93" s="31">
        <v>4.0</v>
      </c>
      <c r="Q93" s="29">
        <f t="shared" si="2"/>
        <v>2</v>
      </c>
      <c r="R93" s="29">
        <f t="shared" si="3"/>
        <v>4</v>
      </c>
      <c r="S93" s="31">
        <v>5.0</v>
      </c>
      <c r="T93" s="31">
        <v>5.0</v>
      </c>
      <c r="U93" s="31">
        <v>4.0</v>
      </c>
      <c r="V93" s="38">
        <f>ROUND((P93*'Business Analysis'!$D$36+Q93*'Business Analysis'!$D$37+R93*'Business Analysis'!$D$38+S93*'Business Analysis'!$D$39+T93*'Business Analysis'!$D$40+U93*'Business Analysis'!$D$41)/5*100,0)</f>
        <v>83</v>
      </c>
      <c r="W93" s="29" t="str">
        <f t="shared" si="4"/>
        <v>High</v>
      </c>
      <c r="X93" s="25" t="s">
        <v>343</v>
      </c>
      <c r="Y93" s="29" t="s">
        <v>77</v>
      </c>
      <c r="Z93" s="25" t="s">
        <v>157</v>
      </c>
    </row>
    <row r="94" ht="15.75" customHeight="1">
      <c r="A94" s="9" t="s">
        <v>911</v>
      </c>
      <c r="B94" s="10" t="s">
        <v>299</v>
      </c>
      <c r="C94" s="12" t="s">
        <v>833</v>
      </c>
      <c r="D94" s="12" t="s">
        <v>338</v>
      </c>
      <c r="E94" s="15" t="s">
        <v>305</v>
      </c>
      <c r="F94" s="15" t="s">
        <v>35</v>
      </c>
      <c r="G94" s="15" t="s">
        <v>111</v>
      </c>
      <c r="H94" s="16">
        <v>60.0</v>
      </c>
      <c r="I94" s="10" t="s">
        <v>38</v>
      </c>
      <c r="J94" s="17">
        <v>22.0</v>
      </c>
      <c r="K94" s="10" t="s">
        <v>41</v>
      </c>
      <c r="L94" s="18">
        <v>8.8</v>
      </c>
      <c r="M94" s="10" t="s">
        <v>44</v>
      </c>
      <c r="N94" s="15" t="str">
        <f t="shared" si="1"/>
        <v>Moderate</v>
      </c>
      <c r="O94" s="12" t="s">
        <v>314</v>
      </c>
      <c r="P94" s="17">
        <v>4.0</v>
      </c>
      <c r="Q94" s="15">
        <f t="shared" si="2"/>
        <v>1</v>
      </c>
      <c r="R94" s="15">
        <f t="shared" si="3"/>
        <v>5</v>
      </c>
      <c r="S94" s="17">
        <v>5.0</v>
      </c>
      <c r="T94" s="17">
        <v>5.0</v>
      </c>
      <c r="U94" s="17">
        <v>4.0</v>
      </c>
      <c r="V94" s="21">
        <f>ROUND((P94*'Business Analysis'!$D$36+Q94*'Business Analysis'!$D$37+R94*'Business Analysis'!$D$38+S94*'Business Analysis'!$D$39+T94*'Business Analysis'!$D$40+U94*'Business Analysis'!$D$41)/5*100,0)</f>
        <v>85</v>
      </c>
      <c r="W94" s="15" t="str">
        <f t="shared" si="4"/>
        <v>High</v>
      </c>
      <c r="X94" s="12" t="s">
        <v>343</v>
      </c>
      <c r="Y94" s="15" t="s">
        <v>77</v>
      </c>
      <c r="Z94" s="12" t="s">
        <v>157</v>
      </c>
    </row>
    <row r="95" ht="15.75" customHeight="1">
      <c r="A95" s="22" t="s">
        <v>912</v>
      </c>
      <c r="B95" s="24" t="s">
        <v>299</v>
      </c>
      <c r="C95" s="25" t="s">
        <v>833</v>
      </c>
      <c r="D95" s="25" t="s">
        <v>338</v>
      </c>
      <c r="E95" s="29" t="s">
        <v>305</v>
      </c>
      <c r="F95" s="29" t="s">
        <v>35</v>
      </c>
      <c r="G95" s="29" t="s">
        <v>111</v>
      </c>
      <c r="H95" s="30">
        <v>70.0</v>
      </c>
      <c r="I95" s="24" t="s">
        <v>38</v>
      </c>
      <c r="J95" s="31">
        <v>24.0</v>
      </c>
      <c r="K95" s="24" t="s">
        <v>41</v>
      </c>
      <c r="L95" s="32">
        <v>8.6</v>
      </c>
      <c r="M95" s="24" t="s">
        <v>44</v>
      </c>
      <c r="N95" s="29" t="str">
        <f t="shared" si="1"/>
        <v>Moderate</v>
      </c>
      <c r="O95" s="25" t="s">
        <v>314</v>
      </c>
      <c r="P95" s="31">
        <v>4.0</v>
      </c>
      <c r="Q95" s="29">
        <f t="shared" si="2"/>
        <v>1</v>
      </c>
      <c r="R95" s="29">
        <f t="shared" si="3"/>
        <v>5</v>
      </c>
      <c r="S95" s="31">
        <v>5.0</v>
      </c>
      <c r="T95" s="31">
        <v>5.0</v>
      </c>
      <c r="U95" s="31">
        <v>4.0</v>
      </c>
      <c r="V95" s="38">
        <f>ROUND((P95*'Business Analysis'!$D$36+Q95*'Business Analysis'!$D$37+R95*'Business Analysis'!$D$38+S95*'Business Analysis'!$D$39+T95*'Business Analysis'!$D$40+U95*'Business Analysis'!$D$41)/5*100,0)</f>
        <v>85</v>
      </c>
      <c r="W95" s="29" t="str">
        <f t="shared" si="4"/>
        <v>High</v>
      </c>
      <c r="X95" s="25" t="s">
        <v>343</v>
      </c>
      <c r="Y95" s="29" t="s">
        <v>77</v>
      </c>
      <c r="Z95" s="25" t="s">
        <v>157</v>
      </c>
    </row>
    <row r="96" ht="15.75" customHeight="1">
      <c r="A96" s="9" t="s">
        <v>915</v>
      </c>
      <c r="B96" s="10" t="s">
        <v>305</v>
      </c>
      <c r="C96" s="12" t="s">
        <v>833</v>
      </c>
      <c r="D96" s="12" t="s">
        <v>338</v>
      </c>
      <c r="E96" s="15" t="s">
        <v>305</v>
      </c>
      <c r="F96" s="15" t="s">
        <v>35</v>
      </c>
      <c r="G96" s="15" t="s">
        <v>111</v>
      </c>
      <c r="H96" s="16">
        <v>90.0</v>
      </c>
      <c r="I96" s="10" t="s">
        <v>38</v>
      </c>
      <c r="J96" s="17">
        <v>28.0</v>
      </c>
      <c r="K96" s="10" t="s">
        <v>41</v>
      </c>
      <c r="L96" s="18">
        <v>9.1</v>
      </c>
      <c r="M96" s="10" t="s">
        <v>44</v>
      </c>
      <c r="N96" s="15" t="str">
        <f t="shared" si="1"/>
        <v>Moderate</v>
      </c>
      <c r="O96" s="12" t="s">
        <v>314</v>
      </c>
      <c r="P96" s="17">
        <v>4.0</v>
      </c>
      <c r="Q96" s="15">
        <f t="shared" si="2"/>
        <v>1</v>
      </c>
      <c r="R96" s="15">
        <f t="shared" si="3"/>
        <v>4</v>
      </c>
      <c r="S96" s="17">
        <v>5.0</v>
      </c>
      <c r="T96" s="17">
        <v>5.0</v>
      </c>
      <c r="U96" s="17">
        <v>4.0</v>
      </c>
      <c r="V96" s="21">
        <f>ROUND((P96*'Business Analysis'!$D$36+Q96*'Business Analysis'!$D$37+R96*'Business Analysis'!$D$38+S96*'Business Analysis'!$D$39+T96*'Business Analysis'!$D$40+U96*'Business Analysis'!$D$41)/5*100,0)</f>
        <v>81</v>
      </c>
      <c r="W96" s="15" t="str">
        <f t="shared" si="4"/>
        <v>High</v>
      </c>
      <c r="X96" s="12" t="s">
        <v>343</v>
      </c>
      <c r="Y96" s="15" t="s">
        <v>77</v>
      </c>
      <c r="Z96" s="12" t="s">
        <v>157</v>
      </c>
    </row>
    <row r="97" ht="15.75" customHeight="1">
      <c r="A97" s="22" t="s">
        <v>919</v>
      </c>
      <c r="B97" s="24" t="s">
        <v>305</v>
      </c>
      <c r="C97" s="25" t="s">
        <v>833</v>
      </c>
      <c r="D97" s="25" t="s">
        <v>338</v>
      </c>
      <c r="E97" s="29" t="s">
        <v>305</v>
      </c>
      <c r="F97" s="29" t="s">
        <v>35</v>
      </c>
      <c r="G97" s="29" t="s">
        <v>111</v>
      </c>
      <c r="H97" s="30">
        <v>50.0</v>
      </c>
      <c r="I97" s="24" t="s">
        <v>38</v>
      </c>
      <c r="J97" s="31">
        <v>22.0</v>
      </c>
      <c r="K97" s="24" t="s">
        <v>41</v>
      </c>
      <c r="L97" s="32">
        <v>8.7</v>
      </c>
      <c r="M97" s="24" t="s">
        <v>44</v>
      </c>
      <c r="N97" s="29" t="str">
        <f t="shared" si="1"/>
        <v>Moderate</v>
      </c>
      <c r="O97" s="25" t="s">
        <v>314</v>
      </c>
      <c r="P97" s="31">
        <v>4.0</v>
      </c>
      <c r="Q97" s="29">
        <f t="shared" si="2"/>
        <v>1</v>
      </c>
      <c r="R97" s="29">
        <f t="shared" si="3"/>
        <v>5</v>
      </c>
      <c r="S97" s="31">
        <v>5.0</v>
      </c>
      <c r="T97" s="31">
        <v>5.0</v>
      </c>
      <c r="U97" s="31">
        <v>4.0</v>
      </c>
      <c r="V97" s="38">
        <f>ROUND((P97*'Business Analysis'!$D$36+Q97*'Business Analysis'!$D$37+R97*'Business Analysis'!$D$38+S97*'Business Analysis'!$D$39+T97*'Business Analysis'!$D$40+U97*'Business Analysis'!$D$41)/5*100,0)</f>
        <v>85</v>
      </c>
      <c r="W97" s="29" t="str">
        <f t="shared" si="4"/>
        <v>High</v>
      </c>
      <c r="X97" s="25" t="s">
        <v>343</v>
      </c>
      <c r="Y97" s="29" t="s">
        <v>77</v>
      </c>
      <c r="Z97" s="25" t="s">
        <v>157</v>
      </c>
    </row>
    <row r="98" ht="15.75" customHeight="1">
      <c r="A98" s="9" t="s">
        <v>920</v>
      </c>
      <c r="B98" s="10" t="s">
        <v>356</v>
      </c>
      <c r="C98" s="12" t="s">
        <v>833</v>
      </c>
      <c r="D98" s="12" t="s">
        <v>338</v>
      </c>
      <c r="E98" s="15" t="s">
        <v>356</v>
      </c>
      <c r="F98" s="15" t="s">
        <v>208</v>
      </c>
      <c r="G98" s="15" t="s">
        <v>111</v>
      </c>
      <c r="H98" s="16">
        <v>40.0</v>
      </c>
      <c r="I98" s="10" t="s">
        <v>38</v>
      </c>
      <c r="J98" s="17">
        <v>24.0</v>
      </c>
      <c r="K98" s="10" t="s">
        <v>41</v>
      </c>
      <c r="L98" s="18">
        <v>8.2</v>
      </c>
      <c r="M98" s="10" t="s">
        <v>44</v>
      </c>
      <c r="N98" s="15" t="str">
        <f t="shared" si="1"/>
        <v>Moderate</v>
      </c>
      <c r="O98" s="12" t="s">
        <v>314</v>
      </c>
      <c r="P98" s="17">
        <v>3.0</v>
      </c>
      <c r="Q98" s="15">
        <f t="shared" si="2"/>
        <v>1</v>
      </c>
      <c r="R98" s="15">
        <f t="shared" si="3"/>
        <v>5</v>
      </c>
      <c r="S98" s="17">
        <v>4.0</v>
      </c>
      <c r="T98" s="17">
        <v>4.0</v>
      </c>
      <c r="U98" s="17">
        <v>4.0</v>
      </c>
      <c r="V98" s="21">
        <f>ROUND((P98*'Business Analysis'!$D$36+Q98*'Business Analysis'!$D$37+R98*'Business Analysis'!$D$38+S98*'Business Analysis'!$D$39+T98*'Business Analysis'!$D$40+U98*'Business Analysis'!$D$41)/5*100,0)</f>
        <v>73</v>
      </c>
      <c r="W98" s="15" t="str">
        <f t="shared" si="4"/>
        <v>Medium</v>
      </c>
      <c r="X98" s="12" t="s">
        <v>343</v>
      </c>
      <c r="Y98" s="15" t="s">
        <v>77</v>
      </c>
      <c r="Z98" s="12" t="s">
        <v>157</v>
      </c>
    </row>
    <row r="99" ht="15.75" customHeight="1">
      <c r="A99" s="22" t="s">
        <v>345</v>
      </c>
      <c r="B99" s="24" t="s">
        <v>356</v>
      </c>
      <c r="C99" s="25" t="s">
        <v>833</v>
      </c>
      <c r="D99" s="25" t="s">
        <v>344</v>
      </c>
      <c r="E99" s="29" t="s">
        <v>356</v>
      </c>
      <c r="F99" s="29" t="s">
        <v>208</v>
      </c>
      <c r="G99" s="29" t="s">
        <v>36</v>
      </c>
      <c r="H99" s="30">
        <v>12100.0</v>
      </c>
      <c r="I99" s="24" t="s">
        <v>38</v>
      </c>
      <c r="J99" s="31">
        <v>55.0</v>
      </c>
      <c r="K99" s="24" t="s">
        <v>41</v>
      </c>
      <c r="L99" s="32">
        <v>4.3</v>
      </c>
      <c r="M99" s="24" t="s">
        <v>44</v>
      </c>
      <c r="N99" s="29" t="str">
        <f t="shared" si="1"/>
        <v>Competitive</v>
      </c>
      <c r="O99" s="25" t="s">
        <v>493</v>
      </c>
      <c r="P99" s="31">
        <v>2.0</v>
      </c>
      <c r="Q99" s="29">
        <f t="shared" si="2"/>
        <v>5</v>
      </c>
      <c r="R99" s="29">
        <f t="shared" si="3"/>
        <v>2</v>
      </c>
      <c r="S99" s="31">
        <v>3.0</v>
      </c>
      <c r="T99" s="31">
        <v>3.0</v>
      </c>
      <c r="U99" s="31">
        <v>4.0</v>
      </c>
      <c r="V99" s="38">
        <f>ROUND((P99*'Business Analysis'!$D$36+Q99*'Business Analysis'!$D$37+R99*'Business Analysis'!$D$38+S99*'Business Analysis'!$D$39+T99*'Business Analysis'!$D$40+U99*'Business Analysis'!$D$41)/5*100,0)</f>
        <v>57</v>
      </c>
      <c r="W99" s="29" t="str">
        <f t="shared" si="4"/>
        <v>Low</v>
      </c>
      <c r="X99" s="25" t="s">
        <v>523</v>
      </c>
      <c r="Y99" s="29" t="s">
        <v>386</v>
      </c>
      <c r="Z99" s="25" t="s">
        <v>925</v>
      </c>
    </row>
    <row r="100" ht="15.75" customHeight="1">
      <c r="A100" s="9" t="s">
        <v>346</v>
      </c>
      <c r="B100" s="10" t="s">
        <v>356</v>
      </c>
      <c r="C100" s="12" t="s">
        <v>833</v>
      </c>
      <c r="D100" s="12" t="s">
        <v>344</v>
      </c>
      <c r="E100" s="15" t="s">
        <v>356</v>
      </c>
      <c r="F100" s="15" t="s">
        <v>208</v>
      </c>
      <c r="G100" s="15" t="s">
        <v>111</v>
      </c>
      <c r="H100" s="16">
        <v>3600.0</v>
      </c>
      <c r="I100" s="10" t="s">
        <v>38</v>
      </c>
      <c r="J100" s="17">
        <v>42.0</v>
      </c>
      <c r="K100" s="10" t="s">
        <v>41</v>
      </c>
      <c r="L100" s="18">
        <v>4.1</v>
      </c>
      <c r="M100" s="10" t="s">
        <v>44</v>
      </c>
      <c r="N100" s="15" t="str">
        <f t="shared" si="1"/>
        <v>Competitive</v>
      </c>
      <c r="O100" s="12" t="s">
        <v>493</v>
      </c>
      <c r="P100" s="17">
        <v>2.0</v>
      </c>
      <c r="Q100" s="15">
        <f t="shared" si="2"/>
        <v>5</v>
      </c>
      <c r="R100" s="15">
        <f t="shared" si="3"/>
        <v>3</v>
      </c>
      <c r="S100" s="17">
        <v>3.0</v>
      </c>
      <c r="T100" s="17">
        <v>3.0</v>
      </c>
      <c r="U100" s="17">
        <v>3.0</v>
      </c>
      <c r="V100" s="21">
        <f>ROUND((P100*'Business Analysis'!$D$36+Q100*'Business Analysis'!$D$37+R100*'Business Analysis'!$D$38+S100*'Business Analysis'!$D$39+T100*'Business Analysis'!$D$40+U100*'Business Analysis'!$D$41)/5*100,0)</f>
        <v>59</v>
      </c>
      <c r="W100" s="15" t="str">
        <f t="shared" si="4"/>
        <v>Low</v>
      </c>
      <c r="X100" s="12" t="s">
        <v>523</v>
      </c>
      <c r="Y100" s="15" t="s">
        <v>386</v>
      </c>
      <c r="Z100" s="12" t="s">
        <v>157</v>
      </c>
    </row>
    <row r="101" ht="15.75" customHeight="1">
      <c r="A101" s="22" t="s">
        <v>926</v>
      </c>
      <c r="B101" s="24" t="s">
        <v>412</v>
      </c>
      <c r="C101" s="25" t="s">
        <v>833</v>
      </c>
      <c r="D101" s="25" t="s">
        <v>344</v>
      </c>
      <c r="E101" s="29" t="s">
        <v>412</v>
      </c>
      <c r="F101" s="29" t="s">
        <v>413</v>
      </c>
      <c r="G101" s="29" t="s">
        <v>111</v>
      </c>
      <c r="H101" s="30">
        <v>4400.0</v>
      </c>
      <c r="I101" s="24" t="s">
        <v>38</v>
      </c>
      <c r="J101" s="31">
        <v>36.0</v>
      </c>
      <c r="K101" s="24" t="s">
        <v>41</v>
      </c>
      <c r="L101" s="32">
        <v>2.1</v>
      </c>
      <c r="M101" s="24" t="s">
        <v>44</v>
      </c>
      <c r="N101" s="29" t="str">
        <f t="shared" si="1"/>
        <v>Moderate</v>
      </c>
      <c r="O101" s="25" t="s">
        <v>493</v>
      </c>
      <c r="P101" s="31">
        <v>1.0</v>
      </c>
      <c r="Q101" s="29">
        <f t="shared" si="2"/>
        <v>5</v>
      </c>
      <c r="R101" s="29">
        <f t="shared" si="3"/>
        <v>3</v>
      </c>
      <c r="S101" s="31">
        <v>1.0</v>
      </c>
      <c r="T101" s="31">
        <v>1.0</v>
      </c>
      <c r="U101" s="31">
        <v>3.0</v>
      </c>
      <c r="V101" s="38">
        <f>ROUND((P101*'Business Analysis'!$D$36+Q101*'Business Analysis'!$D$37+R101*'Business Analysis'!$D$38+S101*'Business Analysis'!$D$39+T101*'Business Analysis'!$D$40+U101*'Business Analysis'!$D$41)/5*100,0)</f>
        <v>40</v>
      </c>
      <c r="W101" s="29" t="str">
        <f t="shared" si="4"/>
        <v>Low</v>
      </c>
      <c r="X101" s="25" t="s">
        <v>523</v>
      </c>
      <c r="Y101" s="29" t="s">
        <v>386</v>
      </c>
      <c r="Z101" s="25" t="s">
        <v>157</v>
      </c>
    </row>
    <row r="102" ht="15.75" customHeight="1">
      <c r="A102" s="9" t="s">
        <v>928</v>
      </c>
      <c r="B102" s="10" t="s">
        <v>412</v>
      </c>
      <c r="C102" s="12" t="s">
        <v>833</v>
      </c>
      <c r="D102" s="12" t="s">
        <v>344</v>
      </c>
      <c r="E102" s="15" t="s">
        <v>412</v>
      </c>
      <c r="F102" s="15" t="s">
        <v>413</v>
      </c>
      <c r="G102" s="15" t="s">
        <v>111</v>
      </c>
      <c r="H102" s="16">
        <v>14800.0</v>
      </c>
      <c r="I102" s="10" t="s">
        <v>38</v>
      </c>
      <c r="J102" s="17">
        <v>35.0</v>
      </c>
      <c r="K102" s="10" t="s">
        <v>41</v>
      </c>
      <c r="L102" s="18">
        <v>0.8</v>
      </c>
      <c r="M102" s="10" t="s">
        <v>44</v>
      </c>
      <c r="N102" s="15" t="str">
        <f t="shared" si="1"/>
        <v>Moderate</v>
      </c>
      <c r="O102" s="12" t="s">
        <v>493</v>
      </c>
      <c r="P102" s="17">
        <v>1.0</v>
      </c>
      <c r="Q102" s="15">
        <f t="shared" si="2"/>
        <v>5</v>
      </c>
      <c r="R102" s="15">
        <f t="shared" si="3"/>
        <v>4</v>
      </c>
      <c r="S102" s="17">
        <v>1.0</v>
      </c>
      <c r="T102" s="17">
        <v>1.0</v>
      </c>
      <c r="U102" s="17">
        <v>3.0</v>
      </c>
      <c r="V102" s="21">
        <f>ROUND((P102*'Business Analysis'!$D$36+Q102*'Business Analysis'!$D$37+R102*'Business Analysis'!$D$38+S102*'Business Analysis'!$D$39+T102*'Business Analysis'!$D$40+U102*'Business Analysis'!$D$41)/5*100,0)</f>
        <v>44</v>
      </c>
      <c r="W102" s="15" t="str">
        <f t="shared" si="4"/>
        <v>Low</v>
      </c>
      <c r="X102" s="12" t="s">
        <v>523</v>
      </c>
      <c r="Y102" s="15" t="s">
        <v>386</v>
      </c>
      <c r="Z102" s="12" t="s">
        <v>157</v>
      </c>
    </row>
    <row r="103" ht="15.75" customHeight="1">
      <c r="A103" s="22" t="s">
        <v>930</v>
      </c>
      <c r="B103" s="24" t="s">
        <v>412</v>
      </c>
      <c r="C103" s="25" t="s">
        <v>833</v>
      </c>
      <c r="D103" s="25" t="s">
        <v>344</v>
      </c>
      <c r="E103" s="29" t="s">
        <v>412</v>
      </c>
      <c r="F103" s="29" t="s">
        <v>413</v>
      </c>
      <c r="G103" s="29" t="s">
        <v>111</v>
      </c>
      <c r="H103" s="30">
        <v>2400.0</v>
      </c>
      <c r="I103" s="24" t="s">
        <v>38</v>
      </c>
      <c r="J103" s="31">
        <v>22.0</v>
      </c>
      <c r="K103" s="24" t="s">
        <v>41</v>
      </c>
      <c r="L103" s="32">
        <v>0.6</v>
      </c>
      <c r="M103" s="24" t="s">
        <v>44</v>
      </c>
      <c r="N103" s="29" t="str">
        <f t="shared" si="1"/>
        <v>Moderate</v>
      </c>
      <c r="O103" s="25" t="s">
        <v>493</v>
      </c>
      <c r="P103" s="31">
        <v>1.0</v>
      </c>
      <c r="Q103" s="29">
        <f t="shared" si="2"/>
        <v>5</v>
      </c>
      <c r="R103" s="29">
        <f t="shared" si="3"/>
        <v>5</v>
      </c>
      <c r="S103" s="31">
        <v>1.0</v>
      </c>
      <c r="T103" s="31">
        <v>1.0</v>
      </c>
      <c r="U103" s="31">
        <v>3.0</v>
      </c>
      <c r="V103" s="38">
        <f>ROUND((P103*'Business Analysis'!$D$36+Q103*'Business Analysis'!$D$37+R103*'Business Analysis'!$D$38+S103*'Business Analysis'!$D$39+T103*'Business Analysis'!$D$40+U103*'Business Analysis'!$D$41)/5*100,0)</f>
        <v>48</v>
      </c>
      <c r="W103" s="29" t="str">
        <f t="shared" si="4"/>
        <v>Low</v>
      </c>
      <c r="X103" s="25" t="s">
        <v>523</v>
      </c>
      <c r="Y103" s="29" t="s">
        <v>386</v>
      </c>
      <c r="Z103" s="25" t="s">
        <v>157</v>
      </c>
    </row>
    <row r="104" ht="15.75" customHeight="1">
      <c r="A104" s="9" t="s">
        <v>352</v>
      </c>
      <c r="B104" s="10" t="s">
        <v>299</v>
      </c>
      <c r="C104" s="12" t="s">
        <v>833</v>
      </c>
      <c r="D104" s="12" t="s">
        <v>351</v>
      </c>
      <c r="E104" s="15" t="s">
        <v>305</v>
      </c>
      <c r="F104" s="15" t="s">
        <v>35</v>
      </c>
      <c r="G104" s="15" t="s">
        <v>36</v>
      </c>
      <c r="H104" s="16">
        <v>40.0</v>
      </c>
      <c r="I104" s="10" t="s">
        <v>38</v>
      </c>
      <c r="J104" s="17">
        <v>24.0</v>
      </c>
      <c r="K104" s="10" t="s">
        <v>41</v>
      </c>
      <c r="L104" s="18">
        <v>13.1</v>
      </c>
      <c r="M104" s="10" t="s">
        <v>44</v>
      </c>
      <c r="N104" s="15" t="str">
        <f t="shared" si="1"/>
        <v>Moderate</v>
      </c>
      <c r="O104" s="12" t="s">
        <v>598</v>
      </c>
      <c r="P104" s="17">
        <v>5.0</v>
      </c>
      <c r="Q104" s="15">
        <f t="shared" si="2"/>
        <v>1</v>
      </c>
      <c r="R104" s="15">
        <f t="shared" si="3"/>
        <v>5</v>
      </c>
      <c r="S104" s="17">
        <v>5.0</v>
      </c>
      <c r="T104" s="17">
        <v>5.0</v>
      </c>
      <c r="U104" s="17">
        <v>5.0</v>
      </c>
      <c r="V104" s="21">
        <f>ROUND((P104*'Business Analysis'!$D$36+Q104*'Business Analysis'!$D$37+R104*'Business Analysis'!$D$38+S104*'Business Analysis'!$D$39+T104*'Business Analysis'!$D$40+U104*'Business Analysis'!$D$41)/5*100,0)</f>
        <v>92</v>
      </c>
      <c r="W104" s="15" t="str">
        <f t="shared" si="4"/>
        <v>Critical</v>
      </c>
      <c r="X104" s="12" t="s">
        <v>531</v>
      </c>
      <c r="Y104" s="15" t="s">
        <v>386</v>
      </c>
      <c r="Z104" s="12" t="s">
        <v>934</v>
      </c>
    </row>
    <row r="105" ht="15.75" customHeight="1">
      <c r="A105" s="22" t="s">
        <v>935</v>
      </c>
      <c r="B105" s="24" t="s">
        <v>299</v>
      </c>
      <c r="C105" s="25" t="s">
        <v>833</v>
      </c>
      <c r="D105" s="25" t="s">
        <v>351</v>
      </c>
      <c r="E105" s="29" t="s">
        <v>356</v>
      </c>
      <c r="F105" s="29" t="s">
        <v>208</v>
      </c>
      <c r="G105" s="29" t="s">
        <v>111</v>
      </c>
      <c r="H105" s="30">
        <v>5400.0</v>
      </c>
      <c r="I105" s="24" t="s">
        <v>38</v>
      </c>
      <c r="J105" s="31">
        <v>50.0</v>
      </c>
      <c r="K105" s="24" t="s">
        <v>41</v>
      </c>
      <c r="L105" s="32">
        <v>8.1</v>
      </c>
      <c r="M105" s="24" t="s">
        <v>44</v>
      </c>
      <c r="N105" s="29" t="str">
        <f t="shared" si="1"/>
        <v>Competitive</v>
      </c>
      <c r="O105" s="25" t="s">
        <v>224</v>
      </c>
      <c r="P105" s="31">
        <v>4.0</v>
      </c>
      <c r="Q105" s="29">
        <f t="shared" si="2"/>
        <v>5</v>
      </c>
      <c r="R105" s="29">
        <f t="shared" si="3"/>
        <v>2</v>
      </c>
      <c r="S105" s="31">
        <v>3.0</v>
      </c>
      <c r="T105" s="31">
        <v>3.0</v>
      </c>
      <c r="U105" s="31">
        <v>4.0</v>
      </c>
      <c r="V105" s="38">
        <f>ROUND((P105*'Business Analysis'!$D$36+Q105*'Business Analysis'!$D$37+R105*'Business Analysis'!$D$38+S105*'Business Analysis'!$D$39+T105*'Business Analysis'!$D$40+U105*'Business Analysis'!$D$41)/5*100,0)</f>
        <v>67</v>
      </c>
      <c r="W105" s="29" t="str">
        <f t="shared" si="4"/>
        <v>Medium</v>
      </c>
      <c r="X105" s="25" t="s">
        <v>531</v>
      </c>
      <c r="Y105" s="29" t="s">
        <v>386</v>
      </c>
      <c r="Z105" s="25" t="s">
        <v>157</v>
      </c>
    </row>
    <row r="106" ht="15.75" customHeight="1">
      <c r="A106" s="9" t="s">
        <v>938</v>
      </c>
      <c r="B106" s="10" t="s">
        <v>398</v>
      </c>
      <c r="C106" s="12" t="s">
        <v>833</v>
      </c>
      <c r="D106" s="12" t="s">
        <v>351</v>
      </c>
      <c r="E106" s="15" t="s">
        <v>356</v>
      </c>
      <c r="F106" s="15" t="s">
        <v>208</v>
      </c>
      <c r="G106" s="15" t="s">
        <v>111</v>
      </c>
      <c r="H106" s="16">
        <v>2900.0</v>
      </c>
      <c r="I106" s="10" t="s">
        <v>38</v>
      </c>
      <c r="J106" s="17">
        <v>38.0</v>
      </c>
      <c r="K106" s="10" t="s">
        <v>41</v>
      </c>
      <c r="L106" s="18">
        <v>6.4</v>
      </c>
      <c r="M106" s="10" t="s">
        <v>44</v>
      </c>
      <c r="N106" s="15" t="str">
        <f t="shared" si="1"/>
        <v>Moderate</v>
      </c>
      <c r="O106" s="12" t="s">
        <v>224</v>
      </c>
      <c r="P106" s="17">
        <v>4.0</v>
      </c>
      <c r="Q106" s="15">
        <f t="shared" si="2"/>
        <v>5</v>
      </c>
      <c r="R106" s="15">
        <f t="shared" si="3"/>
        <v>3</v>
      </c>
      <c r="S106" s="17">
        <v>3.0</v>
      </c>
      <c r="T106" s="17">
        <v>3.0</v>
      </c>
      <c r="U106" s="17">
        <v>4.0</v>
      </c>
      <c r="V106" s="21">
        <f>ROUND((P106*'Business Analysis'!$D$36+Q106*'Business Analysis'!$D$37+R106*'Business Analysis'!$D$38+S106*'Business Analysis'!$D$39+T106*'Business Analysis'!$D$40+U106*'Business Analysis'!$D$41)/5*100,0)</f>
        <v>71</v>
      </c>
      <c r="W106" s="15" t="str">
        <f t="shared" si="4"/>
        <v>Medium</v>
      </c>
      <c r="X106" s="12" t="s">
        <v>531</v>
      </c>
      <c r="Y106" s="15" t="s">
        <v>386</v>
      </c>
      <c r="Z106" s="12" t="s">
        <v>157</v>
      </c>
    </row>
    <row r="107" ht="15.75" customHeight="1">
      <c r="A107" s="22" t="s">
        <v>940</v>
      </c>
      <c r="B107" s="24" t="s">
        <v>356</v>
      </c>
      <c r="C107" s="25" t="s">
        <v>833</v>
      </c>
      <c r="D107" s="25" t="s">
        <v>351</v>
      </c>
      <c r="E107" s="29" t="s">
        <v>356</v>
      </c>
      <c r="F107" s="29" t="s">
        <v>208</v>
      </c>
      <c r="G107" s="29" t="s">
        <v>111</v>
      </c>
      <c r="H107" s="30">
        <v>1300.0</v>
      </c>
      <c r="I107" s="24" t="s">
        <v>38</v>
      </c>
      <c r="J107" s="31">
        <v>35.0</v>
      </c>
      <c r="K107" s="24" t="s">
        <v>41</v>
      </c>
      <c r="L107" s="32">
        <v>7.2</v>
      </c>
      <c r="M107" s="24" t="s">
        <v>44</v>
      </c>
      <c r="N107" s="29" t="str">
        <f t="shared" si="1"/>
        <v>Moderate</v>
      </c>
      <c r="O107" s="25" t="s">
        <v>493</v>
      </c>
      <c r="P107" s="31">
        <v>4.0</v>
      </c>
      <c r="Q107" s="29">
        <f t="shared" si="2"/>
        <v>4</v>
      </c>
      <c r="R107" s="29">
        <f t="shared" si="3"/>
        <v>4</v>
      </c>
      <c r="S107" s="31">
        <v>3.0</v>
      </c>
      <c r="T107" s="31">
        <v>3.0</v>
      </c>
      <c r="U107" s="31">
        <v>4.0</v>
      </c>
      <c r="V107" s="38">
        <f>ROUND((P107*'Business Analysis'!$D$36+Q107*'Business Analysis'!$D$37+R107*'Business Analysis'!$D$38+S107*'Business Analysis'!$D$39+T107*'Business Analysis'!$D$40+U107*'Business Analysis'!$D$41)/5*100,0)</f>
        <v>73</v>
      </c>
      <c r="W107" s="29" t="str">
        <f t="shared" si="4"/>
        <v>Medium</v>
      </c>
      <c r="X107" s="25" t="s">
        <v>531</v>
      </c>
      <c r="Y107" s="29" t="s">
        <v>386</v>
      </c>
      <c r="Z107" s="25" t="s">
        <v>157</v>
      </c>
    </row>
    <row r="108" ht="15.75" customHeight="1">
      <c r="A108" s="9" t="s">
        <v>360</v>
      </c>
      <c r="B108" s="10" t="s">
        <v>299</v>
      </c>
      <c r="C108" s="12" t="s">
        <v>694</v>
      </c>
      <c r="D108" s="12" t="s">
        <v>359</v>
      </c>
      <c r="E108" s="15" t="s">
        <v>305</v>
      </c>
      <c r="F108" s="15" t="s">
        <v>35</v>
      </c>
      <c r="G108" s="15" t="s">
        <v>36</v>
      </c>
      <c r="H108" s="16">
        <v>210.0</v>
      </c>
      <c r="I108" s="10" t="s">
        <v>38</v>
      </c>
      <c r="J108" s="17">
        <v>34.0</v>
      </c>
      <c r="K108" s="10" t="s">
        <v>41</v>
      </c>
      <c r="L108" s="18">
        <v>11.2</v>
      </c>
      <c r="M108" s="10" t="s">
        <v>44</v>
      </c>
      <c r="N108" s="15" t="str">
        <f t="shared" si="1"/>
        <v>Moderate</v>
      </c>
      <c r="O108" s="12" t="s">
        <v>314</v>
      </c>
      <c r="P108" s="17">
        <v>4.0</v>
      </c>
      <c r="Q108" s="15">
        <f t="shared" si="2"/>
        <v>2</v>
      </c>
      <c r="R108" s="15">
        <f t="shared" si="3"/>
        <v>4</v>
      </c>
      <c r="S108" s="17">
        <v>5.0</v>
      </c>
      <c r="T108" s="17">
        <v>5.0</v>
      </c>
      <c r="U108" s="17">
        <v>5.0</v>
      </c>
      <c r="V108" s="21">
        <f>ROUND((P108*'Business Analysis'!$D$36+Q108*'Business Analysis'!$D$37+R108*'Business Analysis'!$D$38+S108*'Business Analysis'!$D$39+T108*'Business Analysis'!$D$40+U108*'Business Analysis'!$D$41)/5*100,0)</f>
        <v>85</v>
      </c>
      <c r="W108" s="15" t="str">
        <f t="shared" si="4"/>
        <v>High</v>
      </c>
      <c r="X108" s="12" t="s">
        <v>364</v>
      </c>
      <c r="Y108" s="15" t="s">
        <v>77</v>
      </c>
      <c r="Z108" s="12" t="s">
        <v>942</v>
      </c>
    </row>
    <row r="109" ht="15.75" customHeight="1">
      <c r="A109" s="22" t="s">
        <v>943</v>
      </c>
      <c r="B109" s="24" t="s">
        <v>299</v>
      </c>
      <c r="C109" s="25" t="s">
        <v>694</v>
      </c>
      <c r="D109" s="25" t="s">
        <v>359</v>
      </c>
      <c r="E109" s="29" t="s">
        <v>305</v>
      </c>
      <c r="F109" s="29" t="s">
        <v>35</v>
      </c>
      <c r="G109" s="29" t="s">
        <v>111</v>
      </c>
      <c r="H109" s="30">
        <v>70.0</v>
      </c>
      <c r="I109" s="24" t="s">
        <v>38</v>
      </c>
      <c r="J109" s="31">
        <v>25.0</v>
      </c>
      <c r="K109" s="24" t="s">
        <v>41</v>
      </c>
      <c r="L109" s="32">
        <v>10.4</v>
      </c>
      <c r="M109" s="24" t="s">
        <v>44</v>
      </c>
      <c r="N109" s="29" t="str">
        <f t="shared" si="1"/>
        <v>Moderate</v>
      </c>
      <c r="O109" s="25" t="s">
        <v>314</v>
      </c>
      <c r="P109" s="31">
        <v>4.0</v>
      </c>
      <c r="Q109" s="29">
        <f t="shared" si="2"/>
        <v>1</v>
      </c>
      <c r="R109" s="29">
        <f t="shared" si="3"/>
        <v>5</v>
      </c>
      <c r="S109" s="31">
        <v>5.0</v>
      </c>
      <c r="T109" s="31">
        <v>5.0</v>
      </c>
      <c r="U109" s="31">
        <v>4.0</v>
      </c>
      <c r="V109" s="38">
        <f>ROUND((P109*'Business Analysis'!$D$36+Q109*'Business Analysis'!$D$37+R109*'Business Analysis'!$D$38+S109*'Business Analysis'!$D$39+T109*'Business Analysis'!$D$40+U109*'Business Analysis'!$D$41)/5*100,0)</f>
        <v>85</v>
      </c>
      <c r="W109" s="29" t="str">
        <f t="shared" si="4"/>
        <v>High</v>
      </c>
      <c r="X109" s="25" t="s">
        <v>364</v>
      </c>
      <c r="Y109" s="29" t="s">
        <v>77</v>
      </c>
      <c r="Z109" s="25" t="s">
        <v>157</v>
      </c>
    </row>
    <row r="110" ht="15.75" customHeight="1">
      <c r="A110" s="9" t="s">
        <v>944</v>
      </c>
      <c r="B110" s="10" t="s">
        <v>299</v>
      </c>
      <c r="C110" s="12" t="s">
        <v>694</v>
      </c>
      <c r="D110" s="12" t="s">
        <v>359</v>
      </c>
      <c r="E110" s="15" t="s">
        <v>305</v>
      </c>
      <c r="F110" s="15" t="s">
        <v>35</v>
      </c>
      <c r="G110" s="15" t="s">
        <v>111</v>
      </c>
      <c r="H110" s="16">
        <v>60.0</v>
      </c>
      <c r="I110" s="10" t="s">
        <v>38</v>
      </c>
      <c r="J110" s="17">
        <v>24.0</v>
      </c>
      <c r="K110" s="10" t="s">
        <v>41</v>
      </c>
      <c r="L110" s="18">
        <v>10.1</v>
      </c>
      <c r="M110" s="10" t="s">
        <v>44</v>
      </c>
      <c r="N110" s="15" t="str">
        <f t="shared" si="1"/>
        <v>Moderate</v>
      </c>
      <c r="O110" s="12" t="s">
        <v>314</v>
      </c>
      <c r="P110" s="17">
        <v>4.0</v>
      </c>
      <c r="Q110" s="15">
        <f t="shared" si="2"/>
        <v>1</v>
      </c>
      <c r="R110" s="15">
        <f t="shared" si="3"/>
        <v>5</v>
      </c>
      <c r="S110" s="17">
        <v>5.0</v>
      </c>
      <c r="T110" s="17">
        <v>5.0</v>
      </c>
      <c r="U110" s="17">
        <v>4.0</v>
      </c>
      <c r="V110" s="21">
        <f>ROUND((P110*'Business Analysis'!$D$36+Q110*'Business Analysis'!$D$37+R110*'Business Analysis'!$D$38+S110*'Business Analysis'!$D$39+T110*'Business Analysis'!$D$40+U110*'Business Analysis'!$D$41)/5*100,0)</f>
        <v>85</v>
      </c>
      <c r="W110" s="15" t="str">
        <f t="shared" si="4"/>
        <v>High</v>
      </c>
      <c r="X110" s="12" t="s">
        <v>364</v>
      </c>
      <c r="Y110" s="15" t="s">
        <v>77</v>
      </c>
      <c r="Z110" s="12" t="s">
        <v>157</v>
      </c>
    </row>
    <row r="111" ht="15.75" customHeight="1">
      <c r="A111" s="22" t="s">
        <v>945</v>
      </c>
      <c r="B111" s="24" t="s">
        <v>305</v>
      </c>
      <c r="C111" s="25" t="s">
        <v>694</v>
      </c>
      <c r="D111" s="25" t="s">
        <v>359</v>
      </c>
      <c r="E111" s="29" t="s">
        <v>305</v>
      </c>
      <c r="F111" s="29" t="s">
        <v>35</v>
      </c>
      <c r="G111" s="29" t="s">
        <v>111</v>
      </c>
      <c r="H111" s="30">
        <v>90.0</v>
      </c>
      <c r="I111" s="24" t="s">
        <v>38</v>
      </c>
      <c r="J111" s="31">
        <v>27.0</v>
      </c>
      <c r="K111" s="24" t="s">
        <v>41</v>
      </c>
      <c r="L111" s="32">
        <v>10.6</v>
      </c>
      <c r="M111" s="24" t="s">
        <v>44</v>
      </c>
      <c r="N111" s="29" t="str">
        <f t="shared" si="1"/>
        <v>Moderate</v>
      </c>
      <c r="O111" s="25" t="s">
        <v>314</v>
      </c>
      <c r="P111" s="31">
        <v>4.0</v>
      </c>
      <c r="Q111" s="29">
        <f t="shared" si="2"/>
        <v>1</v>
      </c>
      <c r="R111" s="29">
        <f t="shared" si="3"/>
        <v>4</v>
      </c>
      <c r="S111" s="31">
        <v>5.0</v>
      </c>
      <c r="T111" s="31">
        <v>5.0</v>
      </c>
      <c r="U111" s="31">
        <v>4.0</v>
      </c>
      <c r="V111" s="38">
        <f>ROUND((P111*'Business Analysis'!$D$36+Q111*'Business Analysis'!$D$37+R111*'Business Analysis'!$D$38+S111*'Business Analysis'!$D$39+T111*'Business Analysis'!$D$40+U111*'Business Analysis'!$D$41)/5*100,0)</f>
        <v>81</v>
      </c>
      <c r="W111" s="29" t="str">
        <f t="shared" si="4"/>
        <v>High</v>
      </c>
      <c r="X111" s="25" t="s">
        <v>364</v>
      </c>
      <c r="Y111" s="29" t="s">
        <v>77</v>
      </c>
      <c r="Z111" s="25" t="s">
        <v>157</v>
      </c>
    </row>
    <row r="112" ht="15.75" customHeight="1">
      <c r="A112" s="9" t="s">
        <v>946</v>
      </c>
      <c r="B112" s="10" t="s">
        <v>337</v>
      </c>
      <c r="C112" s="12" t="s">
        <v>694</v>
      </c>
      <c r="D112" s="12" t="s">
        <v>359</v>
      </c>
      <c r="E112" s="15" t="s">
        <v>305</v>
      </c>
      <c r="F112" s="15" t="s">
        <v>35</v>
      </c>
      <c r="G112" s="15" t="s">
        <v>111</v>
      </c>
      <c r="H112" s="16">
        <v>90.0</v>
      </c>
      <c r="I112" s="10" t="s">
        <v>38</v>
      </c>
      <c r="J112" s="17">
        <v>30.0</v>
      </c>
      <c r="K112" s="10" t="s">
        <v>41</v>
      </c>
      <c r="L112" s="18">
        <v>10.8</v>
      </c>
      <c r="M112" s="10" t="s">
        <v>44</v>
      </c>
      <c r="N112" s="15" t="str">
        <f t="shared" si="1"/>
        <v>Moderate</v>
      </c>
      <c r="O112" s="12" t="s">
        <v>314</v>
      </c>
      <c r="P112" s="17">
        <v>4.0</v>
      </c>
      <c r="Q112" s="15">
        <f t="shared" si="2"/>
        <v>1</v>
      </c>
      <c r="R112" s="15">
        <f t="shared" si="3"/>
        <v>4</v>
      </c>
      <c r="S112" s="17">
        <v>5.0</v>
      </c>
      <c r="T112" s="17">
        <v>5.0</v>
      </c>
      <c r="U112" s="17">
        <v>4.0</v>
      </c>
      <c r="V112" s="21">
        <f>ROUND((P112*'Business Analysis'!$D$36+Q112*'Business Analysis'!$D$37+R112*'Business Analysis'!$D$38+S112*'Business Analysis'!$D$39+T112*'Business Analysis'!$D$40+U112*'Business Analysis'!$D$41)/5*100,0)</f>
        <v>81</v>
      </c>
      <c r="W112" s="15" t="str">
        <f t="shared" si="4"/>
        <v>High</v>
      </c>
      <c r="X112" s="12" t="s">
        <v>364</v>
      </c>
      <c r="Y112" s="15" t="s">
        <v>77</v>
      </c>
      <c r="Z112" s="12" t="s">
        <v>157</v>
      </c>
    </row>
    <row r="113" ht="15.75" customHeight="1">
      <c r="A113" s="22" t="s">
        <v>366</v>
      </c>
      <c r="B113" s="24" t="s">
        <v>412</v>
      </c>
      <c r="C113" s="25" t="s">
        <v>694</v>
      </c>
      <c r="D113" s="25" t="s">
        <v>365</v>
      </c>
      <c r="E113" s="29" t="s">
        <v>412</v>
      </c>
      <c r="F113" s="29" t="s">
        <v>413</v>
      </c>
      <c r="G113" s="29" t="s">
        <v>36</v>
      </c>
      <c r="H113" s="30">
        <v>6600.0</v>
      </c>
      <c r="I113" s="24" t="s">
        <v>38</v>
      </c>
      <c r="J113" s="31">
        <v>40.0</v>
      </c>
      <c r="K113" s="24" t="s">
        <v>41</v>
      </c>
      <c r="L113" s="32">
        <v>2.9</v>
      </c>
      <c r="M113" s="24" t="s">
        <v>44</v>
      </c>
      <c r="N113" s="29" t="str">
        <f t="shared" si="1"/>
        <v>Moderate</v>
      </c>
      <c r="O113" s="25" t="s">
        <v>224</v>
      </c>
      <c r="P113" s="31">
        <v>1.0</v>
      </c>
      <c r="Q113" s="29">
        <f t="shared" si="2"/>
        <v>5</v>
      </c>
      <c r="R113" s="29">
        <f t="shared" si="3"/>
        <v>3</v>
      </c>
      <c r="S113" s="31">
        <v>1.0</v>
      </c>
      <c r="T113" s="31">
        <v>1.0</v>
      </c>
      <c r="U113" s="31">
        <v>4.0</v>
      </c>
      <c r="V113" s="38">
        <f>ROUND((P113*'Business Analysis'!$D$36+Q113*'Business Analysis'!$D$37+R113*'Business Analysis'!$D$38+S113*'Business Analysis'!$D$39+T113*'Business Analysis'!$D$40+U113*'Business Analysis'!$D$41)/5*100,0)</f>
        <v>42</v>
      </c>
      <c r="W113" s="29" t="str">
        <f t="shared" si="4"/>
        <v>Low</v>
      </c>
      <c r="X113" s="25" t="s">
        <v>549</v>
      </c>
      <c r="Y113" s="29" t="s">
        <v>386</v>
      </c>
      <c r="Z113" s="25" t="s">
        <v>949</v>
      </c>
    </row>
    <row r="114" ht="15.75" customHeight="1">
      <c r="A114" s="9" t="s">
        <v>950</v>
      </c>
      <c r="B114" s="10" t="s">
        <v>412</v>
      </c>
      <c r="C114" s="12" t="s">
        <v>694</v>
      </c>
      <c r="D114" s="12" t="s">
        <v>365</v>
      </c>
      <c r="E114" s="15" t="s">
        <v>412</v>
      </c>
      <c r="F114" s="15" t="s">
        <v>413</v>
      </c>
      <c r="G114" s="15" t="s">
        <v>111</v>
      </c>
      <c r="H114" s="16">
        <v>2900.0</v>
      </c>
      <c r="I114" s="10" t="s">
        <v>38</v>
      </c>
      <c r="J114" s="17">
        <v>34.0</v>
      </c>
      <c r="K114" s="10" t="s">
        <v>41</v>
      </c>
      <c r="L114" s="18">
        <v>2.6</v>
      </c>
      <c r="M114" s="10" t="s">
        <v>44</v>
      </c>
      <c r="N114" s="15" t="str">
        <f t="shared" si="1"/>
        <v>Moderate</v>
      </c>
      <c r="O114" s="12" t="s">
        <v>224</v>
      </c>
      <c r="P114" s="17">
        <v>1.0</v>
      </c>
      <c r="Q114" s="15">
        <f t="shared" si="2"/>
        <v>5</v>
      </c>
      <c r="R114" s="15">
        <f t="shared" si="3"/>
        <v>4</v>
      </c>
      <c r="S114" s="17">
        <v>1.0</v>
      </c>
      <c r="T114" s="17">
        <v>1.0</v>
      </c>
      <c r="U114" s="17">
        <v>3.0</v>
      </c>
      <c r="V114" s="21">
        <f>ROUND((P114*'Business Analysis'!$D$36+Q114*'Business Analysis'!$D$37+R114*'Business Analysis'!$D$38+S114*'Business Analysis'!$D$39+T114*'Business Analysis'!$D$40+U114*'Business Analysis'!$D$41)/5*100,0)</f>
        <v>44</v>
      </c>
      <c r="W114" s="15" t="str">
        <f t="shared" si="4"/>
        <v>Low</v>
      </c>
      <c r="X114" s="12" t="s">
        <v>549</v>
      </c>
      <c r="Y114" s="15" t="s">
        <v>386</v>
      </c>
      <c r="Z114" s="12" t="s">
        <v>157</v>
      </c>
    </row>
    <row r="115" ht="15.75" customHeight="1">
      <c r="A115" s="22" t="s">
        <v>952</v>
      </c>
      <c r="B115" s="24" t="s">
        <v>412</v>
      </c>
      <c r="C115" s="25" t="s">
        <v>694</v>
      </c>
      <c r="D115" s="25" t="s">
        <v>365</v>
      </c>
      <c r="E115" s="29" t="s">
        <v>412</v>
      </c>
      <c r="F115" s="29" t="s">
        <v>413</v>
      </c>
      <c r="G115" s="29" t="s">
        <v>111</v>
      </c>
      <c r="H115" s="30">
        <v>1300.0</v>
      </c>
      <c r="I115" s="24" t="s">
        <v>38</v>
      </c>
      <c r="J115" s="31">
        <v>24.0</v>
      </c>
      <c r="K115" s="24" t="s">
        <v>41</v>
      </c>
      <c r="L115" s="32">
        <v>1.8</v>
      </c>
      <c r="M115" s="24" t="s">
        <v>44</v>
      </c>
      <c r="N115" s="29" t="str">
        <f t="shared" si="1"/>
        <v>Moderate</v>
      </c>
      <c r="O115" s="25" t="s">
        <v>224</v>
      </c>
      <c r="P115" s="31">
        <v>1.0</v>
      </c>
      <c r="Q115" s="29">
        <f t="shared" si="2"/>
        <v>4</v>
      </c>
      <c r="R115" s="29">
        <f t="shared" si="3"/>
        <v>5</v>
      </c>
      <c r="S115" s="31">
        <v>1.0</v>
      </c>
      <c r="T115" s="31">
        <v>1.0</v>
      </c>
      <c r="U115" s="31">
        <v>3.0</v>
      </c>
      <c r="V115" s="38">
        <f>ROUND((P115*'Business Analysis'!$D$36+Q115*'Business Analysis'!$D$37+R115*'Business Analysis'!$D$38+S115*'Business Analysis'!$D$39+T115*'Business Analysis'!$D$40+U115*'Business Analysis'!$D$41)/5*100,0)</f>
        <v>46</v>
      </c>
      <c r="W115" s="29" t="str">
        <f t="shared" si="4"/>
        <v>Low</v>
      </c>
      <c r="X115" s="25" t="s">
        <v>549</v>
      </c>
      <c r="Y115" s="29" t="s">
        <v>386</v>
      </c>
      <c r="Z115" s="25" t="s">
        <v>157</v>
      </c>
    </row>
    <row r="116" ht="15.75" customHeight="1">
      <c r="A116" s="9" t="s">
        <v>953</v>
      </c>
      <c r="B116" s="10" t="s">
        <v>421</v>
      </c>
      <c r="C116" s="12" t="s">
        <v>694</v>
      </c>
      <c r="D116" s="12" t="s">
        <v>365</v>
      </c>
      <c r="E116" s="15" t="s">
        <v>356</v>
      </c>
      <c r="F116" s="15" t="s">
        <v>208</v>
      </c>
      <c r="G116" s="15" t="s">
        <v>111</v>
      </c>
      <c r="H116" s="16">
        <v>880.0</v>
      </c>
      <c r="I116" s="10" t="s">
        <v>38</v>
      </c>
      <c r="J116" s="17">
        <v>26.0</v>
      </c>
      <c r="K116" s="10" t="s">
        <v>41</v>
      </c>
      <c r="L116" s="18">
        <v>3.1</v>
      </c>
      <c r="M116" s="10" t="s">
        <v>44</v>
      </c>
      <c r="N116" s="15" t="str">
        <f t="shared" si="1"/>
        <v>Moderate</v>
      </c>
      <c r="O116" s="12" t="s">
        <v>224</v>
      </c>
      <c r="P116" s="17">
        <v>2.0</v>
      </c>
      <c r="Q116" s="15">
        <f t="shared" si="2"/>
        <v>4</v>
      </c>
      <c r="R116" s="15">
        <f t="shared" si="3"/>
        <v>4</v>
      </c>
      <c r="S116" s="17">
        <v>3.0</v>
      </c>
      <c r="T116" s="17">
        <v>3.0</v>
      </c>
      <c r="U116" s="17">
        <v>3.0</v>
      </c>
      <c r="V116" s="21">
        <f>ROUND((P116*'Business Analysis'!$D$36+Q116*'Business Analysis'!$D$37+R116*'Business Analysis'!$D$38+S116*'Business Analysis'!$D$39+T116*'Business Analysis'!$D$40+U116*'Business Analysis'!$D$41)/5*100,0)</f>
        <v>61</v>
      </c>
      <c r="W116" s="15" t="str">
        <f t="shared" si="4"/>
        <v>Medium</v>
      </c>
      <c r="X116" s="12" t="s">
        <v>549</v>
      </c>
      <c r="Y116" s="15" t="s">
        <v>386</v>
      </c>
      <c r="Z116" s="12" t="s">
        <v>157</v>
      </c>
    </row>
    <row r="117" ht="15.75" customHeight="1">
      <c r="A117" s="22" t="s">
        <v>954</v>
      </c>
      <c r="B117" s="24" t="s">
        <v>412</v>
      </c>
      <c r="C117" s="25" t="s">
        <v>694</v>
      </c>
      <c r="D117" s="25" t="s">
        <v>365</v>
      </c>
      <c r="E117" s="29" t="s">
        <v>412</v>
      </c>
      <c r="F117" s="29" t="s">
        <v>413</v>
      </c>
      <c r="G117" s="29" t="s">
        <v>111</v>
      </c>
      <c r="H117" s="30">
        <v>5400.0</v>
      </c>
      <c r="I117" s="24" t="s">
        <v>38</v>
      </c>
      <c r="J117" s="31">
        <v>38.0</v>
      </c>
      <c r="K117" s="24" t="s">
        <v>41</v>
      </c>
      <c r="L117" s="32">
        <v>3.0</v>
      </c>
      <c r="M117" s="24" t="s">
        <v>44</v>
      </c>
      <c r="N117" s="29" t="str">
        <f t="shared" si="1"/>
        <v>Moderate</v>
      </c>
      <c r="O117" s="25" t="s">
        <v>224</v>
      </c>
      <c r="P117" s="31">
        <v>1.0</v>
      </c>
      <c r="Q117" s="29">
        <f t="shared" si="2"/>
        <v>5</v>
      </c>
      <c r="R117" s="29">
        <f t="shared" si="3"/>
        <v>3</v>
      </c>
      <c r="S117" s="31">
        <v>1.0</v>
      </c>
      <c r="T117" s="31">
        <v>1.0</v>
      </c>
      <c r="U117" s="31">
        <v>3.0</v>
      </c>
      <c r="V117" s="38">
        <f>ROUND((P117*'Business Analysis'!$D$36+Q117*'Business Analysis'!$D$37+R117*'Business Analysis'!$D$38+S117*'Business Analysis'!$D$39+T117*'Business Analysis'!$D$40+U117*'Business Analysis'!$D$41)/5*100,0)</f>
        <v>40</v>
      </c>
      <c r="W117" s="29" t="str">
        <f t="shared" si="4"/>
        <v>Low</v>
      </c>
      <c r="X117" s="25" t="s">
        <v>549</v>
      </c>
      <c r="Y117" s="29" t="s">
        <v>386</v>
      </c>
      <c r="Z117" s="25" t="s">
        <v>157</v>
      </c>
    </row>
    <row r="118" ht="15.75" customHeight="1">
      <c r="A118" s="9" t="s">
        <v>957</v>
      </c>
      <c r="B118" s="10" t="s">
        <v>356</v>
      </c>
      <c r="C118" s="12" t="s">
        <v>694</v>
      </c>
      <c r="D118" s="12" t="s">
        <v>365</v>
      </c>
      <c r="E118" s="15" t="s">
        <v>356</v>
      </c>
      <c r="F118" s="15" t="s">
        <v>208</v>
      </c>
      <c r="G118" s="15" t="s">
        <v>111</v>
      </c>
      <c r="H118" s="16">
        <v>2400.0</v>
      </c>
      <c r="I118" s="10" t="s">
        <v>38</v>
      </c>
      <c r="J118" s="17">
        <v>44.0</v>
      </c>
      <c r="K118" s="10" t="s">
        <v>41</v>
      </c>
      <c r="L118" s="18">
        <v>5.2</v>
      </c>
      <c r="M118" s="10" t="s">
        <v>44</v>
      </c>
      <c r="N118" s="15" t="str">
        <f t="shared" si="1"/>
        <v>Competitive</v>
      </c>
      <c r="O118" s="12" t="s">
        <v>493</v>
      </c>
      <c r="P118" s="17">
        <v>2.0</v>
      </c>
      <c r="Q118" s="15">
        <f t="shared" si="2"/>
        <v>5</v>
      </c>
      <c r="R118" s="15">
        <f t="shared" si="3"/>
        <v>3</v>
      </c>
      <c r="S118" s="17">
        <v>3.0</v>
      </c>
      <c r="T118" s="17">
        <v>3.0</v>
      </c>
      <c r="U118" s="17">
        <v>3.0</v>
      </c>
      <c r="V118" s="21">
        <f>ROUND((P118*'Business Analysis'!$D$36+Q118*'Business Analysis'!$D$37+R118*'Business Analysis'!$D$38+S118*'Business Analysis'!$D$39+T118*'Business Analysis'!$D$40+U118*'Business Analysis'!$D$41)/5*100,0)</f>
        <v>59</v>
      </c>
      <c r="W118" s="15" t="str">
        <f t="shared" si="4"/>
        <v>Low</v>
      </c>
      <c r="X118" s="12" t="s">
        <v>549</v>
      </c>
      <c r="Y118" s="15" t="s">
        <v>386</v>
      </c>
      <c r="Z118" s="12" t="s">
        <v>157</v>
      </c>
    </row>
    <row r="119" ht="15.75" customHeight="1">
      <c r="A119" s="22" t="s">
        <v>374</v>
      </c>
      <c r="B119" s="24" t="s">
        <v>299</v>
      </c>
      <c r="C119" s="25" t="s">
        <v>833</v>
      </c>
      <c r="D119" s="25" t="s">
        <v>373</v>
      </c>
      <c r="E119" s="29" t="s">
        <v>305</v>
      </c>
      <c r="F119" s="29" t="s">
        <v>35</v>
      </c>
      <c r="G119" s="29" t="s">
        <v>36</v>
      </c>
      <c r="H119" s="30">
        <v>90.0</v>
      </c>
      <c r="I119" s="24" t="s">
        <v>38</v>
      </c>
      <c r="J119" s="31">
        <v>26.0</v>
      </c>
      <c r="K119" s="24" t="s">
        <v>41</v>
      </c>
      <c r="L119" s="32">
        <v>9.8</v>
      </c>
      <c r="M119" s="24" t="s">
        <v>44</v>
      </c>
      <c r="N119" s="29" t="str">
        <f t="shared" si="1"/>
        <v>Moderate</v>
      </c>
      <c r="O119" s="25" t="s">
        <v>314</v>
      </c>
      <c r="P119" s="31">
        <v>4.0</v>
      </c>
      <c r="Q119" s="29">
        <f t="shared" si="2"/>
        <v>1</v>
      </c>
      <c r="R119" s="29">
        <f t="shared" si="3"/>
        <v>4</v>
      </c>
      <c r="S119" s="31">
        <v>5.0</v>
      </c>
      <c r="T119" s="31">
        <v>5.0</v>
      </c>
      <c r="U119" s="31">
        <v>4.0</v>
      </c>
      <c r="V119" s="38">
        <f>ROUND((P119*'Business Analysis'!$D$36+Q119*'Business Analysis'!$D$37+R119*'Business Analysis'!$D$38+S119*'Business Analysis'!$D$39+T119*'Business Analysis'!$D$40+U119*'Business Analysis'!$D$41)/5*100,0)</f>
        <v>81</v>
      </c>
      <c r="W119" s="29" t="str">
        <f t="shared" si="4"/>
        <v>High</v>
      </c>
      <c r="X119" s="25" t="s">
        <v>378</v>
      </c>
      <c r="Y119" s="29" t="s">
        <v>77</v>
      </c>
      <c r="Z119" s="25" t="s">
        <v>962</v>
      </c>
    </row>
    <row r="120" ht="15.75" customHeight="1">
      <c r="A120" s="9" t="s">
        <v>963</v>
      </c>
      <c r="B120" s="10" t="s">
        <v>337</v>
      </c>
      <c r="C120" s="12" t="s">
        <v>833</v>
      </c>
      <c r="D120" s="12" t="s">
        <v>373</v>
      </c>
      <c r="E120" s="15" t="s">
        <v>305</v>
      </c>
      <c r="F120" s="15" t="s">
        <v>35</v>
      </c>
      <c r="G120" s="15" t="s">
        <v>111</v>
      </c>
      <c r="H120" s="16">
        <v>70.0</v>
      </c>
      <c r="I120" s="10" t="s">
        <v>38</v>
      </c>
      <c r="J120" s="17">
        <v>27.0</v>
      </c>
      <c r="K120" s="10" t="s">
        <v>41</v>
      </c>
      <c r="L120" s="18">
        <v>9.9</v>
      </c>
      <c r="M120" s="10" t="s">
        <v>44</v>
      </c>
      <c r="N120" s="15" t="str">
        <f t="shared" si="1"/>
        <v>Moderate</v>
      </c>
      <c r="O120" s="12" t="s">
        <v>314</v>
      </c>
      <c r="P120" s="17">
        <v>4.0</v>
      </c>
      <c r="Q120" s="15">
        <f t="shared" si="2"/>
        <v>1</v>
      </c>
      <c r="R120" s="15">
        <f t="shared" si="3"/>
        <v>4</v>
      </c>
      <c r="S120" s="17">
        <v>5.0</v>
      </c>
      <c r="T120" s="17">
        <v>5.0</v>
      </c>
      <c r="U120" s="17">
        <v>3.0</v>
      </c>
      <c r="V120" s="21">
        <f>ROUND((P120*'Business Analysis'!$D$36+Q120*'Business Analysis'!$D$37+R120*'Business Analysis'!$D$38+S120*'Business Analysis'!$D$39+T120*'Business Analysis'!$D$40+U120*'Business Analysis'!$D$41)/5*100,0)</f>
        <v>79</v>
      </c>
      <c r="W120" s="15" t="str">
        <f t="shared" si="4"/>
        <v>High</v>
      </c>
      <c r="X120" s="12" t="s">
        <v>378</v>
      </c>
      <c r="Y120" s="15" t="s">
        <v>77</v>
      </c>
      <c r="Z120" s="12" t="s">
        <v>157</v>
      </c>
    </row>
    <row r="121" ht="15.75" customHeight="1">
      <c r="A121" s="22" t="s">
        <v>965</v>
      </c>
      <c r="B121" s="24" t="s">
        <v>305</v>
      </c>
      <c r="C121" s="25" t="s">
        <v>833</v>
      </c>
      <c r="D121" s="25" t="s">
        <v>373</v>
      </c>
      <c r="E121" s="29" t="s">
        <v>305</v>
      </c>
      <c r="F121" s="29" t="s">
        <v>35</v>
      </c>
      <c r="G121" s="29" t="s">
        <v>111</v>
      </c>
      <c r="H121" s="30">
        <v>40.0</v>
      </c>
      <c r="I121" s="24" t="s">
        <v>38</v>
      </c>
      <c r="J121" s="31">
        <v>22.0</v>
      </c>
      <c r="K121" s="24" t="s">
        <v>41</v>
      </c>
      <c r="L121" s="32">
        <v>9.6</v>
      </c>
      <c r="M121" s="24" t="s">
        <v>44</v>
      </c>
      <c r="N121" s="29" t="str">
        <f t="shared" si="1"/>
        <v>Moderate</v>
      </c>
      <c r="O121" s="25" t="s">
        <v>314</v>
      </c>
      <c r="P121" s="31">
        <v>4.0</v>
      </c>
      <c r="Q121" s="29">
        <f t="shared" si="2"/>
        <v>1</v>
      </c>
      <c r="R121" s="29">
        <f t="shared" si="3"/>
        <v>5</v>
      </c>
      <c r="S121" s="31">
        <v>5.0</v>
      </c>
      <c r="T121" s="31">
        <v>5.0</v>
      </c>
      <c r="U121" s="31">
        <v>3.0</v>
      </c>
      <c r="V121" s="38">
        <f>ROUND((P121*'Business Analysis'!$D$36+Q121*'Business Analysis'!$D$37+R121*'Business Analysis'!$D$38+S121*'Business Analysis'!$D$39+T121*'Business Analysis'!$D$40+U121*'Business Analysis'!$D$41)/5*100,0)</f>
        <v>83</v>
      </c>
      <c r="W121" s="29" t="str">
        <f t="shared" si="4"/>
        <v>High</v>
      </c>
      <c r="X121" s="25" t="s">
        <v>378</v>
      </c>
      <c r="Y121" s="29" t="s">
        <v>77</v>
      </c>
      <c r="Z121" s="25" t="s">
        <v>157</v>
      </c>
    </row>
    <row r="122" ht="15.75" customHeight="1">
      <c r="A122" s="9" t="s">
        <v>966</v>
      </c>
      <c r="B122" s="10" t="s">
        <v>412</v>
      </c>
      <c r="C122" s="12" t="s">
        <v>833</v>
      </c>
      <c r="D122" s="12" t="s">
        <v>373</v>
      </c>
      <c r="E122" s="15" t="s">
        <v>412</v>
      </c>
      <c r="F122" s="15" t="s">
        <v>413</v>
      </c>
      <c r="G122" s="15" t="s">
        <v>111</v>
      </c>
      <c r="H122" s="16">
        <v>4400.0</v>
      </c>
      <c r="I122" s="10" t="s">
        <v>38</v>
      </c>
      <c r="J122" s="17">
        <v>38.0</v>
      </c>
      <c r="K122" s="10" t="s">
        <v>41</v>
      </c>
      <c r="L122" s="18">
        <v>2.4</v>
      </c>
      <c r="M122" s="10" t="s">
        <v>44</v>
      </c>
      <c r="N122" s="15" t="str">
        <f t="shared" si="1"/>
        <v>Moderate</v>
      </c>
      <c r="O122" s="12" t="s">
        <v>224</v>
      </c>
      <c r="P122" s="17">
        <v>2.0</v>
      </c>
      <c r="Q122" s="15">
        <f t="shared" si="2"/>
        <v>5</v>
      </c>
      <c r="R122" s="15">
        <f t="shared" si="3"/>
        <v>3</v>
      </c>
      <c r="S122" s="17">
        <v>1.0</v>
      </c>
      <c r="T122" s="17">
        <v>2.0</v>
      </c>
      <c r="U122" s="17">
        <v>3.0</v>
      </c>
      <c r="V122" s="21">
        <f>ROUND((P122*'Business Analysis'!$D$36+Q122*'Business Analysis'!$D$37+R122*'Business Analysis'!$D$38+S122*'Business Analysis'!$D$39+T122*'Business Analysis'!$D$40+U122*'Business Analysis'!$D$41)/5*100,0)</f>
        <v>49</v>
      </c>
      <c r="W122" s="15" t="str">
        <f t="shared" si="4"/>
        <v>Low</v>
      </c>
      <c r="X122" s="12" t="s">
        <v>378</v>
      </c>
      <c r="Y122" s="15" t="s">
        <v>77</v>
      </c>
      <c r="Z122" s="12" t="s">
        <v>157</v>
      </c>
    </row>
    <row r="123" ht="15.75" customHeight="1">
      <c r="A123" s="22" t="s">
        <v>968</v>
      </c>
      <c r="B123" s="24" t="s">
        <v>412</v>
      </c>
      <c r="C123" s="25" t="s">
        <v>833</v>
      </c>
      <c r="D123" s="25" t="s">
        <v>373</v>
      </c>
      <c r="E123" s="29" t="s">
        <v>412</v>
      </c>
      <c r="F123" s="29" t="s">
        <v>413</v>
      </c>
      <c r="G123" s="29" t="s">
        <v>111</v>
      </c>
      <c r="H123" s="30">
        <v>3600.0</v>
      </c>
      <c r="I123" s="24" t="s">
        <v>38</v>
      </c>
      <c r="J123" s="31">
        <v>36.0</v>
      </c>
      <c r="K123" s="24" t="s">
        <v>41</v>
      </c>
      <c r="L123" s="32">
        <v>2.1</v>
      </c>
      <c r="M123" s="24" t="s">
        <v>44</v>
      </c>
      <c r="N123" s="29" t="str">
        <f t="shared" si="1"/>
        <v>Moderate</v>
      </c>
      <c r="O123" s="25" t="s">
        <v>224</v>
      </c>
      <c r="P123" s="31">
        <v>2.0</v>
      </c>
      <c r="Q123" s="29">
        <f t="shared" si="2"/>
        <v>5</v>
      </c>
      <c r="R123" s="29">
        <f t="shared" si="3"/>
        <v>3</v>
      </c>
      <c r="S123" s="31">
        <v>1.0</v>
      </c>
      <c r="T123" s="31">
        <v>2.0</v>
      </c>
      <c r="U123" s="31">
        <v>3.0</v>
      </c>
      <c r="V123" s="38">
        <f>ROUND((P123*'Business Analysis'!$D$36+Q123*'Business Analysis'!$D$37+R123*'Business Analysis'!$D$38+S123*'Business Analysis'!$D$39+T123*'Business Analysis'!$D$40+U123*'Business Analysis'!$D$41)/5*100,0)</f>
        <v>49</v>
      </c>
      <c r="W123" s="29" t="str">
        <f t="shared" si="4"/>
        <v>Low</v>
      </c>
      <c r="X123" s="25" t="s">
        <v>378</v>
      </c>
      <c r="Y123" s="29" t="s">
        <v>77</v>
      </c>
      <c r="Z123" s="25" t="s">
        <v>157</v>
      </c>
    </row>
    <row r="124" ht="15.75" customHeight="1">
      <c r="A124" s="9" t="s">
        <v>383</v>
      </c>
      <c r="B124" s="10" t="s">
        <v>299</v>
      </c>
      <c r="C124" s="12" t="s">
        <v>699</v>
      </c>
      <c r="D124" s="12" t="s">
        <v>382</v>
      </c>
      <c r="E124" s="15" t="s">
        <v>305</v>
      </c>
      <c r="F124" s="15" t="s">
        <v>35</v>
      </c>
      <c r="G124" s="15" t="s">
        <v>36</v>
      </c>
      <c r="H124" s="16">
        <v>140.0</v>
      </c>
      <c r="I124" s="10" t="s">
        <v>38</v>
      </c>
      <c r="J124" s="17">
        <v>33.0</v>
      </c>
      <c r="K124" s="10" t="s">
        <v>41</v>
      </c>
      <c r="L124" s="18">
        <v>12.3</v>
      </c>
      <c r="M124" s="10" t="s">
        <v>44</v>
      </c>
      <c r="N124" s="15" t="str">
        <f t="shared" si="1"/>
        <v>Moderate</v>
      </c>
      <c r="O124" s="12" t="s">
        <v>969</v>
      </c>
      <c r="P124" s="17">
        <v>5.0</v>
      </c>
      <c r="Q124" s="15">
        <f t="shared" si="2"/>
        <v>2</v>
      </c>
      <c r="R124" s="15">
        <f t="shared" si="3"/>
        <v>4</v>
      </c>
      <c r="S124" s="17">
        <v>5.0</v>
      </c>
      <c r="T124" s="17">
        <v>5.0</v>
      </c>
      <c r="U124" s="17">
        <v>5.0</v>
      </c>
      <c r="V124" s="21">
        <f>ROUND((P124*'Business Analysis'!$D$36+Q124*'Business Analysis'!$D$37+R124*'Business Analysis'!$D$38+S124*'Business Analysis'!$D$39+T124*'Business Analysis'!$D$40+U124*'Business Analysis'!$D$41)/5*100,0)</f>
        <v>90</v>
      </c>
      <c r="W124" s="15" t="str">
        <f t="shared" si="4"/>
        <v>Critical</v>
      </c>
      <c r="X124" s="12" t="s">
        <v>390</v>
      </c>
      <c r="Y124" s="15" t="s">
        <v>77</v>
      </c>
      <c r="Z124" s="12" t="s">
        <v>970</v>
      </c>
    </row>
    <row r="125" ht="15.75" customHeight="1">
      <c r="A125" s="22" t="s">
        <v>971</v>
      </c>
      <c r="B125" s="24" t="s">
        <v>299</v>
      </c>
      <c r="C125" s="25" t="s">
        <v>699</v>
      </c>
      <c r="D125" s="25" t="s">
        <v>382</v>
      </c>
      <c r="E125" s="29" t="s">
        <v>305</v>
      </c>
      <c r="F125" s="29" t="s">
        <v>35</v>
      </c>
      <c r="G125" s="29" t="s">
        <v>111</v>
      </c>
      <c r="H125" s="30">
        <v>170.0</v>
      </c>
      <c r="I125" s="24" t="s">
        <v>38</v>
      </c>
      <c r="J125" s="31">
        <v>36.0</v>
      </c>
      <c r="K125" s="24" t="s">
        <v>41</v>
      </c>
      <c r="L125" s="32">
        <v>11.8</v>
      </c>
      <c r="M125" s="24" t="s">
        <v>44</v>
      </c>
      <c r="N125" s="29" t="str">
        <f t="shared" si="1"/>
        <v>Moderate</v>
      </c>
      <c r="O125" s="25" t="s">
        <v>969</v>
      </c>
      <c r="P125" s="31">
        <v>5.0</v>
      </c>
      <c r="Q125" s="29">
        <f t="shared" si="2"/>
        <v>2</v>
      </c>
      <c r="R125" s="29">
        <f t="shared" si="3"/>
        <v>3</v>
      </c>
      <c r="S125" s="31">
        <v>5.0</v>
      </c>
      <c r="T125" s="31">
        <v>5.0</v>
      </c>
      <c r="U125" s="31">
        <v>4.0</v>
      </c>
      <c r="V125" s="38">
        <f>ROUND((P125*'Business Analysis'!$D$36+Q125*'Business Analysis'!$D$37+R125*'Business Analysis'!$D$38+S125*'Business Analysis'!$D$39+T125*'Business Analysis'!$D$40+U125*'Business Analysis'!$D$41)/5*100,0)</f>
        <v>84</v>
      </c>
      <c r="W125" s="29" t="str">
        <f t="shared" si="4"/>
        <v>High</v>
      </c>
      <c r="X125" s="25" t="s">
        <v>390</v>
      </c>
      <c r="Y125" s="29" t="s">
        <v>77</v>
      </c>
      <c r="Z125" s="25" t="s">
        <v>157</v>
      </c>
    </row>
    <row r="126" ht="15.75" customHeight="1">
      <c r="A126" s="9" t="s">
        <v>972</v>
      </c>
      <c r="B126" s="10" t="s">
        <v>305</v>
      </c>
      <c r="C126" s="12" t="s">
        <v>699</v>
      </c>
      <c r="D126" s="12" t="s">
        <v>382</v>
      </c>
      <c r="E126" s="15" t="s">
        <v>305</v>
      </c>
      <c r="F126" s="15" t="s">
        <v>35</v>
      </c>
      <c r="G126" s="15" t="s">
        <v>111</v>
      </c>
      <c r="H126" s="16">
        <v>70.0</v>
      </c>
      <c r="I126" s="10" t="s">
        <v>38</v>
      </c>
      <c r="J126" s="17">
        <v>28.0</v>
      </c>
      <c r="K126" s="10" t="s">
        <v>41</v>
      </c>
      <c r="L126" s="18">
        <v>11.5</v>
      </c>
      <c r="M126" s="10" t="s">
        <v>44</v>
      </c>
      <c r="N126" s="15" t="str">
        <f t="shared" si="1"/>
        <v>Moderate</v>
      </c>
      <c r="O126" s="12" t="s">
        <v>969</v>
      </c>
      <c r="P126" s="17">
        <v>5.0</v>
      </c>
      <c r="Q126" s="15">
        <f t="shared" si="2"/>
        <v>1</v>
      </c>
      <c r="R126" s="15">
        <f t="shared" si="3"/>
        <v>4</v>
      </c>
      <c r="S126" s="17">
        <v>5.0</v>
      </c>
      <c r="T126" s="17">
        <v>5.0</v>
      </c>
      <c r="U126" s="17">
        <v>4.0</v>
      </c>
      <c r="V126" s="21">
        <f>ROUND((P126*'Business Analysis'!$D$36+Q126*'Business Analysis'!$D$37+R126*'Business Analysis'!$D$38+S126*'Business Analysis'!$D$39+T126*'Business Analysis'!$D$40+U126*'Business Analysis'!$D$41)/5*100,0)</f>
        <v>86</v>
      </c>
      <c r="W126" s="15" t="str">
        <f t="shared" si="4"/>
        <v>High</v>
      </c>
      <c r="X126" s="12" t="s">
        <v>390</v>
      </c>
      <c r="Y126" s="15" t="s">
        <v>77</v>
      </c>
      <c r="Z126" s="12" t="s">
        <v>157</v>
      </c>
    </row>
    <row r="127" ht="15.75" customHeight="1">
      <c r="A127" s="22" t="s">
        <v>973</v>
      </c>
      <c r="B127" s="24" t="s">
        <v>337</v>
      </c>
      <c r="C127" s="25" t="s">
        <v>699</v>
      </c>
      <c r="D127" s="25" t="s">
        <v>382</v>
      </c>
      <c r="E127" s="29" t="s">
        <v>305</v>
      </c>
      <c r="F127" s="29" t="s">
        <v>35</v>
      </c>
      <c r="G127" s="29" t="s">
        <v>111</v>
      </c>
      <c r="H127" s="30">
        <v>110.0</v>
      </c>
      <c r="I127" s="24" t="s">
        <v>38</v>
      </c>
      <c r="J127" s="31">
        <v>35.0</v>
      </c>
      <c r="K127" s="24" t="s">
        <v>41</v>
      </c>
      <c r="L127" s="32">
        <v>11.9</v>
      </c>
      <c r="M127" s="24" t="s">
        <v>44</v>
      </c>
      <c r="N127" s="29" t="str">
        <f t="shared" si="1"/>
        <v>Moderate</v>
      </c>
      <c r="O127" s="25" t="s">
        <v>969</v>
      </c>
      <c r="P127" s="31">
        <v>5.0</v>
      </c>
      <c r="Q127" s="29">
        <f t="shared" si="2"/>
        <v>2</v>
      </c>
      <c r="R127" s="29">
        <f t="shared" si="3"/>
        <v>4</v>
      </c>
      <c r="S127" s="31">
        <v>5.0</v>
      </c>
      <c r="T127" s="31">
        <v>5.0</v>
      </c>
      <c r="U127" s="31">
        <v>4.0</v>
      </c>
      <c r="V127" s="38">
        <f>ROUND((P127*'Business Analysis'!$D$36+Q127*'Business Analysis'!$D$37+R127*'Business Analysis'!$D$38+S127*'Business Analysis'!$D$39+T127*'Business Analysis'!$D$40+U127*'Business Analysis'!$D$41)/5*100,0)</f>
        <v>88</v>
      </c>
      <c r="W127" s="29" t="str">
        <f t="shared" si="4"/>
        <v>High</v>
      </c>
      <c r="X127" s="25" t="s">
        <v>390</v>
      </c>
      <c r="Y127" s="29" t="s">
        <v>77</v>
      </c>
      <c r="Z127" s="25" t="s">
        <v>157</v>
      </c>
    </row>
    <row r="128" ht="15.75" customHeight="1">
      <c r="A128" s="9" t="s">
        <v>974</v>
      </c>
      <c r="B128" s="10" t="s">
        <v>356</v>
      </c>
      <c r="C128" s="12" t="s">
        <v>699</v>
      </c>
      <c r="D128" s="12" t="s">
        <v>382</v>
      </c>
      <c r="E128" s="15" t="s">
        <v>356</v>
      </c>
      <c r="F128" s="15" t="s">
        <v>208</v>
      </c>
      <c r="G128" s="15" t="s">
        <v>111</v>
      </c>
      <c r="H128" s="16">
        <v>50.0</v>
      </c>
      <c r="I128" s="10" t="s">
        <v>38</v>
      </c>
      <c r="J128" s="17">
        <v>28.0</v>
      </c>
      <c r="K128" s="10" t="s">
        <v>41</v>
      </c>
      <c r="L128" s="18">
        <v>12.0</v>
      </c>
      <c r="M128" s="10" t="s">
        <v>44</v>
      </c>
      <c r="N128" s="15" t="str">
        <f t="shared" si="1"/>
        <v>Moderate</v>
      </c>
      <c r="O128" s="12" t="s">
        <v>969</v>
      </c>
      <c r="P128" s="17">
        <v>4.0</v>
      </c>
      <c r="Q128" s="15">
        <f t="shared" si="2"/>
        <v>1</v>
      </c>
      <c r="R128" s="15">
        <f t="shared" si="3"/>
        <v>4</v>
      </c>
      <c r="S128" s="17">
        <v>4.0</v>
      </c>
      <c r="T128" s="17">
        <v>4.0</v>
      </c>
      <c r="U128" s="17">
        <v>4.0</v>
      </c>
      <c r="V128" s="21">
        <f>ROUND((P128*'Business Analysis'!$D$36+Q128*'Business Analysis'!$D$37+R128*'Business Analysis'!$D$38+S128*'Business Analysis'!$D$39+T128*'Business Analysis'!$D$40+U128*'Business Analysis'!$D$41)/5*100,0)</f>
        <v>74</v>
      </c>
      <c r="W128" s="15" t="str">
        <f t="shared" si="4"/>
        <v>Medium</v>
      </c>
      <c r="X128" s="12" t="s">
        <v>390</v>
      </c>
      <c r="Y128" s="15" t="s">
        <v>77</v>
      </c>
      <c r="Z128" s="12" t="s">
        <v>157</v>
      </c>
    </row>
    <row r="129" ht="15.75" customHeight="1">
      <c r="A129" s="22" t="s">
        <v>393</v>
      </c>
      <c r="B129" s="24" t="s">
        <v>412</v>
      </c>
      <c r="C129" s="25" t="s">
        <v>699</v>
      </c>
      <c r="D129" s="25" t="s">
        <v>392</v>
      </c>
      <c r="E129" s="29" t="s">
        <v>412</v>
      </c>
      <c r="F129" s="29" t="s">
        <v>413</v>
      </c>
      <c r="G129" s="29" t="s">
        <v>36</v>
      </c>
      <c r="H129" s="30">
        <v>9900.0</v>
      </c>
      <c r="I129" s="24" t="s">
        <v>38</v>
      </c>
      <c r="J129" s="31">
        <v>42.0</v>
      </c>
      <c r="K129" s="24" t="s">
        <v>41</v>
      </c>
      <c r="L129" s="32">
        <v>3.6</v>
      </c>
      <c r="M129" s="24" t="s">
        <v>44</v>
      </c>
      <c r="N129" s="29" t="str">
        <f t="shared" si="1"/>
        <v>Competitive</v>
      </c>
      <c r="O129" s="25" t="s">
        <v>493</v>
      </c>
      <c r="P129" s="31">
        <v>1.0</v>
      </c>
      <c r="Q129" s="29">
        <f t="shared" si="2"/>
        <v>5</v>
      </c>
      <c r="R129" s="29">
        <f t="shared" si="3"/>
        <v>3</v>
      </c>
      <c r="S129" s="31">
        <v>1.0</v>
      </c>
      <c r="T129" s="31">
        <v>1.0</v>
      </c>
      <c r="U129" s="31">
        <v>4.0</v>
      </c>
      <c r="V129" s="38">
        <f>ROUND((P129*'Business Analysis'!$D$36+Q129*'Business Analysis'!$D$37+R129*'Business Analysis'!$D$38+S129*'Business Analysis'!$D$39+T129*'Business Analysis'!$D$40+U129*'Business Analysis'!$D$41)/5*100,0)</f>
        <v>42</v>
      </c>
      <c r="W129" s="29" t="str">
        <f t="shared" si="4"/>
        <v>Low</v>
      </c>
      <c r="X129" s="25" t="s">
        <v>572</v>
      </c>
      <c r="Y129" s="29" t="s">
        <v>386</v>
      </c>
      <c r="Z129" s="25" t="s">
        <v>975</v>
      </c>
    </row>
    <row r="130" ht="15.75" customHeight="1">
      <c r="A130" s="9" t="s">
        <v>976</v>
      </c>
      <c r="B130" s="10" t="s">
        <v>356</v>
      </c>
      <c r="C130" s="12" t="s">
        <v>699</v>
      </c>
      <c r="D130" s="12" t="s">
        <v>392</v>
      </c>
      <c r="E130" s="15" t="s">
        <v>356</v>
      </c>
      <c r="F130" s="15" t="s">
        <v>208</v>
      </c>
      <c r="G130" s="15" t="s">
        <v>111</v>
      </c>
      <c r="H130" s="16">
        <v>3600.0</v>
      </c>
      <c r="I130" s="10" t="s">
        <v>38</v>
      </c>
      <c r="J130" s="17">
        <v>34.0</v>
      </c>
      <c r="K130" s="10" t="s">
        <v>41</v>
      </c>
      <c r="L130" s="18">
        <v>3.4</v>
      </c>
      <c r="M130" s="10" t="s">
        <v>44</v>
      </c>
      <c r="N130" s="15" t="str">
        <f t="shared" si="1"/>
        <v>Moderate</v>
      </c>
      <c r="O130" s="12" t="s">
        <v>493</v>
      </c>
      <c r="P130" s="17">
        <v>2.0</v>
      </c>
      <c r="Q130" s="15">
        <f t="shared" si="2"/>
        <v>5</v>
      </c>
      <c r="R130" s="15">
        <f t="shared" si="3"/>
        <v>4</v>
      </c>
      <c r="S130" s="17">
        <v>3.0</v>
      </c>
      <c r="T130" s="17">
        <v>3.0</v>
      </c>
      <c r="U130" s="17">
        <v>3.0</v>
      </c>
      <c r="V130" s="21">
        <f>ROUND((P130*'Business Analysis'!$D$36+Q130*'Business Analysis'!$D$37+R130*'Business Analysis'!$D$38+S130*'Business Analysis'!$D$39+T130*'Business Analysis'!$D$40+U130*'Business Analysis'!$D$41)/5*100,0)</f>
        <v>63</v>
      </c>
      <c r="W130" s="15" t="str">
        <f t="shared" si="4"/>
        <v>Medium</v>
      </c>
      <c r="X130" s="12" t="s">
        <v>572</v>
      </c>
      <c r="Y130" s="15" t="s">
        <v>386</v>
      </c>
      <c r="Z130" s="12" t="s">
        <v>157</v>
      </c>
    </row>
    <row r="131" ht="15.75" customHeight="1">
      <c r="A131" s="22" t="s">
        <v>977</v>
      </c>
      <c r="B131" s="24" t="s">
        <v>421</v>
      </c>
      <c r="C131" s="25" t="s">
        <v>699</v>
      </c>
      <c r="D131" s="25" t="s">
        <v>392</v>
      </c>
      <c r="E131" s="29" t="s">
        <v>356</v>
      </c>
      <c r="F131" s="29" t="s">
        <v>208</v>
      </c>
      <c r="G131" s="29" t="s">
        <v>111</v>
      </c>
      <c r="H131" s="30">
        <v>1900.0</v>
      </c>
      <c r="I131" s="24" t="s">
        <v>38</v>
      </c>
      <c r="J131" s="31">
        <v>30.0</v>
      </c>
      <c r="K131" s="24" t="s">
        <v>41</v>
      </c>
      <c r="L131" s="32">
        <v>3.1</v>
      </c>
      <c r="M131" s="24" t="s">
        <v>44</v>
      </c>
      <c r="N131" s="29" t="str">
        <f t="shared" si="1"/>
        <v>Moderate</v>
      </c>
      <c r="O131" s="25" t="s">
        <v>493</v>
      </c>
      <c r="P131" s="31">
        <v>2.0</v>
      </c>
      <c r="Q131" s="29">
        <f t="shared" si="2"/>
        <v>4</v>
      </c>
      <c r="R131" s="29">
        <f t="shared" si="3"/>
        <v>4</v>
      </c>
      <c r="S131" s="31">
        <v>3.0</v>
      </c>
      <c r="T131" s="31">
        <v>3.0</v>
      </c>
      <c r="U131" s="31">
        <v>3.0</v>
      </c>
      <c r="V131" s="38">
        <f>ROUND((P131*'Business Analysis'!$D$36+Q131*'Business Analysis'!$D$37+R131*'Business Analysis'!$D$38+S131*'Business Analysis'!$D$39+T131*'Business Analysis'!$D$40+U131*'Business Analysis'!$D$41)/5*100,0)</f>
        <v>61</v>
      </c>
      <c r="W131" s="29" t="str">
        <f t="shared" si="4"/>
        <v>Medium</v>
      </c>
      <c r="X131" s="25" t="s">
        <v>572</v>
      </c>
      <c r="Y131" s="29" t="s">
        <v>386</v>
      </c>
      <c r="Z131" s="25" t="s">
        <v>157</v>
      </c>
    </row>
    <row r="132" ht="15.75" customHeight="1">
      <c r="A132" s="9" t="s">
        <v>978</v>
      </c>
      <c r="B132" s="10" t="s">
        <v>356</v>
      </c>
      <c r="C132" s="12" t="s">
        <v>699</v>
      </c>
      <c r="D132" s="12" t="s">
        <v>392</v>
      </c>
      <c r="E132" s="15" t="s">
        <v>356</v>
      </c>
      <c r="F132" s="15" t="s">
        <v>208</v>
      </c>
      <c r="G132" s="15" t="s">
        <v>111</v>
      </c>
      <c r="H132" s="16">
        <v>18100.0</v>
      </c>
      <c r="I132" s="10" t="s">
        <v>38</v>
      </c>
      <c r="J132" s="17">
        <v>62.0</v>
      </c>
      <c r="K132" s="10" t="s">
        <v>41</v>
      </c>
      <c r="L132" s="18">
        <v>6.2</v>
      </c>
      <c r="M132" s="10" t="s">
        <v>44</v>
      </c>
      <c r="N132" s="15" t="str">
        <f t="shared" si="1"/>
        <v>Competitive</v>
      </c>
      <c r="O132" s="12" t="s">
        <v>493</v>
      </c>
      <c r="P132" s="17">
        <v>2.0</v>
      </c>
      <c r="Q132" s="15">
        <f t="shared" si="2"/>
        <v>5</v>
      </c>
      <c r="R132" s="15">
        <f t="shared" si="3"/>
        <v>1</v>
      </c>
      <c r="S132" s="17">
        <v>3.0</v>
      </c>
      <c r="T132" s="17">
        <v>3.0</v>
      </c>
      <c r="U132" s="17">
        <v>3.0</v>
      </c>
      <c r="V132" s="21">
        <f>ROUND((P132*'Business Analysis'!$D$36+Q132*'Business Analysis'!$D$37+R132*'Business Analysis'!$D$38+S132*'Business Analysis'!$D$39+T132*'Business Analysis'!$D$40+U132*'Business Analysis'!$D$41)/5*100,0)</f>
        <v>51</v>
      </c>
      <c r="W132" s="15" t="str">
        <f t="shared" si="4"/>
        <v>Low</v>
      </c>
      <c r="X132" s="12" t="s">
        <v>572</v>
      </c>
      <c r="Y132" s="15" t="s">
        <v>386</v>
      </c>
      <c r="Z132" s="12" t="s">
        <v>157</v>
      </c>
    </row>
    <row r="133" ht="15.75" customHeight="1">
      <c r="A133" s="22" t="s">
        <v>979</v>
      </c>
      <c r="B133" s="24" t="s">
        <v>412</v>
      </c>
      <c r="C133" s="25" t="s">
        <v>699</v>
      </c>
      <c r="D133" s="25" t="s">
        <v>392</v>
      </c>
      <c r="E133" s="29" t="s">
        <v>412</v>
      </c>
      <c r="F133" s="29" t="s">
        <v>413</v>
      </c>
      <c r="G133" s="29" t="s">
        <v>111</v>
      </c>
      <c r="H133" s="30">
        <v>2400.0</v>
      </c>
      <c r="I133" s="24" t="s">
        <v>38</v>
      </c>
      <c r="J133" s="31">
        <v>28.0</v>
      </c>
      <c r="K133" s="24" t="s">
        <v>41</v>
      </c>
      <c r="L133" s="32">
        <v>2.1</v>
      </c>
      <c r="M133" s="24" t="s">
        <v>44</v>
      </c>
      <c r="N133" s="29" t="str">
        <f t="shared" si="1"/>
        <v>Moderate</v>
      </c>
      <c r="O133" s="25" t="s">
        <v>493</v>
      </c>
      <c r="P133" s="31">
        <v>1.0</v>
      </c>
      <c r="Q133" s="29">
        <f t="shared" si="2"/>
        <v>5</v>
      </c>
      <c r="R133" s="29">
        <f t="shared" si="3"/>
        <v>4</v>
      </c>
      <c r="S133" s="31">
        <v>1.0</v>
      </c>
      <c r="T133" s="31">
        <v>1.0</v>
      </c>
      <c r="U133" s="31">
        <v>3.0</v>
      </c>
      <c r="V133" s="38">
        <f>ROUND((P133*'Business Analysis'!$D$36+Q133*'Business Analysis'!$D$37+R133*'Business Analysis'!$D$38+S133*'Business Analysis'!$D$39+T133*'Business Analysis'!$D$40+U133*'Business Analysis'!$D$41)/5*100,0)</f>
        <v>44</v>
      </c>
      <c r="W133" s="29" t="str">
        <f t="shared" si="4"/>
        <v>Low</v>
      </c>
      <c r="X133" s="25" t="s">
        <v>572</v>
      </c>
      <c r="Y133" s="29" t="s">
        <v>386</v>
      </c>
      <c r="Z133" s="25" t="s">
        <v>157</v>
      </c>
    </row>
    <row r="134" ht="15.75" customHeight="1">
      <c r="A134" s="9" t="s">
        <v>980</v>
      </c>
      <c r="B134" s="10" t="s">
        <v>421</v>
      </c>
      <c r="C134" s="12" t="s">
        <v>699</v>
      </c>
      <c r="D134" s="12" t="s">
        <v>392</v>
      </c>
      <c r="E134" s="15" t="s">
        <v>356</v>
      </c>
      <c r="F134" s="15" t="s">
        <v>208</v>
      </c>
      <c r="G134" s="15" t="s">
        <v>111</v>
      </c>
      <c r="H134" s="16">
        <v>1300.0</v>
      </c>
      <c r="I134" s="10" t="s">
        <v>38</v>
      </c>
      <c r="J134" s="17">
        <v>31.0</v>
      </c>
      <c r="K134" s="10" t="s">
        <v>41</v>
      </c>
      <c r="L134" s="18">
        <v>2.8</v>
      </c>
      <c r="M134" s="10" t="s">
        <v>44</v>
      </c>
      <c r="N134" s="15" t="str">
        <f t="shared" si="1"/>
        <v>Moderate</v>
      </c>
      <c r="O134" s="12" t="s">
        <v>493</v>
      </c>
      <c r="P134" s="17">
        <v>2.0</v>
      </c>
      <c r="Q134" s="15">
        <f t="shared" si="2"/>
        <v>4</v>
      </c>
      <c r="R134" s="15">
        <f t="shared" si="3"/>
        <v>4</v>
      </c>
      <c r="S134" s="17">
        <v>3.0</v>
      </c>
      <c r="T134" s="17">
        <v>3.0</v>
      </c>
      <c r="U134" s="17">
        <v>3.0</v>
      </c>
      <c r="V134" s="21">
        <f>ROUND((P134*'Business Analysis'!$D$36+Q134*'Business Analysis'!$D$37+R134*'Business Analysis'!$D$38+S134*'Business Analysis'!$D$39+T134*'Business Analysis'!$D$40+U134*'Business Analysis'!$D$41)/5*100,0)</f>
        <v>61</v>
      </c>
      <c r="W134" s="15" t="str">
        <f t="shared" si="4"/>
        <v>Medium</v>
      </c>
      <c r="X134" s="12" t="s">
        <v>572</v>
      </c>
      <c r="Y134" s="15" t="s">
        <v>386</v>
      </c>
      <c r="Z134" s="12" t="s">
        <v>157</v>
      </c>
    </row>
    <row r="135" ht="15.75" customHeight="1">
      <c r="A135" s="22" t="s">
        <v>406</v>
      </c>
      <c r="B135" s="24" t="s">
        <v>299</v>
      </c>
      <c r="C135" s="25" t="s">
        <v>699</v>
      </c>
      <c r="D135" s="25" t="s">
        <v>405</v>
      </c>
      <c r="E135" s="29" t="s">
        <v>305</v>
      </c>
      <c r="F135" s="29" t="s">
        <v>35</v>
      </c>
      <c r="G135" s="29" t="s">
        <v>36</v>
      </c>
      <c r="H135" s="30">
        <v>390.0</v>
      </c>
      <c r="I135" s="24" t="s">
        <v>38</v>
      </c>
      <c r="J135" s="31">
        <v>44.0</v>
      </c>
      <c r="K135" s="24" t="s">
        <v>41</v>
      </c>
      <c r="L135" s="32">
        <v>12.8</v>
      </c>
      <c r="M135" s="24" t="s">
        <v>44</v>
      </c>
      <c r="N135" s="29" t="str">
        <f t="shared" si="1"/>
        <v>Competitive</v>
      </c>
      <c r="O135" s="25" t="s">
        <v>969</v>
      </c>
      <c r="P135" s="31">
        <v>5.0</v>
      </c>
      <c r="Q135" s="29">
        <f t="shared" si="2"/>
        <v>3</v>
      </c>
      <c r="R135" s="29">
        <f t="shared" si="3"/>
        <v>3</v>
      </c>
      <c r="S135" s="31">
        <v>5.0</v>
      </c>
      <c r="T135" s="31">
        <v>5.0</v>
      </c>
      <c r="U135" s="31">
        <v>5.0</v>
      </c>
      <c r="V135" s="38">
        <f>ROUND((P135*'Business Analysis'!$D$36+Q135*'Business Analysis'!$D$37+R135*'Business Analysis'!$D$38+S135*'Business Analysis'!$D$39+T135*'Business Analysis'!$D$40+U135*'Business Analysis'!$D$41)/5*100,0)</f>
        <v>88</v>
      </c>
      <c r="W135" s="29" t="str">
        <f t="shared" si="4"/>
        <v>High</v>
      </c>
      <c r="X135" s="25" t="s">
        <v>595</v>
      </c>
      <c r="Y135" s="29" t="s">
        <v>386</v>
      </c>
      <c r="Z135" s="25" t="s">
        <v>981</v>
      </c>
    </row>
    <row r="136" ht="15.75" customHeight="1">
      <c r="A136" s="9" t="s">
        <v>982</v>
      </c>
      <c r="B136" s="10" t="s">
        <v>299</v>
      </c>
      <c r="C136" s="12" t="s">
        <v>699</v>
      </c>
      <c r="D136" s="12" t="s">
        <v>405</v>
      </c>
      <c r="E136" s="15" t="s">
        <v>305</v>
      </c>
      <c r="F136" s="15" t="s">
        <v>35</v>
      </c>
      <c r="G136" s="15" t="s">
        <v>111</v>
      </c>
      <c r="H136" s="16">
        <v>260.0</v>
      </c>
      <c r="I136" s="10" t="s">
        <v>38</v>
      </c>
      <c r="J136" s="17">
        <v>42.0</v>
      </c>
      <c r="K136" s="10" t="s">
        <v>41</v>
      </c>
      <c r="L136" s="18">
        <v>12.4</v>
      </c>
      <c r="M136" s="10" t="s">
        <v>44</v>
      </c>
      <c r="N136" s="15" t="str">
        <f t="shared" si="1"/>
        <v>Competitive</v>
      </c>
      <c r="O136" s="12" t="s">
        <v>969</v>
      </c>
      <c r="P136" s="17">
        <v>5.0</v>
      </c>
      <c r="Q136" s="15">
        <f t="shared" si="2"/>
        <v>2</v>
      </c>
      <c r="R136" s="15">
        <f t="shared" si="3"/>
        <v>3</v>
      </c>
      <c r="S136" s="17">
        <v>5.0</v>
      </c>
      <c r="T136" s="17">
        <v>5.0</v>
      </c>
      <c r="U136" s="17">
        <v>4.0</v>
      </c>
      <c r="V136" s="21">
        <f>ROUND((P136*'Business Analysis'!$D$36+Q136*'Business Analysis'!$D$37+R136*'Business Analysis'!$D$38+S136*'Business Analysis'!$D$39+T136*'Business Analysis'!$D$40+U136*'Business Analysis'!$D$41)/5*100,0)</f>
        <v>84</v>
      </c>
      <c r="W136" s="15" t="str">
        <f t="shared" si="4"/>
        <v>High</v>
      </c>
      <c r="X136" s="12" t="s">
        <v>595</v>
      </c>
      <c r="Y136" s="15" t="s">
        <v>386</v>
      </c>
      <c r="Z136" s="12" t="s">
        <v>157</v>
      </c>
    </row>
    <row r="137" ht="15.75" customHeight="1">
      <c r="A137" s="22" t="s">
        <v>889</v>
      </c>
      <c r="B137" s="24" t="s">
        <v>299</v>
      </c>
      <c r="C137" s="25" t="s">
        <v>699</v>
      </c>
      <c r="D137" s="25" t="s">
        <v>405</v>
      </c>
      <c r="E137" s="29" t="s">
        <v>305</v>
      </c>
      <c r="F137" s="29" t="s">
        <v>35</v>
      </c>
      <c r="G137" s="29" t="s">
        <v>111</v>
      </c>
      <c r="H137" s="30">
        <v>60.0</v>
      </c>
      <c r="I137" s="24" t="s">
        <v>38</v>
      </c>
      <c r="J137" s="31">
        <v>25.0</v>
      </c>
      <c r="K137" s="24" t="s">
        <v>41</v>
      </c>
      <c r="L137" s="32">
        <v>11.6</v>
      </c>
      <c r="M137" s="24" t="s">
        <v>44</v>
      </c>
      <c r="N137" s="29" t="str">
        <f t="shared" si="1"/>
        <v>Moderate</v>
      </c>
      <c r="O137" s="25" t="s">
        <v>969</v>
      </c>
      <c r="P137" s="31">
        <v>5.0</v>
      </c>
      <c r="Q137" s="29">
        <f t="shared" si="2"/>
        <v>1</v>
      </c>
      <c r="R137" s="29">
        <f t="shared" si="3"/>
        <v>5</v>
      </c>
      <c r="S137" s="31">
        <v>5.0</v>
      </c>
      <c r="T137" s="31">
        <v>5.0</v>
      </c>
      <c r="U137" s="31">
        <v>4.0</v>
      </c>
      <c r="V137" s="38">
        <f>ROUND((P137*'Business Analysis'!$D$36+Q137*'Business Analysis'!$D$37+R137*'Business Analysis'!$D$38+S137*'Business Analysis'!$D$39+T137*'Business Analysis'!$D$40+U137*'Business Analysis'!$D$41)/5*100,0)</f>
        <v>90</v>
      </c>
      <c r="W137" s="29" t="str">
        <f t="shared" si="4"/>
        <v>Critical</v>
      </c>
      <c r="X137" s="25" t="s">
        <v>595</v>
      </c>
      <c r="Y137" s="29" t="s">
        <v>386</v>
      </c>
      <c r="Z137" s="25" t="s">
        <v>157</v>
      </c>
    </row>
    <row r="138" ht="15.75" customHeight="1">
      <c r="A138" s="9" t="s">
        <v>983</v>
      </c>
      <c r="B138" s="10" t="s">
        <v>356</v>
      </c>
      <c r="C138" s="12" t="s">
        <v>699</v>
      </c>
      <c r="D138" s="12" t="s">
        <v>405</v>
      </c>
      <c r="E138" s="15" t="s">
        <v>356</v>
      </c>
      <c r="F138" s="15" t="s">
        <v>208</v>
      </c>
      <c r="G138" s="15" t="s">
        <v>111</v>
      </c>
      <c r="H138" s="16">
        <v>90.0</v>
      </c>
      <c r="I138" s="10" t="s">
        <v>38</v>
      </c>
      <c r="J138" s="17">
        <v>33.0</v>
      </c>
      <c r="K138" s="10" t="s">
        <v>41</v>
      </c>
      <c r="L138" s="18">
        <v>12.2</v>
      </c>
      <c r="M138" s="10" t="s">
        <v>44</v>
      </c>
      <c r="N138" s="15" t="str">
        <f t="shared" si="1"/>
        <v>Moderate</v>
      </c>
      <c r="O138" s="12" t="s">
        <v>969</v>
      </c>
      <c r="P138" s="17">
        <v>4.0</v>
      </c>
      <c r="Q138" s="15">
        <f t="shared" si="2"/>
        <v>1</v>
      </c>
      <c r="R138" s="15">
        <f t="shared" si="3"/>
        <v>4</v>
      </c>
      <c r="S138" s="17">
        <v>4.0</v>
      </c>
      <c r="T138" s="17">
        <v>4.0</v>
      </c>
      <c r="U138" s="17">
        <v>4.0</v>
      </c>
      <c r="V138" s="21">
        <f>ROUND((P138*'Business Analysis'!$D$36+Q138*'Business Analysis'!$D$37+R138*'Business Analysis'!$D$38+S138*'Business Analysis'!$D$39+T138*'Business Analysis'!$D$40+U138*'Business Analysis'!$D$41)/5*100,0)</f>
        <v>74</v>
      </c>
      <c r="W138" s="15" t="str">
        <f t="shared" si="4"/>
        <v>Medium</v>
      </c>
      <c r="X138" s="12" t="s">
        <v>595</v>
      </c>
      <c r="Y138" s="15" t="s">
        <v>386</v>
      </c>
      <c r="Z138" s="12" t="s">
        <v>157</v>
      </c>
    </row>
    <row r="139" ht="15.75" customHeight="1">
      <c r="A139" s="22" t="s">
        <v>984</v>
      </c>
      <c r="B139" s="24" t="s">
        <v>412</v>
      </c>
      <c r="C139" s="25" t="s">
        <v>699</v>
      </c>
      <c r="D139" s="25" t="s">
        <v>405</v>
      </c>
      <c r="E139" s="29" t="s">
        <v>412</v>
      </c>
      <c r="F139" s="29" t="s">
        <v>413</v>
      </c>
      <c r="G139" s="29" t="s">
        <v>111</v>
      </c>
      <c r="H139" s="30">
        <v>2400.0</v>
      </c>
      <c r="I139" s="24" t="s">
        <v>38</v>
      </c>
      <c r="J139" s="31">
        <v>48.0</v>
      </c>
      <c r="K139" s="24" t="s">
        <v>41</v>
      </c>
      <c r="L139" s="32">
        <v>3.8</v>
      </c>
      <c r="M139" s="24" t="s">
        <v>44</v>
      </c>
      <c r="N139" s="29" t="str">
        <f t="shared" si="1"/>
        <v>Competitive</v>
      </c>
      <c r="O139" s="25" t="s">
        <v>224</v>
      </c>
      <c r="P139" s="31">
        <v>3.0</v>
      </c>
      <c r="Q139" s="29">
        <f t="shared" si="2"/>
        <v>5</v>
      </c>
      <c r="R139" s="29">
        <f t="shared" si="3"/>
        <v>2</v>
      </c>
      <c r="S139" s="31">
        <v>1.0</v>
      </c>
      <c r="T139" s="31">
        <v>2.0</v>
      </c>
      <c r="U139" s="31">
        <v>4.0</v>
      </c>
      <c r="V139" s="38">
        <f>ROUND((P139*'Business Analysis'!$D$36+Q139*'Business Analysis'!$D$37+R139*'Business Analysis'!$D$38+S139*'Business Analysis'!$D$39+T139*'Business Analysis'!$D$40+U139*'Business Analysis'!$D$41)/5*100,0)</f>
        <v>52</v>
      </c>
      <c r="W139" s="29" t="str">
        <f t="shared" si="4"/>
        <v>Low</v>
      </c>
      <c r="X139" s="25" t="s">
        <v>595</v>
      </c>
      <c r="Y139" s="29" t="s">
        <v>386</v>
      </c>
      <c r="Z139" s="25" t="s">
        <v>157</v>
      </c>
    </row>
    <row r="140" ht="15.75" customHeight="1">
      <c r="A140" s="9" t="s">
        <v>985</v>
      </c>
      <c r="B140" s="10" t="s">
        <v>337</v>
      </c>
      <c r="C140" s="12" t="s">
        <v>699</v>
      </c>
      <c r="D140" s="12" t="s">
        <v>405</v>
      </c>
      <c r="E140" s="15" t="s">
        <v>305</v>
      </c>
      <c r="F140" s="15" t="s">
        <v>35</v>
      </c>
      <c r="G140" s="15" t="s">
        <v>111</v>
      </c>
      <c r="H140" s="16">
        <v>90.0</v>
      </c>
      <c r="I140" s="10" t="s">
        <v>38</v>
      </c>
      <c r="J140" s="17">
        <v>34.0</v>
      </c>
      <c r="K140" s="10" t="s">
        <v>41</v>
      </c>
      <c r="L140" s="18">
        <v>12.5</v>
      </c>
      <c r="M140" s="10" t="s">
        <v>44</v>
      </c>
      <c r="N140" s="15" t="str">
        <f t="shared" si="1"/>
        <v>Moderate</v>
      </c>
      <c r="O140" s="12" t="s">
        <v>969</v>
      </c>
      <c r="P140" s="17">
        <v>5.0</v>
      </c>
      <c r="Q140" s="15">
        <f t="shared" si="2"/>
        <v>1</v>
      </c>
      <c r="R140" s="15">
        <f t="shared" si="3"/>
        <v>4</v>
      </c>
      <c r="S140" s="17">
        <v>5.0</v>
      </c>
      <c r="T140" s="17">
        <v>5.0</v>
      </c>
      <c r="U140" s="17">
        <v>4.0</v>
      </c>
      <c r="V140" s="21">
        <f>ROUND((P140*'Business Analysis'!$D$36+Q140*'Business Analysis'!$D$37+R140*'Business Analysis'!$D$38+S140*'Business Analysis'!$D$39+T140*'Business Analysis'!$D$40+U140*'Business Analysis'!$D$41)/5*100,0)</f>
        <v>86</v>
      </c>
      <c r="W140" s="15" t="str">
        <f t="shared" si="4"/>
        <v>High</v>
      </c>
      <c r="X140" s="12" t="s">
        <v>595</v>
      </c>
      <c r="Y140" s="15" t="s">
        <v>386</v>
      </c>
      <c r="Z140" s="12" t="s">
        <v>157</v>
      </c>
    </row>
    <row r="141" ht="15.75" customHeight="1">
      <c r="A141" s="22" t="s">
        <v>416</v>
      </c>
      <c r="B141" s="24" t="s">
        <v>299</v>
      </c>
      <c r="C141" s="25" t="s">
        <v>699</v>
      </c>
      <c r="D141" s="25" t="s">
        <v>414</v>
      </c>
      <c r="E141" s="29" t="s">
        <v>305</v>
      </c>
      <c r="F141" s="29" t="s">
        <v>35</v>
      </c>
      <c r="G141" s="29" t="s">
        <v>36</v>
      </c>
      <c r="H141" s="30">
        <v>260.0</v>
      </c>
      <c r="I141" s="24" t="s">
        <v>38</v>
      </c>
      <c r="J141" s="31">
        <v>37.0</v>
      </c>
      <c r="K141" s="24" t="s">
        <v>41</v>
      </c>
      <c r="L141" s="32">
        <v>7.8</v>
      </c>
      <c r="M141" s="24" t="s">
        <v>44</v>
      </c>
      <c r="N141" s="29" t="str">
        <f t="shared" si="1"/>
        <v>Moderate</v>
      </c>
      <c r="O141" s="25" t="s">
        <v>969</v>
      </c>
      <c r="P141" s="31">
        <v>4.0</v>
      </c>
      <c r="Q141" s="29">
        <f t="shared" si="2"/>
        <v>2</v>
      </c>
      <c r="R141" s="29">
        <f t="shared" si="3"/>
        <v>3</v>
      </c>
      <c r="S141" s="31">
        <v>5.0</v>
      </c>
      <c r="T141" s="31">
        <v>5.0</v>
      </c>
      <c r="U141" s="31">
        <v>5.0</v>
      </c>
      <c r="V141" s="38">
        <f>ROUND((P141*'Business Analysis'!$D$36+Q141*'Business Analysis'!$D$37+R141*'Business Analysis'!$D$38+S141*'Business Analysis'!$D$39+T141*'Business Analysis'!$D$40+U141*'Business Analysis'!$D$41)/5*100,0)</f>
        <v>81</v>
      </c>
      <c r="W141" s="29" t="str">
        <f t="shared" si="4"/>
        <v>High</v>
      </c>
      <c r="X141" s="25" t="s">
        <v>419</v>
      </c>
      <c r="Y141" s="29" t="s">
        <v>77</v>
      </c>
      <c r="Z141" s="25" t="s">
        <v>986</v>
      </c>
    </row>
    <row r="142" ht="15.75" customHeight="1">
      <c r="A142" s="9" t="s">
        <v>987</v>
      </c>
      <c r="B142" s="10" t="s">
        <v>299</v>
      </c>
      <c r="C142" s="12" t="s">
        <v>699</v>
      </c>
      <c r="D142" s="12" t="s">
        <v>414</v>
      </c>
      <c r="E142" s="15" t="s">
        <v>305</v>
      </c>
      <c r="F142" s="15" t="s">
        <v>35</v>
      </c>
      <c r="G142" s="15" t="s">
        <v>111</v>
      </c>
      <c r="H142" s="16">
        <v>90.0</v>
      </c>
      <c r="I142" s="10" t="s">
        <v>38</v>
      </c>
      <c r="J142" s="17">
        <v>29.0</v>
      </c>
      <c r="K142" s="10" t="s">
        <v>41</v>
      </c>
      <c r="L142" s="18">
        <v>8.1</v>
      </c>
      <c r="M142" s="10" t="s">
        <v>44</v>
      </c>
      <c r="N142" s="15" t="str">
        <f t="shared" si="1"/>
        <v>Moderate</v>
      </c>
      <c r="O142" s="12" t="s">
        <v>969</v>
      </c>
      <c r="P142" s="17">
        <v>4.0</v>
      </c>
      <c r="Q142" s="15">
        <f t="shared" si="2"/>
        <v>1</v>
      </c>
      <c r="R142" s="15">
        <f t="shared" si="3"/>
        <v>4</v>
      </c>
      <c r="S142" s="17">
        <v>5.0</v>
      </c>
      <c r="T142" s="17">
        <v>5.0</v>
      </c>
      <c r="U142" s="17">
        <v>4.0</v>
      </c>
      <c r="V142" s="21">
        <f>ROUND((P142*'Business Analysis'!$D$36+Q142*'Business Analysis'!$D$37+R142*'Business Analysis'!$D$38+S142*'Business Analysis'!$D$39+T142*'Business Analysis'!$D$40+U142*'Business Analysis'!$D$41)/5*100,0)</f>
        <v>81</v>
      </c>
      <c r="W142" s="15" t="str">
        <f t="shared" si="4"/>
        <v>High</v>
      </c>
      <c r="X142" s="12" t="s">
        <v>419</v>
      </c>
      <c r="Y142" s="15" t="s">
        <v>77</v>
      </c>
      <c r="Z142" s="12" t="s">
        <v>157</v>
      </c>
    </row>
    <row r="143" ht="15.75" customHeight="1">
      <c r="A143" s="22" t="s">
        <v>988</v>
      </c>
      <c r="B143" s="24" t="s">
        <v>337</v>
      </c>
      <c r="C143" s="25" t="s">
        <v>699</v>
      </c>
      <c r="D143" s="25" t="s">
        <v>414</v>
      </c>
      <c r="E143" s="29" t="s">
        <v>305</v>
      </c>
      <c r="F143" s="29" t="s">
        <v>35</v>
      </c>
      <c r="G143" s="29" t="s">
        <v>111</v>
      </c>
      <c r="H143" s="30">
        <v>170.0</v>
      </c>
      <c r="I143" s="24" t="s">
        <v>38</v>
      </c>
      <c r="J143" s="31">
        <v>40.0</v>
      </c>
      <c r="K143" s="24" t="s">
        <v>41</v>
      </c>
      <c r="L143" s="32">
        <v>7.6</v>
      </c>
      <c r="M143" s="24" t="s">
        <v>44</v>
      </c>
      <c r="N143" s="29" t="str">
        <f t="shared" si="1"/>
        <v>Moderate</v>
      </c>
      <c r="O143" s="25" t="s">
        <v>969</v>
      </c>
      <c r="P143" s="31">
        <v>4.0</v>
      </c>
      <c r="Q143" s="29">
        <f t="shared" si="2"/>
        <v>2</v>
      </c>
      <c r="R143" s="29">
        <f t="shared" si="3"/>
        <v>3</v>
      </c>
      <c r="S143" s="31">
        <v>5.0</v>
      </c>
      <c r="T143" s="31">
        <v>5.0</v>
      </c>
      <c r="U143" s="31">
        <v>4.0</v>
      </c>
      <c r="V143" s="38">
        <f>ROUND((P143*'Business Analysis'!$D$36+Q143*'Business Analysis'!$D$37+R143*'Business Analysis'!$D$38+S143*'Business Analysis'!$D$39+T143*'Business Analysis'!$D$40+U143*'Business Analysis'!$D$41)/5*100,0)</f>
        <v>79</v>
      </c>
      <c r="W143" s="29" t="str">
        <f t="shared" si="4"/>
        <v>High</v>
      </c>
      <c r="X143" s="25" t="s">
        <v>419</v>
      </c>
      <c r="Y143" s="29" t="s">
        <v>77</v>
      </c>
      <c r="Z143" s="25" t="s">
        <v>157</v>
      </c>
    </row>
    <row r="144" ht="15.75" customHeight="1">
      <c r="A144" s="9" t="s">
        <v>805</v>
      </c>
      <c r="B144" s="10" t="s">
        <v>299</v>
      </c>
      <c r="C144" s="12" t="s">
        <v>699</v>
      </c>
      <c r="D144" s="12" t="s">
        <v>414</v>
      </c>
      <c r="E144" s="15" t="s">
        <v>305</v>
      </c>
      <c r="F144" s="15" t="s">
        <v>35</v>
      </c>
      <c r="G144" s="15" t="s">
        <v>111</v>
      </c>
      <c r="H144" s="16">
        <v>30.0</v>
      </c>
      <c r="I144" s="10" t="s">
        <v>38</v>
      </c>
      <c r="J144" s="17">
        <v>18.0</v>
      </c>
      <c r="K144" s="10" t="s">
        <v>41</v>
      </c>
      <c r="L144" s="18">
        <v>6.2</v>
      </c>
      <c r="M144" s="10" t="s">
        <v>44</v>
      </c>
      <c r="N144" s="15" t="str">
        <f t="shared" si="1"/>
        <v>Low</v>
      </c>
      <c r="O144" s="12" t="s">
        <v>969</v>
      </c>
      <c r="P144" s="17">
        <v>4.0</v>
      </c>
      <c r="Q144" s="15">
        <f t="shared" si="2"/>
        <v>1</v>
      </c>
      <c r="R144" s="15">
        <f t="shared" si="3"/>
        <v>5</v>
      </c>
      <c r="S144" s="17">
        <v>5.0</v>
      </c>
      <c r="T144" s="17">
        <v>5.0</v>
      </c>
      <c r="U144" s="17">
        <v>4.0</v>
      </c>
      <c r="V144" s="21">
        <f>ROUND((P144*'Business Analysis'!$D$36+Q144*'Business Analysis'!$D$37+R144*'Business Analysis'!$D$38+S144*'Business Analysis'!$D$39+T144*'Business Analysis'!$D$40+U144*'Business Analysis'!$D$41)/5*100,0)</f>
        <v>85</v>
      </c>
      <c r="W144" s="15" t="str">
        <f t="shared" si="4"/>
        <v>High</v>
      </c>
      <c r="X144" s="12" t="s">
        <v>419</v>
      </c>
      <c r="Y144" s="15" t="s">
        <v>77</v>
      </c>
      <c r="Z144" s="12" t="s">
        <v>157</v>
      </c>
    </row>
    <row r="145" ht="15.75" customHeight="1">
      <c r="A145" s="22" t="s">
        <v>989</v>
      </c>
      <c r="B145" s="24" t="s">
        <v>356</v>
      </c>
      <c r="C145" s="25" t="s">
        <v>699</v>
      </c>
      <c r="D145" s="25" t="s">
        <v>414</v>
      </c>
      <c r="E145" s="29" t="s">
        <v>356</v>
      </c>
      <c r="F145" s="29" t="s">
        <v>208</v>
      </c>
      <c r="G145" s="29" t="s">
        <v>111</v>
      </c>
      <c r="H145" s="30">
        <v>2400.0</v>
      </c>
      <c r="I145" s="24" t="s">
        <v>38</v>
      </c>
      <c r="J145" s="31">
        <v>41.0</v>
      </c>
      <c r="K145" s="24" t="s">
        <v>41</v>
      </c>
      <c r="L145" s="32">
        <v>3.6</v>
      </c>
      <c r="M145" s="24" t="s">
        <v>44</v>
      </c>
      <c r="N145" s="29" t="str">
        <f t="shared" si="1"/>
        <v>Competitive</v>
      </c>
      <c r="O145" s="25" t="s">
        <v>493</v>
      </c>
      <c r="P145" s="31">
        <v>3.0</v>
      </c>
      <c r="Q145" s="29">
        <f t="shared" si="2"/>
        <v>5</v>
      </c>
      <c r="R145" s="29">
        <f t="shared" si="3"/>
        <v>3</v>
      </c>
      <c r="S145" s="31">
        <v>3.0</v>
      </c>
      <c r="T145" s="31">
        <v>3.0</v>
      </c>
      <c r="U145" s="31">
        <v>4.0</v>
      </c>
      <c r="V145" s="38">
        <f>ROUND((P145*'Business Analysis'!$D$36+Q145*'Business Analysis'!$D$37+R145*'Business Analysis'!$D$38+S145*'Business Analysis'!$D$39+T145*'Business Analysis'!$D$40+U145*'Business Analysis'!$D$41)/5*100,0)</f>
        <v>66</v>
      </c>
      <c r="W145" s="29" t="str">
        <f t="shared" si="4"/>
        <v>Medium</v>
      </c>
      <c r="X145" s="25" t="s">
        <v>419</v>
      </c>
      <c r="Y145" s="29" t="s">
        <v>77</v>
      </c>
      <c r="Z145" s="25" t="s">
        <v>157</v>
      </c>
    </row>
    <row r="146" ht="15.75" customHeight="1">
      <c r="A146" s="9" t="s">
        <v>990</v>
      </c>
      <c r="B146" s="10" t="s">
        <v>299</v>
      </c>
      <c r="C146" s="12" t="s">
        <v>699</v>
      </c>
      <c r="D146" s="12" t="s">
        <v>414</v>
      </c>
      <c r="E146" s="15" t="s">
        <v>305</v>
      </c>
      <c r="F146" s="15" t="s">
        <v>35</v>
      </c>
      <c r="G146" s="15" t="s">
        <v>111</v>
      </c>
      <c r="H146" s="16">
        <v>70.0</v>
      </c>
      <c r="I146" s="10" t="s">
        <v>38</v>
      </c>
      <c r="J146" s="17">
        <v>30.0</v>
      </c>
      <c r="K146" s="10" t="s">
        <v>41</v>
      </c>
      <c r="L146" s="18">
        <v>7.9</v>
      </c>
      <c r="M146" s="10" t="s">
        <v>44</v>
      </c>
      <c r="N146" s="15" t="str">
        <f t="shared" si="1"/>
        <v>Moderate</v>
      </c>
      <c r="O146" s="12" t="s">
        <v>969</v>
      </c>
      <c r="P146" s="17">
        <v>4.0</v>
      </c>
      <c r="Q146" s="15">
        <f t="shared" si="2"/>
        <v>1</v>
      </c>
      <c r="R146" s="15">
        <f t="shared" si="3"/>
        <v>4</v>
      </c>
      <c r="S146" s="17">
        <v>5.0</v>
      </c>
      <c r="T146" s="17">
        <v>5.0</v>
      </c>
      <c r="U146" s="17">
        <v>4.0</v>
      </c>
      <c r="V146" s="21">
        <f>ROUND((P146*'Business Analysis'!$D$36+Q146*'Business Analysis'!$D$37+R146*'Business Analysis'!$D$38+S146*'Business Analysis'!$D$39+T146*'Business Analysis'!$D$40+U146*'Business Analysis'!$D$41)/5*100,0)</f>
        <v>81</v>
      </c>
      <c r="W146" s="15" t="str">
        <f t="shared" si="4"/>
        <v>High</v>
      </c>
      <c r="X146" s="12" t="s">
        <v>419</v>
      </c>
      <c r="Y146" s="15" t="s">
        <v>77</v>
      </c>
      <c r="Z146" s="12" t="s">
        <v>157</v>
      </c>
    </row>
    <row r="147" ht="15.75" customHeight="1">
      <c r="A147" s="22" t="s">
        <v>424</v>
      </c>
      <c r="B147" s="24" t="s">
        <v>421</v>
      </c>
      <c r="C147" s="25" t="s">
        <v>699</v>
      </c>
      <c r="D147" s="25" t="s">
        <v>423</v>
      </c>
      <c r="E147" s="29" t="s">
        <v>356</v>
      </c>
      <c r="F147" s="29" t="s">
        <v>208</v>
      </c>
      <c r="G147" s="29" t="s">
        <v>36</v>
      </c>
      <c r="H147" s="30">
        <v>1900.0</v>
      </c>
      <c r="I147" s="24" t="s">
        <v>38</v>
      </c>
      <c r="J147" s="31">
        <v>32.0</v>
      </c>
      <c r="K147" s="24" t="s">
        <v>41</v>
      </c>
      <c r="L147" s="32">
        <v>3.2</v>
      </c>
      <c r="M147" s="24" t="s">
        <v>44</v>
      </c>
      <c r="N147" s="29" t="str">
        <f t="shared" si="1"/>
        <v>Moderate</v>
      </c>
      <c r="O147" s="25" t="s">
        <v>224</v>
      </c>
      <c r="P147" s="31">
        <v>1.0</v>
      </c>
      <c r="Q147" s="29">
        <f t="shared" si="2"/>
        <v>4</v>
      </c>
      <c r="R147" s="29">
        <f t="shared" si="3"/>
        <v>4</v>
      </c>
      <c r="S147" s="31">
        <v>3.0</v>
      </c>
      <c r="T147" s="31">
        <v>3.0</v>
      </c>
      <c r="U147" s="31">
        <v>4.0</v>
      </c>
      <c r="V147" s="38">
        <f>ROUND((P147*'Business Analysis'!$D$36+Q147*'Business Analysis'!$D$37+R147*'Business Analysis'!$D$38+S147*'Business Analysis'!$D$39+T147*'Business Analysis'!$D$40+U147*'Business Analysis'!$D$41)/5*100,0)</f>
        <v>58</v>
      </c>
      <c r="W147" s="29" t="str">
        <f t="shared" si="4"/>
        <v>Low</v>
      </c>
      <c r="X147" s="25" t="s">
        <v>433</v>
      </c>
      <c r="Y147" s="29" t="s">
        <v>77</v>
      </c>
      <c r="Z147" s="25" t="s">
        <v>991</v>
      </c>
    </row>
    <row r="148" ht="15.75" customHeight="1">
      <c r="A148" s="9" t="s">
        <v>992</v>
      </c>
      <c r="B148" s="10" t="s">
        <v>412</v>
      </c>
      <c r="C148" s="12" t="s">
        <v>699</v>
      </c>
      <c r="D148" s="12" t="s">
        <v>423</v>
      </c>
      <c r="E148" s="15" t="s">
        <v>412</v>
      </c>
      <c r="F148" s="15" t="s">
        <v>413</v>
      </c>
      <c r="G148" s="15" t="s">
        <v>111</v>
      </c>
      <c r="H148" s="16">
        <v>3600.0</v>
      </c>
      <c r="I148" s="10" t="s">
        <v>38</v>
      </c>
      <c r="J148" s="17">
        <v>34.0</v>
      </c>
      <c r="K148" s="10" t="s">
        <v>41</v>
      </c>
      <c r="L148" s="18">
        <v>1.9</v>
      </c>
      <c r="M148" s="10" t="s">
        <v>44</v>
      </c>
      <c r="N148" s="15" t="str">
        <f t="shared" si="1"/>
        <v>Moderate</v>
      </c>
      <c r="O148" s="12" t="s">
        <v>224</v>
      </c>
      <c r="P148" s="17">
        <v>1.0</v>
      </c>
      <c r="Q148" s="15">
        <f t="shared" si="2"/>
        <v>5</v>
      </c>
      <c r="R148" s="15">
        <f t="shared" si="3"/>
        <v>4</v>
      </c>
      <c r="S148" s="17">
        <v>1.0</v>
      </c>
      <c r="T148" s="17">
        <v>1.0</v>
      </c>
      <c r="U148" s="17">
        <v>3.0</v>
      </c>
      <c r="V148" s="21">
        <f>ROUND((P148*'Business Analysis'!$D$36+Q148*'Business Analysis'!$D$37+R148*'Business Analysis'!$D$38+S148*'Business Analysis'!$D$39+T148*'Business Analysis'!$D$40+U148*'Business Analysis'!$D$41)/5*100,0)</f>
        <v>44</v>
      </c>
      <c r="W148" s="15" t="str">
        <f t="shared" si="4"/>
        <v>Low</v>
      </c>
      <c r="X148" s="12" t="s">
        <v>433</v>
      </c>
      <c r="Y148" s="15" t="s">
        <v>77</v>
      </c>
      <c r="Z148" s="12" t="s">
        <v>157</v>
      </c>
    </row>
    <row r="149" ht="15.75" customHeight="1">
      <c r="A149" s="22" t="s">
        <v>993</v>
      </c>
      <c r="B149" s="24" t="s">
        <v>412</v>
      </c>
      <c r="C149" s="25" t="s">
        <v>699</v>
      </c>
      <c r="D149" s="25" t="s">
        <v>423</v>
      </c>
      <c r="E149" s="29" t="s">
        <v>412</v>
      </c>
      <c r="F149" s="29" t="s">
        <v>413</v>
      </c>
      <c r="G149" s="29" t="s">
        <v>111</v>
      </c>
      <c r="H149" s="30">
        <v>2900.0</v>
      </c>
      <c r="I149" s="24" t="s">
        <v>38</v>
      </c>
      <c r="J149" s="31">
        <v>33.0</v>
      </c>
      <c r="K149" s="24" t="s">
        <v>41</v>
      </c>
      <c r="L149" s="32">
        <v>1.7</v>
      </c>
      <c r="M149" s="24" t="s">
        <v>44</v>
      </c>
      <c r="N149" s="29" t="str">
        <f t="shared" si="1"/>
        <v>Moderate</v>
      </c>
      <c r="O149" s="25" t="s">
        <v>224</v>
      </c>
      <c r="P149" s="31">
        <v>1.0</v>
      </c>
      <c r="Q149" s="29">
        <f t="shared" si="2"/>
        <v>5</v>
      </c>
      <c r="R149" s="29">
        <f t="shared" si="3"/>
        <v>4</v>
      </c>
      <c r="S149" s="31">
        <v>1.0</v>
      </c>
      <c r="T149" s="31">
        <v>1.0</v>
      </c>
      <c r="U149" s="31">
        <v>3.0</v>
      </c>
      <c r="V149" s="38">
        <f>ROUND((P149*'Business Analysis'!$D$36+Q149*'Business Analysis'!$D$37+R149*'Business Analysis'!$D$38+S149*'Business Analysis'!$D$39+T149*'Business Analysis'!$D$40+U149*'Business Analysis'!$D$41)/5*100,0)</f>
        <v>44</v>
      </c>
      <c r="W149" s="29" t="str">
        <f t="shared" si="4"/>
        <v>Low</v>
      </c>
      <c r="X149" s="25" t="s">
        <v>433</v>
      </c>
      <c r="Y149" s="29" t="s">
        <v>77</v>
      </c>
      <c r="Z149" s="25" t="s">
        <v>157</v>
      </c>
    </row>
    <row r="150" ht="15.75" customHeight="1">
      <c r="A150" s="9" t="s">
        <v>994</v>
      </c>
      <c r="B150" s="10" t="s">
        <v>412</v>
      </c>
      <c r="C150" s="12" t="s">
        <v>699</v>
      </c>
      <c r="D150" s="12" t="s">
        <v>423</v>
      </c>
      <c r="E150" s="15" t="s">
        <v>412</v>
      </c>
      <c r="F150" s="15" t="s">
        <v>413</v>
      </c>
      <c r="G150" s="15" t="s">
        <v>111</v>
      </c>
      <c r="H150" s="16">
        <v>4400.0</v>
      </c>
      <c r="I150" s="10" t="s">
        <v>38</v>
      </c>
      <c r="J150" s="17">
        <v>36.0</v>
      </c>
      <c r="K150" s="10" t="s">
        <v>41</v>
      </c>
      <c r="L150" s="18">
        <v>1.6</v>
      </c>
      <c r="M150" s="10" t="s">
        <v>44</v>
      </c>
      <c r="N150" s="15" t="str">
        <f t="shared" si="1"/>
        <v>Moderate</v>
      </c>
      <c r="O150" s="12" t="s">
        <v>224</v>
      </c>
      <c r="P150" s="17">
        <v>1.0</v>
      </c>
      <c r="Q150" s="15">
        <f t="shared" si="2"/>
        <v>5</v>
      </c>
      <c r="R150" s="15">
        <f t="shared" si="3"/>
        <v>3</v>
      </c>
      <c r="S150" s="17">
        <v>1.0</v>
      </c>
      <c r="T150" s="17">
        <v>1.0</v>
      </c>
      <c r="U150" s="17">
        <v>3.0</v>
      </c>
      <c r="V150" s="21">
        <f>ROUND((P150*'Business Analysis'!$D$36+Q150*'Business Analysis'!$D$37+R150*'Business Analysis'!$D$38+S150*'Business Analysis'!$D$39+T150*'Business Analysis'!$D$40+U150*'Business Analysis'!$D$41)/5*100,0)</f>
        <v>40</v>
      </c>
      <c r="W150" s="15" t="str">
        <f t="shared" si="4"/>
        <v>Low</v>
      </c>
      <c r="X150" s="12" t="s">
        <v>433</v>
      </c>
      <c r="Y150" s="15" t="s">
        <v>77</v>
      </c>
      <c r="Z150" s="12" t="s">
        <v>157</v>
      </c>
    </row>
    <row r="151" ht="15.75" customHeight="1">
      <c r="A151" s="22" t="s">
        <v>995</v>
      </c>
      <c r="B151" s="24" t="s">
        <v>565</v>
      </c>
      <c r="C151" s="25" t="s">
        <v>699</v>
      </c>
      <c r="D151" s="25" t="s">
        <v>423</v>
      </c>
      <c r="E151" s="29" t="s">
        <v>412</v>
      </c>
      <c r="F151" s="29" t="s">
        <v>413</v>
      </c>
      <c r="G151" s="29" t="s">
        <v>111</v>
      </c>
      <c r="H151" s="30">
        <v>5400.0</v>
      </c>
      <c r="I151" s="24" t="s">
        <v>38</v>
      </c>
      <c r="J151" s="31">
        <v>44.0</v>
      </c>
      <c r="K151" s="24" t="s">
        <v>41</v>
      </c>
      <c r="L151" s="32">
        <v>1.3</v>
      </c>
      <c r="M151" s="24" t="s">
        <v>44</v>
      </c>
      <c r="N151" s="29" t="str">
        <f t="shared" si="1"/>
        <v>Competitive</v>
      </c>
      <c r="O151" s="25" t="s">
        <v>224</v>
      </c>
      <c r="P151" s="31">
        <v>1.0</v>
      </c>
      <c r="Q151" s="29">
        <f t="shared" si="2"/>
        <v>5</v>
      </c>
      <c r="R151" s="29">
        <f t="shared" si="3"/>
        <v>3</v>
      </c>
      <c r="S151" s="31">
        <v>2.0</v>
      </c>
      <c r="T151" s="31">
        <v>1.0</v>
      </c>
      <c r="U151" s="31">
        <v>3.0</v>
      </c>
      <c r="V151" s="38">
        <f>ROUND((P151*'Business Analysis'!$D$36+Q151*'Business Analysis'!$D$37+R151*'Business Analysis'!$D$38+S151*'Business Analysis'!$D$39+T151*'Business Analysis'!$D$40+U151*'Business Analysis'!$D$41)/5*100,0)</f>
        <v>43</v>
      </c>
      <c r="W151" s="29" t="str">
        <f t="shared" si="4"/>
        <v>Low</v>
      </c>
      <c r="X151" s="25" t="s">
        <v>433</v>
      </c>
      <c r="Y151" s="29" t="s">
        <v>77</v>
      </c>
      <c r="Z151" s="25" t="s">
        <v>157</v>
      </c>
    </row>
    <row r="152" ht="15.75" customHeight="1">
      <c r="A152" s="9" t="s">
        <v>996</v>
      </c>
      <c r="B152" s="10" t="s">
        <v>565</v>
      </c>
      <c r="C152" s="12" t="s">
        <v>699</v>
      </c>
      <c r="D152" s="12" t="s">
        <v>423</v>
      </c>
      <c r="E152" s="15" t="s">
        <v>412</v>
      </c>
      <c r="F152" s="15" t="s">
        <v>413</v>
      </c>
      <c r="G152" s="15" t="s">
        <v>111</v>
      </c>
      <c r="H152" s="16">
        <v>880.0</v>
      </c>
      <c r="I152" s="10" t="s">
        <v>38</v>
      </c>
      <c r="J152" s="17">
        <v>26.0</v>
      </c>
      <c r="K152" s="10" t="s">
        <v>41</v>
      </c>
      <c r="L152" s="18">
        <v>1.5</v>
      </c>
      <c r="M152" s="10" t="s">
        <v>44</v>
      </c>
      <c r="N152" s="15" t="str">
        <f t="shared" si="1"/>
        <v>Moderate</v>
      </c>
      <c r="O152" s="12" t="s">
        <v>224</v>
      </c>
      <c r="P152" s="17">
        <v>1.0</v>
      </c>
      <c r="Q152" s="15">
        <f t="shared" si="2"/>
        <v>4</v>
      </c>
      <c r="R152" s="15">
        <f t="shared" si="3"/>
        <v>4</v>
      </c>
      <c r="S152" s="17">
        <v>2.0</v>
      </c>
      <c r="T152" s="17">
        <v>1.0</v>
      </c>
      <c r="U152" s="17">
        <v>3.0</v>
      </c>
      <c r="V152" s="21">
        <f>ROUND((P152*'Business Analysis'!$D$36+Q152*'Business Analysis'!$D$37+R152*'Business Analysis'!$D$38+S152*'Business Analysis'!$D$39+T152*'Business Analysis'!$D$40+U152*'Business Analysis'!$D$41)/5*100,0)</f>
        <v>45</v>
      </c>
      <c r="W152" s="15" t="str">
        <f t="shared" si="4"/>
        <v>Low</v>
      </c>
      <c r="X152" s="12" t="s">
        <v>433</v>
      </c>
      <c r="Y152" s="15" t="s">
        <v>77</v>
      </c>
      <c r="Z152" s="12" t="s">
        <v>157</v>
      </c>
    </row>
    <row r="153" ht="15.75" customHeight="1">
      <c r="A153" s="22" t="s">
        <v>441</v>
      </c>
      <c r="B153" s="24" t="s">
        <v>299</v>
      </c>
      <c r="C153" s="25" t="s">
        <v>694</v>
      </c>
      <c r="D153" s="25" t="s">
        <v>440</v>
      </c>
      <c r="E153" s="29" t="s">
        <v>305</v>
      </c>
      <c r="F153" s="29" t="s">
        <v>35</v>
      </c>
      <c r="G153" s="29" t="s">
        <v>36</v>
      </c>
      <c r="H153" s="30">
        <v>210.0</v>
      </c>
      <c r="I153" s="24" t="s">
        <v>38</v>
      </c>
      <c r="J153" s="31">
        <v>38.0</v>
      </c>
      <c r="K153" s="24" t="s">
        <v>41</v>
      </c>
      <c r="L153" s="32">
        <v>13.6</v>
      </c>
      <c r="M153" s="24" t="s">
        <v>44</v>
      </c>
      <c r="N153" s="29" t="str">
        <f t="shared" si="1"/>
        <v>Moderate</v>
      </c>
      <c r="O153" s="25" t="s">
        <v>314</v>
      </c>
      <c r="P153" s="31">
        <v>4.0</v>
      </c>
      <c r="Q153" s="29">
        <f t="shared" si="2"/>
        <v>2</v>
      </c>
      <c r="R153" s="29">
        <f t="shared" si="3"/>
        <v>3</v>
      </c>
      <c r="S153" s="31">
        <v>5.0</v>
      </c>
      <c r="T153" s="31">
        <v>5.0</v>
      </c>
      <c r="U153" s="31">
        <v>5.0</v>
      </c>
      <c r="V153" s="38">
        <f>ROUND((P153*'Business Analysis'!$D$36+Q153*'Business Analysis'!$D$37+R153*'Business Analysis'!$D$38+S153*'Business Analysis'!$D$39+T153*'Business Analysis'!$D$40+U153*'Business Analysis'!$D$41)/5*100,0)</f>
        <v>81</v>
      </c>
      <c r="W153" s="29" t="str">
        <f t="shared" si="4"/>
        <v>High</v>
      </c>
      <c r="X153" s="25" t="s">
        <v>448</v>
      </c>
      <c r="Y153" s="29" t="s">
        <v>77</v>
      </c>
      <c r="Z153" s="25" t="s">
        <v>997</v>
      </c>
    </row>
    <row r="154" ht="15.75" customHeight="1">
      <c r="A154" s="9" t="s">
        <v>998</v>
      </c>
      <c r="B154" s="10" t="s">
        <v>299</v>
      </c>
      <c r="C154" s="12" t="s">
        <v>694</v>
      </c>
      <c r="D154" s="12" t="s">
        <v>440</v>
      </c>
      <c r="E154" s="15" t="s">
        <v>305</v>
      </c>
      <c r="F154" s="15" t="s">
        <v>35</v>
      </c>
      <c r="G154" s="15" t="s">
        <v>111</v>
      </c>
      <c r="H154" s="16">
        <v>90.0</v>
      </c>
      <c r="I154" s="10" t="s">
        <v>38</v>
      </c>
      <c r="J154" s="17">
        <v>32.0</v>
      </c>
      <c r="K154" s="10" t="s">
        <v>41</v>
      </c>
      <c r="L154" s="18">
        <v>13.2</v>
      </c>
      <c r="M154" s="10" t="s">
        <v>44</v>
      </c>
      <c r="N154" s="15" t="str">
        <f t="shared" si="1"/>
        <v>Moderate</v>
      </c>
      <c r="O154" s="12" t="s">
        <v>314</v>
      </c>
      <c r="P154" s="17">
        <v>4.0</v>
      </c>
      <c r="Q154" s="15">
        <f t="shared" si="2"/>
        <v>1</v>
      </c>
      <c r="R154" s="15">
        <f t="shared" si="3"/>
        <v>4</v>
      </c>
      <c r="S154" s="17">
        <v>5.0</v>
      </c>
      <c r="T154" s="17">
        <v>5.0</v>
      </c>
      <c r="U154" s="17">
        <v>4.0</v>
      </c>
      <c r="V154" s="21">
        <f>ROUND((P154*'Business Analysis'!$D$36+Q154*'Business Analysis'!$D$37+R154*'Business Analysis'!$D$38+S154*'Business Analysis'!$D$39+T154*'Business Analysis'!$D$40+U154*'Business Analysis'!$D$41)/5*100,0)</f>
        <v>81</v>
      </c>
      <c r="W154" s="15" t="str">
        <f t="shared" si="4"/>
        <v>High</v>
      </c>
      <c r="X154" s="12" t="s">
        <v>448</v>
      </c>
      <c r="Y154" s="15" t="s">
        <v>77</v>
      </c>
      <c r="Z154" s="12" t="s">
        <v>157</v>
      </c>
    </row>
    <row r="155" ht="15.75" customHeight="1">
      <c r="A155" s="22" t="s">
        <v>999</v>
      </c>
      <c r="B155" s="24" t="s">
        <v>299</v>
      </c>
      <c r="C155" s="25" t="s">
        <v>694</v>
      </c>
      <c r="D155" s="25" t="s">
        <v>440</v>
      </c>
      <c r="E155" s="29" t="s">
        <v>305</v>
      </c>
      <c r="F155" s="29" t="s">
        <v>35</v>
      </c>
      <c r="G155" s="29" t="s">
        <v>111</v>
      </c>
      <c r="H155" s="30">
        <v>70.0</v>
      </c>
      <c r="I155" s="24" t="s">
        <v>38</v>
      </c>
      <c r="J155" s="31">
        <v>30.0</v>
      </c>
      <c r="K155" s="24" t="s">
        <v>41</v>
      </c>
      <c r="L155" s="32">
        <v>12.9</v>
      </c>
      <c r="M155" s="24" t="s">
        <v>44</v>
      </c>
      <c r="N155" s="29" t="str">
        <f t="shared" si="1"/>
        <v>Moderate</v>
      </c>
      <c r="O155" s="25" t="s">
        <v>314</v>
      </c>
      <c r="P155" s="31">
        <v>4.0</v>
      </c>
      <c r="Q155" s="29">
        <f t="shared" si="2"/>
        <v>1</v>
      </c>
      <c r="R155" s="29">
        <f t="shared" si="3"/>
        <v>4</v>
      </c>
      <c r="S155" s="31">
        <v>5.0</v>
      </c>
      <c r="T155" s="31">
        <v>5.0</v>
      </c>
      <c r="U155" s="31">
        <v>4.0</v>
      </c>
      <c r="V155" s="38">
        <f>ROUND((P155*'Business Analysis'!$D$36+Q155*'Business Analysis'!$D$37+R155*'Business Analysis'!$D$38+S155*'Business Analysis'!$D$39+T155*'Business Analysis'!$D$40+U155*'Business Analysis'!$D$41)/5*100,0)</f>
        <v>81</v>
      </c>
      <c r="W155" s="29" t="str">
        <f t="shared" si="4"/>
        <v>High</v>
      </c>
      <c r="X155" s="25" t="s">
        <v>448</v>
      </c>
      <c r="Y155" s="29" t="s">
        <v>77</v>
      </c>
      <c r="Z155" s="25" t="s">
        <v>157</v>
      </c>
    </row>
    <row r="156" ht="15.75" customHeight="1">
      <c r="A156" s="9" t="s">
        <v>1000</v>
      </c>
      <c r="B156" s="10" t="s">
        <v>337</v>
      </c>
      <c r="C156" s="12" t="s">
        <v>694</v>
      </c>
      <c r="D156" s="12" t="s">
        <v>440</v>
      </c>
      <c r="E156" s="15" t="s">
        <v>305</v>
      </c>
      <c r="F156" s="15" t="s">
        <v>35</v>
      </c>
      <c r="G156" s="15" t="s">
        <v>111</v>
      </c>
      <c r="H156" s="16">
        <v>110.0</v>
      </c>
      <c r="I156" s="10" t="s">
        <v>38</v>
      </c>
      <c r="J156" s="17">
        <v>36.0</v>
      </c>
      <c r="K156" s="10" t="s">
        <v>41</v>
      </c>
      <c r="L156" s="18">
        <v>13.4</v>
      </c>
      <c r="M156" s="10" t="s">
        <v>44</v>
      </c>
      <c r="N156" s="15" t="str">
        <f t="shared" si="1"/>
        <v>Moderate</v>
      </c>
      <c r="O156" s="12" t="s">
        <v>314</v>
      </c>
      <c r="P156" s="17">
        <v>4.0</v>
      </c>
      <c r="Q156" s="15">
        <f t="shared" si="2"/>
        <v>2</v>
      </c>
      <c r="R156" s="15">
        <f t="shared" si="3"/>
        <v>3</v>
      </c>
      <c r="S156" s="17">
        <v>5.0</v>
      </c>
      <c r="T156" s="17">
        <v>5.0</v>
      </c>
      <c r="U156" s="17">
        <v>4.0</v>
      </c>
      <c r="V156" s="21">
        <f>ROUND((P156*'Business Analysis'!$D$36+Q156*'Business Analysis'!$D$37+R156*'Business Analysis'!$D$38+S156*'Business Analysis'!$D$39+T156*'Business Analysis'!$D$40+U156*'Business Analysis'!$D$41)/5*100,0)</f>
        <v>79</v>
      </c>
      <c r="W156" s="15" t="str">
        <f t="shared" si="4"/>
        <v>High</v>
      </c>
      <c r="X156" s="12" t="s">
        <v>448</v>
      </c>
      <c r="Y156" s="15" t="s">
        <v>77</v>
      </c>
      <c r="Z156" s="12" t="s">
        <v>157</v>
      </c>
    </row>
    <row r="157" ht="15.75" customHeight="1">
      <c r="A157" s="22" t="s">
        <v>1001</v>
      </c>
      <c r="B157" s="24" t="s">
        <v>305</v>
      </c>
      <c r="C157" s="25" t="s">
        <v>694</v>
      </c>
      <c r="D157" s="25" t="s">
        <v>440</v>
      </c>
      <c r="E157" s="29" t="s">
        <v>305</v>
      </c>
      <c r="F157" s="29" t="s">
        <v>35</v>
      </c>
      <c r="G157" s="29" t="s">
        <v>111</v>
      </c>
      <c r="H157" s="30">
        <v>60.0</v>
      </c>
      <c r="I157" s="24" t="s">
        <v>38</v>
      </c>
      <c r="J157" s="31">
        <v>26.0</v>
      </c>
      <c r="K157" s="24" t="s">
        <v>41</v>
      </c>
      <c r="L157" s="32">
        <v>12.6</v>
      </c>
      <c r="M157" s="24" t="s">
        <v>44</v>
      </c>
      <c r="N157" s="29" t="str">
        <f t="shared" si="1"/>
        <v>Moderate</v>
      </c>
      <c r="O157" s="25" t="s">
        <v>314</v>
      </c>
      <c r="P157" s="31">
        <v>4.0</v>
      </c>
      <c r="Q157" s="29">
        <f t="shared" si="2"/>
        <v>1</v>
      </c>
      <c r="R157" s="29">
        <f t="shared" si="3"/>
        <v>4</v>
      </c>
      <c r="S157" s="31">
        <v>5.0</v>
      </c>
      <c r="T157" s="31">
        <v>5.0</v>
      </c>
      <c r="U157" s="31">
        <v>4.0</v>
      </c>
      <c r="V157" s="38">
        <f>ROUND((P157*'Business Analysis'!$D$36+Q157*'Business Analysis'!$D$37+R157*'Business Analysis'!$D$38+S157*'Business Analysis'!$D$39+T157*'Business Analysis'!$D$40+U157*'Business Analysis'!$D$41)/5*100,0)</f>
        <v>81</v>
      </c>
      <c r="W157" s="29" t="str">
        <f t="shared" si="4"/>
        <v>High</v>
      </c>
      <c r="X157" s="25" t="s">
        <v>448</v>
      </c>
      <c r="Y157" s="29" t="s">
        <v>77</v>
      </c>
      <c r="Z157" s="25" t="s">
        <v>157</v>
      </c>
    </row>
    <row r="158" ht="15.75" customHeight="1">
      <c r="A158" s="9" t="s">
        <v>458</v>
      </c>
      <c r="B158" s="10" t="s">
        <v>421</v>
      </c>
      <c r="C158" s="12" t="s">
        <v>694</v>
      </c>
      <c r="D158" s="12" t="s">
        <v>457</v>
      </c>
      <c r="E158" s="15" t="s">
        <v>356</v>
      </c>
      <c r="F158" s="15" t="s">
        <v>208</v>
      </c>
      <c r="G158" s="15" t="s">
        <v>36</v>
      </c>
      <c r="H158" s="16">
        <v>2400.0</v>
      </c>
      <c r="I158" s="10" t="s">
        <v>38</v>
      </c>
      <c r="J158" s="17">
        <v>30.0</v>
      </c>
      <c r="K158" s="10" t="s">
        <v>41</v>
      </c>
      <c r="L158" s="18">
        <v>3.4</v>
      </c>
      <c r="M158" s="10" t="s">
        <v>44</v>
      </c>
      <c r="N158" s="15" t="str">
        <f t="shared" si="1"/>
        <v>Moderate</v>
      </c>
      <c r="O158" s="12" t="s">
        <v>224</v>
      </c>
      <c r="P158" s="17">
        <v>2.0</v>
      </c>
      <c r="Q158" s="15">
        <f t="shared" si="2"/>
        <v>5</v>
      </c>
      <c r="R158" s="15">
        <f t="shared" si="3"/>
        <v>4</v>
      </c>
      <c r="S158" s="17">
        <v>3.0</v>
      </c>
      <c r="T158" s="17">
        <v>3.0</v>
      </c>
      <c r="U158" s="17">
        <v>4.0</v>
      </c>
      <c r="V158" s="21">
        <f>ROUND((P158*'Business Analysis'!$D$36+Q158*'Business Analysis'!$D$37+R158*'Business Analysis'!$D$38+S158*'Business Analysis'!$D$39+T158*'Business Analysis'!$D$40+U158*'Business Analysis'!$D$41)/5*100,0)</f>
        <v>65</v>
      </c>
      <c r="W158" s="15" t="str">
        <f t="shared" si="4"/>
        <v>Medium</v>
      </c>
      <c r="X158" s="12" t="s">
        <v>608</v>
      </c>
      <c r="Y158" s="15" t="s">
        <v>386</v>
      </c>
      <c r="Z158" s="12" t="s">
        <v>1002</v>
      </c>
    </row>
    <row r="159" ht="15.75" customHeight="1">
      <c r="A159" s="22" t="s">
        <v>1003</v>
      </c>
      <c r="B159" s="24" t="s">
        <v>565</v>
      </c>
      <c r="C159" s="25" t="s">
        <v>694</v>
      </c>
      <c r="D159" s="25" t="s">
        <v>457</v>
      </c>
      <c r="E159" s="29" t="s">
        <v>412</v>
      </c>
      <c r="F159" s="29" t="s">
        <v>413</v>
      </c>
      <c r="G159" s="29" t="s">
        <v>111</v>
      </c>
      <c r="H159" s="30">
        <v>8100.0</v>
      </c>
      <c r="I159" s="24" t="s">
        <v>38</v>
      </c>
      <c r="J159" s="31">
        <v>38.0</v>
      </c>
      <c r="K159" s="24" t="s">
        <v>41</v>
      </c>
      <c r="L159" s="32">
        <v>2.9</v>
      </c>
      <c r="M159" s="24" t="s">
        <v>44</v>
      </c>
      <c r="N159" s="29" t="str">
        <f t="shared" si="1"/>
        <v>Moderate</v>
      </c>
      <c r="O159" s="25" t="s">
        <v>224</v>
      </c>
      <c r="P159" s="31">
        <v>1.0</v>
      </c>
      <c r="Q159" s="29">
        <f t="shared" si="2"/>
        <v>5</v>
      </c>
      <c r="R159" s="29">
        <f t="shared" si="3"/>
        <v>3</v>
      </c>
      <c r="S159" s="31">
        <v>2.0</v>
      </c>
      <c r="T159" s="31">
        <v>1.0</v>
      </c>
      <c r="U159" s="31">
        <v>3.0</v>
      </c>
      <c r="V159" s="38">
        <f>ROUND((P159*'Business Analysis'!$D$36+Q159*'Business Analysis'!$D$37+R159*'Business Analysis'!$D$38+S159*'Business Analysis'!$D$39+T159*'Business Analysis'!$D$40+U159*'Business Analysis'!$D$41)/5*100,0)</f>
        <v>43</v>
      </c>
      <c r="W159" s="29" t="str">
        <f t="shared" si="4"/>
        <v>Low</v>
      </c>
      <c r="X159" s="25" t="s">
        <v>608</v>
      </c>
      <c r="Y159" s="29" t="s">
        <v>386</v>
      </c>
      <c r="Z159" s="25" t="s">
        <v>157</v>
      </c>
    </row>
    <row r="160" ht="15.75" customHeight="1">
      <c r="A160" s="9" t="s">
        <v>1004</v>
      </c>
      <c r="B160" s="10" t="s">
        <v>412</v>
      </c>
      <c r="C160" s="12" t="s">
        <v>694</v>
      </c>
      <c r="D160" s="12" t="s">
        <v>457</v>
      </c>
      <c r="E160" s="15" t="s">
        <v>412</v>
      </c>
      <c r="F160" s="15" t="s">
        <v>413</v>
      </c>
      <c r="G160" s="15" t="s">
        <v>111</v>
      </c>
      <c r="H160" s="16">
        <v>4400.0</v>
      </c>
      <c r="I160" s="10" t="s">
        <v>38</v>
      </c>
      <c r="J160" s="17">
        <v>32.0</v>
      </c>
      <c r="K160" s="10" t="s">
        <v>41</v>
      </c>
      <c r="L160" s="18">
        <v>1.9</v>
      </c>
      <c r="M160" s="10" t="s">
        <v>44</v>
      </c>
      <c r="N160" s="15" t="str">
        <f t="shared" si="1"/>
        <v>Moderate</v>
      </c>
      <c r="O160" s="12" t="s">
        <v>224</v>
      </c>
      <c r="P160" s="17">
        <v>1.0</v>
      </c>
      <c r="Q160" s="15">
        <f t="shared" si="2"/>
        <v>5</v>
      </c>
      <c r="R160" s="15">
        <f t="shared" si="3"/>
        <v>4</v>
      </c>
      <c r="S160" s="17">
        <v>1.0</v>
      </c>
      <c r="T160" s="17">
        <v>1.0</v>
      </c>
      <c r="U160" s="17">
        <v>3.0</v>
      </c>
      <c r="V160" s="21">
        <f>ROUND((P160*'Business Analysis'!$D$36+Q160*'Business Analysis'!$D$37+R160*'Business Analysis'!$D$38+S160*'Business Analysis'!$D$39+T160*'Business Analysis'!$D$40+U160*'Business Analysis'!$D$41)/5*100,0)</f>
        <v>44</v>
      </c>
      <c r="W160" s="15" t="str">
        <f t="shared" si="4"/>
        <v>Low</v>
      </c>
      <c r="X160" s="12" t="s">
        <v>608</v>
      </c>
      <c r="Y160" s="15" t="s">
        <v>386</v>
      </c>
      <c r="Z160" s="12" t="s">
        <v>157</v>
      </c>
    </row>
    <row r="161" ht="15.75" customHeight="1">
      <c r="A161" s="22" t="s">
        <v>1005</v>
      </c>
      <c r="B161" s="24" t="s">
        <v>412</v>
      </c>
      <c r="C161" s="25" t="s">
        <v>694</v>
      </c>
      <c r="D161" s="25" t="s">
        <v>457</v>
      </c>
      <c r="E161" s="29" t="s">
        <v>412</v>
      </c>
      <c r="F161" s="29" t="s">
        <v>413</v>
      </c>
      <c r="G161" s="29" t="s">
        <v>111</v>
      </c>
      <c r="H161" s="30">
        <v>3600.0</v>
      </c>
      <c r="I161" s="24" t="s">
        <v>38</v>
      </c>
      <c r="J161" s="31">
        <v>34.0</v>
      </c>
      <c r="K161" s="24" t="s">
        <v>41</v>
      </c>
      <c r="L161" s="32">
        <v>2.1</v>
      </c>
      <c r="M161" s="24" t="s">
        <v>44</v>
      </c>
      <c r="N161" s="29" t="str">
        <f t="shared" si="1"/>
        <v>Moderate</v>
      </c>
      <c r="O161" s="25" t="s">
        <v>224</v>
      </c>
      <c r="P161" s="31">
        <v>1.0</v>
      </c>
      <c r="Q161" s="29">
        <f t="shared" si="2"/>
        <v>5</v>
      </c>
      <c r="R161" s="29">
        <f t="shared" si="3"/>
        <v>4</v>
      </c>
      <c r="S161" s="31">
        <v>1.0</v>
      </c>
      <c r="T161" s="31">
        <v>1.0</v>
      </c>
      <c r="U161" s="31">
        <v>3.0</v>
      </c>
      <c r="V161" s="38">
        <f>ROUND((P161*'Business Analysis'!$D$36+Q161*'Business Analysis'!$D$37+R161*'Business Analysis'!$D$38+S161*'Business Analysis'!$D$39+T161*'Business Analysis'!$D$40+U161*'Business Analysis'!$D$41)/5*100,0)</f>
        <v>44</v>
      </c>
      <c r="W161" s="29" t="str">
        <f t="shared" si="4"/>
        <v>Low</v>
      </c>
      <c r="X161" s="25" t="s">
        <v>608</v>
      </c>
      <c r="Y161" s="29" t="s">
        <v>386</v>
      </c>
      <c r="Z161" s="25" t="s">
        <v>157</v>
      </c>
    </row>
    <row r="162" ht="15.75" customHeight="1">
      <c r="A162" s="9" t="s">
        <v>1006</v>
      </c>
      <c r="B162" s="10" t="s">
        <v>412</v>
      </c>
      <c r="C162" s="12" t="s">
        <v>694</v>
      </c>
      <c r="D162" s="12" t="s">
        <v>457</v>
      </c>
      <c r="E162" s="15" t="s">
        <v>412</v>
      </c>
      <c r="F162" s="15" t="s">
        <v>413</v>
      </c>
      <c r="G162" s="15" t="s">
        <v>111</v>
      </c>
      <c r="H162" s="16">
        <v>2900.0</v>
      </c>
      <c r="I162" s="10" t="s">
        <v>38</v>
      </c>
      <c r="J162" s="17">
        <v>31.0</v>
      </c>
      <c r="K162" s="10" t="s">
        <v>41</v>
      </c>
      <c r="L162" s="18">
        <v>1.8</v>
      </c>
      <c r="M162" s="10" t="s">
        <v>44</v>
      </c>
      <c r="N162" s="15" t="str">
        <f t="shared" si="1"/>
        <v>Moderate</v>
      </c>
      <c r="O162" s="12" t="s">
        <v>224</v>
      </c>
      <c r="P162" s="17">
        <v>1.0</v>
      </c>
      <c r="Q162" s="15">
        <f t="shared" si="2"/>
        <v>5</v>
      </c>
      <c r="R162" s="15">
        <f t="shared" si="3"/>
        <v>4</v>
      </c>
      <c r="S162" s="17">
        <v>1.0</v>
      </c>
      <c r="T162" s="17">
        <v>1.0</v>
      </c>
      <c r="U162" s="17">
        <v>3.0</v>
      </c>
      <c r="V162" s="21">
        <f>ROUND((P162*'Business Analysis'!$D$36+Q162*'Business Analysis'!$D$37+R162*'Business Analysis'!$D$38+S162*'Business Analysis'!$D$39+T162*'Business Analysis'!$D$40+U162*'Business Analysis'!$D$41)/5*100,0)</f>
        <v>44</v>
      </c>
      <c r="W162" s="15" t="str">
        <f t="shared" si="4"/>
        <v>Low</v>
      </c>
      <c r="X162" s="12" t="s">
        <v>608</v>
      </c>
      <c r="Y162" s="15" t="s">
        <v>386</v>
      </c>
      <c r="Z162" s="12" t="s">
        <v>157</v>
      </c>
    </row>
    <row r="163" ht="15.75" customHeight="1">
      <c r="A163" s="22" t="s">
        <v>1007</v>
      </c>
      <c r="B163" s="24" t="s">
        <v>356</v>
      </c>
      <c r="C163" s="25" t="s">
        <v>694</v>
      </c>
      <c r="D163" s="25" t="s">
        <v>457</v>
      </c>
      <c r="E163" s="29" t="s">
        <v>356</v>
      </c>
      <c r="F163" s="29" t="s">
        <v>208</v>
      </c>
      <c r="G163" s="29" t="s">
        <v>111</v>
      </c>
      <c r="H163" s="30">
        <v>3600.0</v>
      </c>
      <c r="I163" s="24" t="s">
        <v>38</v>
      </c>
      <c r="J163" s="31">
        <v>45.0</v>
      </c>
      <c r="K163" s="24" t="s">
        <v>41</v>
      </c>
      <c r="L163" s="32">
        <v>5.6</v>
      </c>
      <c r="M163" s="24" t="s">
        <v>44</v>
      </c>
      <c r="N163" s="29" t="str">
        <f t="shared" si="1"/>
        <v>Competitive</v>
      </c>
      <c r="O163" s="25" t="s">
        <v>493</v>
      </c>
      <c r="P163" s="31">
        <v>2.0</v>
      </c>
      <c r="Q163" s="29">
        <f t="shared" si="2"/>
        <v>5</v>
      </c>
      <c r="R163" s="29">
        <f t="shared" si="3"/>
        <v>3</v>
      </c>
      <c r="S163" s="31">
        <v>3.0</v>
      </c>
      <c r="T163" s="31">
        <v>3.0</v>
      </c>
      <c r="U163" s="31">
        <v>3.0</v>
      </c>
      <c r="V163" s="38">
        <f>ROUND((P163*'Business Analysis'!$D$36+Q163*'Business Analysis'!$D$37+R163*'Business Analysis'!$D$38+S163*'Business Analysis'!$D$39+T163*'Business Analysis'!$D$40+U163*'Business Analysis'!$D$41)/5*100,0)</f>
        <v>59</v>
      </c>
      <c r="W163" s="29" t="str">
        <f t="shared" si="4"/>
        <v>Low</v>
      </c>
      <c r="X163" s="25" t="s">
        <v>608</v>
      </c>
      <c r="Y163" s="29" t="s">
        <v>386</v>
      </c>
      <c r="Z163" s="25" t="s">
        <v>157</v>
      </c>
    </row>
    <row r="164" ht="15.75" customHeight="1">
      <c r="A164" s="9" t="s">
        <v>469</v>
      </c>
      <c r="B164" s="10" t="s">
        <v>299</v>
      </c>
      <c r="C164" s="12" t="s">
        <v>694</v>
      </c>
      <c r="D164" s="12" t="s">
        <v>468</v>
      </c>
      <c r="E164" s="15" t="s">
        <v>305</v>
      </c>
      <c r="F164" s="15" t="s">
        <v>35</v>
      </c>
      <c r="G164" s="15" t="s">
        <v>36</v>
      </c>
      <c r="H164" s="16">
        <v>170.0</v>
      </c>
      <c r="I164" s="10" t="s">
        <v>38</v>
      </c>
      <c r="J164" s="17">
        <v>33.0</v>
      </c>
      <c r="K164" s="10" t="s">
        <v>41</v>
      </c>
      <c r="L164" s="18">
        <v>9.7</v>
      </c>
      <c r="M164" s="10" t="s">
        <v>44</v>
      </c>
      <c r="N164" s="15" t="str">
        <f t="shared" si="1"/>
        <v>Moderate</v>
      </c>
      <c r="O164" s="12" t="s">
        <v>314</v>
      </c>
      <c r="P164" s="17">
        <v>3.0</v>
      </c>
      <c r="Q164" s="15">
        <f t="shared" si="2"/>
        <v>2</v>
      </c>
      <c r="R164" s="15">
        <f t="shared" si="3"/>
        <v>4</v>
      </c>
      <c r="S164" s="17">
        <v>5.0</v>
      </c>
      <c r="T164" s="17">
        <v>5.0</v>
      </c>
      <c r="U164" s="17">
        <v>4.0</v>
      </c>
      <c r="V164" s="21">
        <f>ROUND((P164*'Business Analysis'!$D$36+Q164*'Business Analysis'!$D$37+R164*'Business Analysis'!$D$38+S164*'Business Analysis'!$D$39+T164*'Business Analysis'!$D$40+U164*'Business Analysis'!$D$41)/5*100,0)</f>
        <v>78</v>
      </c>
      <c r="W164" s="15" t="str">
        <f t="shared" si="4"/>
        <v>High</v>
      </c>
      <c r="X164" s="12" t="s">
        <v>474</v>
      </c>
      <c r="Y164" s="15" t="s">
        <v>77</v>
      </c>
      <c r="Z164" s="12" t="s">
        <v>1008</v>
      </c>
    </row>
    <row r="165" ht="15.75" customHeight="1">
      <c r="A165" s="22" t="s">
        <v>1009</v>
      </c>
      <c r="B165" s="24" t="s">
        <v>337</v>
      </c>
      <c r="C165" s="25" t="s">
        <v>694</v>
      </c>
      <c r="D165" s="25" t="s">
        <v>468</v>
      </c>
      <c r="E165" s="29" t="s">
        <v>305</v>
      </c>
      <c r="F165" s="29" t="s">
        <v>35</v>
      </c>
      <c r="G165" s="29" t="s">
        <v>111</v>
      </c>
      <c r="H165" s="30">
        <v>110.0</v>
      </c>
      <c r="I165" s="24" t="s">
        <v>38</v>
      </c>
      <c r="J165" s="31">
        <v>35.0</v>
      </c>
      <c r="K165" s="24" t="s">
        <v>41</v>
      </c>
      <c r="L165" s="32">
        <v>9.6</v>
      </c>
      <c r="M165" s="24" t="s">
        <v>44</v>
      </c>
      <c r="N165" s="29" t="str">
        <f t="shared" si="1"/>
        <v>Moderate</v>
      </c>
      <c r="O165" s="25" t="s">
        <v>314</v>
      </c>
      <c r="P165" s="31">
        <v>3.0</v>
      </c>
      <c r="Q165" s="29">
        <f t="shared" si="2"/>
        <v>2</v>
      </c>
      <c r="R165" s="29">
        <f t="shared" si="3"/>
        <v>4</v>
      </c>
      <c r="S165" s="31">
        <v>5.0</v>
      </c>
      <c r="T165" s="31">
        <v>5.0</v>
      </c>
      <c r="U165" s="31">
        <v>3.0</v>
      </c>
      <c r="V165" s="38">
        <f>ROUND((P165*'Business Analysis'!$D$36+Q165*'Business Analysis'!$D$37+R165*'Business Analysis'!$D$38+S165*'Business Analysis'!$D$39+T165*'Business Analysis'!$D$40+U165*'Business Analysis'!$D$41)/5*100,0)</f>
        <v>76</v>
      </c>
      <c r="W165" s="29" t="str">
        <f t="shared" si="4"/>
        <v>High</v>
      </c>
      <c r="X165" s="25" t="s">
        <v>474</v>
      </c>
      <c r="Y165" s="29" t="s">
        <v>77</v>
      </c>
      <c r="Z165" s="25" t="s">
        <v>157</v>
      </c>
    </row>
    <row r="166" ht="15.75" customHeight="1">
      <c r="A166" s="9" t="s">
        <v>1010</v>
      </c>
      <c r="B166" s="10" t="s">
        <v>299</v>
      </c>
      <c r="C166" s="12" t="s">
        <v>694</v>
      </c>
      <c r="D166" s="12" t="s">
        <v>468</v>
      </c>
      <c r="E166" s="15" t="s">
        <v>305</v>
      </c>
      <c r="F166" s="15" t="s">
        <v>35</v>
      </c>
      <c r="G166" s="15" t="s">
        <v>111</v>
      </c>
      <c r="H166" s="16">
        <v>50.0</v>
      </c>
      <c r="I166" s="10" t="s">
        <v>38</v>
      </c>
      <c r="J166" s="17">
        <v>24.0</v>
      </c>
      <c r="K166" s="10" t="s">
        <v>41</v>
      </c>
      <c r="L166" s="18">
        <v>9.3</v>
      </c>
      <c r="M166" s="10" t="s">
        <v>44</v>
      </c>
      <c r="N166" s="15" t="str">
        <f t="shared" si="1"/>
        <v>Moderate</v>
      </c>
      <c r="O166" s="12" t="s">
        <v>314</v>
      </c>
      <c r="P166" s="17">
        <v>3.0</v>
      </c>
      <c r="Q166" s="15">
        <f t="shared" si="2"/>
        <v>1</v>
      </c>
      <c r="R166" s="15">
        <f t="shared" si="3"/>
        <v>5</v>
      </c>
      <c r="S166" s="17">
        <v>5.0</v>
      </c>
      <c r="T166" s="17">
        <v>5.0</v>
      </c>
      <c r="U166" s="17">
        <v>3.0</v>
      </c>
      <c r="V166" s="21">
        <f>ROUND((P166*'Business Analysis'!$D$36+Q166*'Business Analysis'!$D$37+R166*'Business Analysis'!$D$38+S166*'Business Analysis'!$D$39+T166*'Business Analysis'!$D$40+U166*'Business Analysis'!$D$41)/5*100,0)</f>
        <v>78</v>
      </c>
      <c r="W166" s="15" t="str">
        <f t="shared" si="4"/>
        <v>High</v>
      </c>
      <c r="X166" s="12" t="s">
        <v>474</v>
      </c>
      <c r="Y166" s="15" t="s">
        <v>77</v>
      </c>
      <c r="Z166" s="12" t="s">
        <v>157</v>
      </c>
    </row>
    <row r="167" ht="15.75" customHeight="1">
      <c r="A167" s="22" t="s">
        <v>1011</v>
      </c>
      <c r="B167" s="24" t="s">
        <v>299</v>
      </c>
      <c r="C167" s="25" t="s">
        <v>694</v>
      </c>
      <c r="D167" s="25" t="s">
        <v>468</v>
      </c>
      <c r="E167" s="29" t="s">
        <v>305</v>
      </c>
      <c r="F167" s="29" t="s">
        <v>35</v>
      </c>
      <c r="G167" s="29" t="s">
        <v>111</v>
      </c>
      <c r="H167" s="30">
        <v>320.0</v>
      </c>
      <c r="I167" s="24" t="s">
        <v>38</v>
      </c>
      <c r="J167" s="31">
        <v>45.0</v>
      </c>
      <c r="K167" s="24" t="s">
        <v>41</v>
      </c>
      <c r="L167" s="32">
        <v>10.2</v>
      </c>
      <c r="M167" s="24" t="s">
        <v>44</v>
      </c>
      <c r="N167" s="29" t="str">
        <f t="shared" si="1"/>
        <v>Competitive</v>
      </c>
      <c r="O167" s="25" t="s">
        <v>314</v>
      </c>
      <c r="P167" s="31">
        <v>3.0</v>
      </c>
      <c r="Q167" s="29">
        <f t="shared" si="2"/>
        <v>3</v>
      </c>
      <c r="R167" s="29">
        <f t="shared" si="3"/>
        <v>3</v>
      </c>
      <c r="S167" s="31">
        <v>5.0</v>
      </c>
      <c r="T167" s="31">
        <v>5.0</v>
      </c>
      <c r="U167" s="31">
        <v>3.0</v>
      </c>
      <c r="V167" s="38">
        <f>ROUND((P167*'Business Analysis'!$D$36+Q167*'Business Analysis'!$D$37+R167*'Business Analysis'!$D$38+S167*'Business Analysis'!$D$39+T167*'Business Analysis'!$D$40+U167*'Business Analysis'!$D$41)/5*100,0)</f>
        <v>74</v>
      </c>
      <c r="W167" s="29" t="str">
        <f t="shared" si="4"/>
        <v>Medium</v>
      </c>
      <c r="X167" s="25" t="s">
        <v>474</v>
      </c>
      <c r="Y167" s="29" t="s">
        <v>77</v>
      </c>
      <c r="Z167" s="25" t="s">
        <v>157</v>
      </c>
    </row>
    <row r="168" ht="15.75" customHeight="1">
      <c r="A168" s="9" t="s">
        <v>1012</v>
      </c>
      <c r="B168" s="10" t="s">
        <v>305</v>
      </c>
      <c r="C168" s="12" t="s">
        <v>694</v>
      </c>
      <c r="D168" s="12" t="s">
        <v>468</v>
      </c>
      <c r="E168" s="15" t="s">
        <v>305</v>
      </c>
      <c r="F168" s="15" t="s">
        <v>35</v>
      </c>
      <c r="G168" s="15" t="s">
        <v>111</v>
      </c>
      <c r="H168" s="16">
        <v>50.0</v>
      </c>
      <c r="I168" s="10" t="s">
        <v>38</v>
      </c>
      <c r="J168" s="17">
        <v>23.0</v>
      </c>
      <c r="K168" s="10" t="s">
        <v>41</v>
      </c>
      <c r="L168" s="18">
        <v>9.0</v>
      </c>
      <c r="M168" s="10" t="s">
        <v>44</v>
      </c>
      <c r="N168" s="15" t="str">
        <f t="shared" si="1"/>
        <v>Moderate</v>
      </c>
      <c r="O168" s="12" t="s">
        <v>314</v>
      </c>
      <c r="P168" s="17">
        <v>3.0</v>
      </c>
      <c r="Q168" s="15">
        <f t="shared" si="2"/>
        <v>1</v>
      </c>
      <c r="R168" s="15">
        <f t="shared" si="3"/>
        <v>5</v>
      </c>
      <c r="S168" s="17">
        <v>5.0</v>
      </c>
      <c r="T168" s="17">
        <v>5.0</v>
      </c>
      <c r="U168" s="17">
        <v>3.0</v>
      </c>
      <c r="V168" s="21">
        <f>ROUND((P168*'Business Analysis'!$D$36+Q168*'Business Analysis'!$D$37+R168*'Business Analysis'!$D$38+S168*'Business Analysis'!$D$39+T168*'Business Analysis'!$D$40+U168*'Business Analysis'!$D$41)/5*100,0)</f>
        <v>78</v>
      </c>
      <c r="W168" s="15" t="str">
        <f t="shared" si="4"/>
        <v>High</v>
      </c>
      <c r="X168" s="12" t="s">
        <v>474</v>
      </c>
      <c r="Y168" s="15" t="s">
        <v>77</v>
      </c>
      <c r="Z168" s="12" t="s">
        <v>157</v>
      </c>
    </row>
    <row r="169" ht="15.75" customHeight="1">
      <c r="A169" s="22" t="s">
        <v>477</v>
      </c>
      <c r="B169" s="24" t="s">
        <v>412</v>
      </c>
      <c r="C169" s="25" t="s">
        <v>694</v>
      </c>
      <c r="D169" s="25" t="s">
        <v>476</v>
      </c>
      <c r="E169" s="29" t="s">
        <v>412</v>
      </c>
      <c r="F169" s="29" t="s">
        <v>413</v>
      </c>
      <c r="G169" s="29" t="s">
        <v>36</v>
      </c>
      <c r="H169" s="30">
        <v>4400.0</v>
      </c>
      <c r="I169" s="24" t="s">
        <v>38</v>
      </c>
      <c r="J169" s="31">
        <v>34.0</v>
      </c>
      <c r="K169" s="24" t="s">
        <v>41</v>
      </c>
      <c r="L169" s="32">
        <v>1.8</v>
      </c>
      <c r="M169" s="24" t="s">
        <v>44</v>
      </c>
      <c r="N169" s="29" t="str">
        <f t="shared" si="1"/>
        <v>Moderate</v>
      </c>
      <c r="O169" s="25" t="s">
        <v>224</v>
      </c>
      <c r="P169" s="31">
        <v>1.0</v>
      </c>
      <c r="Q169" s="29">
        <f t="shared" si="2"/>
        <v>5</v>
      </c>
      <c r="R169" s="29">
        <f t="shared" si="3"/>
        <v>4</v>
      </c>
      <c r="S169" s="31">
        <v>1.0</v>
      </c>
      <c r="T169" s="31">
        <v>1.0</v>
      </c>
      <c r="U169" s="31">
        <v>4.0</v>
      </c>
      <c r="V169" s="38">
        <f>ROUND((P169*'Business Analysis'!$D$36+Q169*'Business Analysis'!$D$37+R169*'Business Analysis'!$D$38+S169*'Business Analysis'!$D$39+T169*'Business Analysis'!$D$40+U169*'Business Analysis'!$D$41)/5*100,0)</f>
        <v>46</v>
      </c>
      <c r="W169" s="29" t="str">
        <f t="shared" si="4"/>
        <v>Low</v>
      </c>
      <c r="X169" s="25" t="s">
        <v>622</v>
      </c>
      <c r="Y169" s="29" t="s">
        <v>386</v>
      </c>
      <c r="Z169" s="25" t="s">
        <v>1013</v>
      </c>
    </row>
    <row r="170" ht="15.75" customHeight="1">
      <c r="A170" s="9" t="s">
        <v>478</v>
      </c>
      <c r="B170" s="10" t="s">
        <v>565</v>
      </c>
      <c r="C170" s="12" t="s">
        <v>694</v>
      </c>
      <c r="D170" s="12" t="s">
        <v>476</v>
      </c>
      <c r="E170" s="15" t="s">
        <v>412</v>
      </c>
      <c r="F170" s="15" t="s">
        <v>413</v>
      </c>
      <c r="G170" s="15" t="s">
        <v>111</v>
      </c>
      <c r="H170" s="16">
        <v>6600.0</v>
      </c>
      <c r="I170" s="10" t="s">
        <v>38</v>
      </c>
      <c r="J170" s="17">
        <v>36.0</v>
      </c>
      <c r="K170" s="10" t="s">
        <v>41</v>
      </c>
      <c r="L170" s="18">
        <v>1.6</v>
      </c>
      <c r="M170" s="10" t="s">
        <v>44</v>
      </c>
      <c r="N170" s="15" t="str">
        <f t="shared" si="1"/>
        <v>Moderate</v>
      </c>
      <c r="O170" s="12" t="s">
        <v>224</v>
      </c>
      <c r="P170" s="17">
        <v>1.0</v>
      </c>
      <c r="Q170" s="15">
        <f t="shared" si="2"/>
        <v>5</v>
      </c>
      <c r="R170" s="15">
        <f t="shared" si="3"/>
        <v>3</v>
      </c>
      <c r="S170" s="17">
        <v>2.0</v>
      </c>
      <c r="T170" s="17">
        <v>1.0</v>
      </c>
      <c r="U170" s="17">
        <v>3.0</v>
      </c>
      <c r="V170" s="21">
        <f>ROUND((P170*'Business Analysis'!$D$36+Q170*'Business Analysis'!$D$37+R170*'Business Analysis'!$D$38+S170*'Business Analysis'!$D$39+T170*'Business Analysis'!$D$40+U170*'Business Analysis'!$D$41)/5*100,0)</f>
        <v>43</v>
      </c>
      <c r="W170" s="15" t="str">
        <f t="shared" si="4"/>
        <v>Low</v>
      </c>
      <c r="X170" s="12" t="s">
        <v>622</v>
      </c>
      <c r="Y170" s="15" t="s">
        <v>386</v>
      </c>
      <c r="Z170" s="12" t="s">
        <v>157</v>
      </c>
    </row>
    <row r="171" ht="15.75" customHeight="1">
      <c r="A171" s="22" t="s">
        <v>1014</v>
      </c>
      <c r="B171" s="24" t="s">
        <v>412</v>
      </c>
      <c r="C171" s="25" t="s">
        <v>694</v>
      </c>
      <c r="D171" s="25" t="s">
        <v>476</v>
      </c>
      <c r="E171" s="29" t="s">
        <v>412</v>
      </c>
      <c r="F171" s="29" t="s">
        <v>413</v>
      </c>
      <c r="G171" s="29" t="s">
        <v>111</v>
      </c>
      <c r="H171" s="30">
        <v>5400.0</v>
      </c>
      <c r="I171" s="24" t="s">
        <v>38</v>
      </c>
      <c r="J171" s="31">
        <v>30.0</v>
      </c>
      <c r="K171" s="24" t="s">
        <v>41</v>
      </c>
      <c r="L171" s="32">
        <v>1.2</v>
      </c>
      <c r="M171" s="24" t="s">
        <v>44</v>
      </c>
      <c r="N171" s="29" t="str">
        <f t="shared" si="1"/>
        <v>Moderate</v>
      </c>
      <c r="O171" s="25" t="s">
        <v>224</v>
      </c>
      <c r="P171" s="31">
        <v>1.0</v>
      </c>
      <c r="Q171" s="29">
        <f t="shared" si="2"/>
        <v>5</v>
      </c>
      <c r="R171" s="29">
        <f t="shared" si="3"/>
        <v>4</v>
      </c>
      <c r="S171" s="31">
        <v>1.0</v>
      </c>
      <c r="T171" s="31">
        <v>1.0</v>
      </c>
      <c r="U171" s="31">
        <v>3.0</v>
      </c>
      <c r="V171" s="38">
        <f>ROUND((P171*'Business Analysis'!$D$36+Q171*'Business Analysis'!$D$37+R171*'Business Analysis'!$D$38+S171*'Business Analysis'!$D$39+T171*'Business Analysis'!$D$40+U171*'Business Analysis'!$D$41)/5*100,0)</f>
        <v>44</v>
      </c>
      <c r="W171" s="29" t="str">
        <f t="shared" si="4"/>
        <v>Low</v>
      </c>
      <c r="X171" s="25" t="s">
        <v>622</v>
      </c>
      <c r="Y171" s="29" t="s">
        <v>386</v>
      </c>
      <c r="Z171" s="25" t="s">
        <v>157</v>
      </c>
    </row>
    <row r="172" ht="15.75" customHeight="1">
      <c r="A172" s="9" t="s">
        <v>1015</v>
      </c>
      <c r="B172" s="10" t="s">
        <v>412</v>
      </c>
      <c r="C172" s="12" t="s">
        <v>694</v>
      </c>
      <c r="D172" s="12" t="s">
        <v>476</v>
      </c>
      <c r="E172" s="15" t="s">
        <v>412</v>
      </c>
      <c r="F172" s="15" t="s">
        <v>413</v>
      </c>
      <c r="G172" s="15" t="s">
        <v>111</v>
      </c>
      <c r="H172" s="16">
        <v>3600.0</v>
      </c>
      <c r="I172" s="10" t="s">
        <v>38</v>
      </c>
      <c r="J172" s="17">
        <v>33.0</v>
      </c>
      <c r="K172" s="10" t="s">
        <v>41</v>
      </c>
      <c r="L172" s="18">
        <v>1.5</v>
      </c>
      <c r="M172" s="10" t="s">
        <v>44</v>
      </c>
      <c r="N172" s="15" t="str">
        <f t="shared" si="1"/>
        <v>Moderate</v>
      </c>
      <c r="O172" s="12" t="s">
        <v>224</v>
      </c>
      <c r="P172" s="17">
        <v>1.0</v>
      </c>
      <c r="Q172" s="15">
        <f t="shared" si="2"/>
        <v>5</v>
      </c>
      <c r="R172" s="15">
        <f t="shared" si="3"/>
        <v>4</v>
      </c>
      <c r="S172" s="17">
        <v>1.0</v>
      </c>
      <c r="T172" s="17">
        <v>1.0</v>
      </c>
      <c r="U172" s="17">
        <v>3.0</v>
      </c>
      <c r="V172" s="21">
        <f>ROUND((P172*'Business Analysis'!$D$36+Q172*'Business Analysis'!$D$37+R172*'Business Analysis'!$D$38+S172*'Business Analysis'!$D$39+T172*'Business Analysis'!$D$40+U172*'Business Analysis'!$D$41)/5*100,0)</f>
        <v>44</v>
      </c>
      <c r="W172" s="15" t="str">
        <f t="shared" si="4"/>
        <v>Low</v>
      </c>
      <c r="X172" s="12" t="s">
        <v>622</v>
      </c>
      <c r="Y172" s="15" t="s">
        <v>386</v>
      </c>
      <c r="Z172" s="12" t="s">
        <v>157</v>
      </c>
    </row>
    <row r="173" ht="15.75" customHeight="1">
      <c r="A173" s="22" t="s">
        <v>495</v>
      </c>
      <c r="B173" s="24" t="s">
        <v>299</v>
      </c>
      <c r="C173" s="25" t="s">
        <v>694</v>
      </c>
      <c r="D173" s="25" t="s">
        <v>494</v>
      </c>
      <c r="E173" s="29" t="s">
        <v>305</v>
      </c>
      <c r="F173" s="29" t="s">
        <v>35</v>
      </c>
      <c r="G173" s="29" t="s">
        <v>36</v>
      </c>
      <c r="H173" s="30">
        <v>110.0</v>
      </c>
      <c r="I173" s="24" t="s">
        <v>38</v>
      </c>
      <c r="J173" s="31">
        <v>30.0</v>
      </c>
      <c r="K173" s="24" t="s">
        <v>41</v>
      </c>
      <c r="L173" s="32">
        <v>8.2</v>
      </c>
      <c r="M173" s="24" t="s">
        <v>44</v>
      </c>
      <c r="N173" s="29" t="str">
        <f t="shared" si="1"/>
        <v>Moderate</v>
      </c>
      <c r="O173" s="25" t="s">
        <v>314</v>
      </c>
      <c r="P173" s="31">
        <v>3.0</v>
      </c>
      <c r="Q173" s="29">
        <f t="shared" si="2"/>
        <v>2</v>
      </c>
      <c r="R173" s="29">
        <f t="shared" si="3"/>
        <v>4</v>
      </c>
      <c r="S173" s="31">
        <v>5.0</v>
      </c>
      <c r="T173" s="31">
        <v>5.0</v>
      </c>
      <c r="U173" s="31">
        <v>4.0</v>
      </c>
      <c r="V173" s="38">
        <f>ROUND((P173*'Business Analysis'!$D$36+Q173*'Business Analysis'!$D$37+R173*'Business Analysis'!$D$38+S173*'Business Analysis'!$D$39+T173*'Business Analysis'!$D$40+U173*'Business Analysis'!$D$41)/5*100,0)</f>
        <v>78</v>
      </c>
      <c r="W173" s="29" t="str">
        <f t="shared" si="4"/>
        <v>High</v>
      </c>
      <c r="X173" s="25" t="s">
        <v>498</v>
      </c>
      <c r="Y173" s="29" t="s">
        <v>77</v>
      </c>
      <c r="Z173" s="25" t="s">
        <v>1016</v>
      </c>
    </row>
    <row r="174" ht="15.75" customHeight="1">
      <c r="A174" s="9" t="s">
        <v>862</v>
      </c>
      <c r="B174" s="10" t="s">
        <v>299</v>
      </c>
      <c r="C174" s="12" t="s">
        <v>694</v>
      </c>
      <c r="D174" s="12" t="s">
        <v>494</v>
      </c>
      <c r="E174" s="15" t="s">
        <v>305</v>
      </c>
      <c r="F174" s="15" t="s">
        <v>35</v>
      </c>
      <c r="G174" s="15" t="s">
        <v>111</v>
      </c>
      <c r="H174" s="16">
        <v>40.0</v>
      </c>
      <c r="I174" s="10" t="s">
        <v>38</v>
      </c>
      <c r="J174" s="17">
        <v>20.0</v>
      </c>
      <c r="K174" s="10" t="s">
        <v>41</v>
      </c>
      <c r="L174" s="18">
        <v>7.8</v>
      </c>
      <c r="M174" s="10" t="s">
        <v>44</v>
      </c>
      <c r="N174" s="15" t="str">
        <f t="shared" si="1"/>
        <v>Low</v>
      </c>
      <c r="O174" s="12" t="s">
        <v>314</v>
      </c>
      <c r="P174" s="17">
        <v>3.0</v>
      </c>
      <c r="Q174" s="15">
        <f t="shared" si="2"/>
        <v>1</v>
      </c>
      <c r="R174" s="15">
        <f t="shared" si="3"/>
        <v>5</v>
      </c>
      <c r="S174" s="17">
        <v>5.0</v>
      </c>
      <c r="T174" s="17">
        <v>5.0</v>
      </c>
      <c r="U174" s="17">
        <v>3.0</v>
      </c>
      <c r="V174" s="21">
        <f>ROUND((P174*'Business Analysis'!$D$36+Q174*'Business Analysis'!$D$37+R174*'Business Analysis'!$D$38+S174*'Business Analysis'!$D$39+T174*'Business Analysis'!$D$40+U174*'Business Analysis'!$D$41)/5*100,0)</f>
        <v>78</v>
      </c>
      <c r="W174" s="15" t="str">
        <f t="shared" si="4"/>
        <v>High</v>
      </c>
      <c r="X174" s="12" t="s">
        <v>498</v>
      </c>
      <c r="Y174" s="15" t="s">
        <v>77</v>
      </c>
      <c r="Z174" s="12" t="s">
        <v>157</v>
      </c>
    </row>
    <row r="175" ht="15.75" customHeight="1">
      <c r="A175" s="22" t="s">
        <v>1017</v>
      </c>
      <c r="B175" s="24" t="s">
        <v>299</v>
      </c>
      <c r="C175" s="25" t="s">
        <v>694</v>
      </c>
      <c r="D175" s="25" t="s">
        <v>494</v>
      </c>
      <c r="E175" s="29" t="s">
        <v>305</v>
      </c>
      <c r="F175" s="29" t="s">
        <v>35</v>
      </c>
      <c r="G175" s="29" t="s">
        <v>111</v>
      </c>
      <c r="H175" s="30">
        <v>30.0</v>
      </c>
      <c r="I175" s="24" t="s">
        <v>38</v>
      </c>
      <c r="J175" s="31">
        <v>18.0</v>
      </c>
      <c r="K175" s="24" t="s">
        <v>41</v>
      </c>
      <c r="L175" s="32">
        <v>7.6</v>
      </c>
      <c r="M175" s="24" t="s">
        <v>44</v>
      </c>
      <c r="N175" s="29" t="str">
        <f t="shared" si="1"/>
        <v>Low</v>
      </c>
      <c r="O175" s="25" t="s">
        <v>314</v>
      </c>
      <c r="P175" s="31">
        <v>3.0</v>
      </c>
      <c r="Q175" s="29">
        <f t="shared" si="2"/>
        <v>1</v>
      </c>
      <c r="R175" s="29">
        <f t="shared" si="3"/>
        <v>5</v>
      </c>
      <c r="S175" s="31">
        <v>5.0</v>
      </c>
      <c r="T175" s="31">
        <v>5.0</v>
      </c>
      <c r="U175" s="31">
        <v>3.0</v>
      </c>
      <c r="V175" s="38">
        <f>ROUND((P175*'Business Analysis'!$D$36+Q175*'Business Analysis'!$D$37+R175*'Business Analysis'!$D$38+S175*'Business Analysis'!$D$39+T175*'Business Analysis'!$D$40+U175*'Business Analysis'!$D$41)/5*100,0)</f>
        <v>78</v>
      </c>
      <c r="W175" s="29" t="str">
        <f t="shared" si="4"/>
        <v>High</v>
      </c>
      <c r="X175" s="25" t="s">
        <v>498</v>
      </c>
      <c r="Y175" s="29" t="s">
        <v>77</v>
      </c>
      <c r="Z175" s="25" t="s">
        <v>157</v>
      </c>
    </row>
    <row r="176" ht="15.75" customHeight="1">
      <c r="A176" s="9" t="s">
        <v>1018</v>
      </c>
      <c r="B176" s="10" t="s">
        <v>565</v>
      </c>
      <c r="C176" s="12" t="s">
        <v>694</v>
      </c>
      <c r="D176" s="12" t="s">
        <v>494</v>
      </c>
      <c r="E176" s="15" t="s">
        <v>305</v>
      </c>
      <c r="F176" s="15" t="s">
        <v>35</v>
      </c>
      <c r="G176" s="15" t="s">
        <v>111</v>
      </c>
      <c r="H176" s="16">
        <v>90.0</v>
      </c>
      <c r="I176" s="10" t="s">
        <v>38</v>
      </c>
      <c r="J176" s="17">
        <v>29.0</v>
      </c>
      <c r="K176" s="10" t="s">
        <v>41</v>
      </c>
      <c r="L176" s="18">
        <v>8.4</v>
      </c>
      <c r="M176" s="10" t="s">
        <v>44</v>
      </c>
      <c r="N176" s="15" t="str">
        <f t="shared" si="1"/>
        <v>Moderate</v>
      </c>
      <c r="O176" s="12" t="s">
        <v>314</v>
      </c>
      <c r="P176" s="17">
        <v>3.0</v>
      </c>
      <c r="Q176" s="15">
        <f t="shared" si="2"/>
        <v>1</v>
      </c>
      <c r="R176" s="15">
        <f t="shared" si="3"/>
        <v>4</v>
      </c>
      <c r="S176" s="17">
        <v>5.0</v>
      </c>
      <c r="T176" s="17">
        <v>5.0</v>
      </c>
      <c r="U176" s="17">
        <v>3.0</v>
      </c>
      <c r="V176" s="21">
        <f>ROUND((P176*'Business Analysis'!$D$36+Q176*'Business Analysis'!$D$37+R176*'Business Analysis'!$D$38+S176*'Business Analysis'!$D$39+T176*'Business Analysis'!$D$40+U176*'Business Analysis'!$D$41)/5*100,0)</f>
        <v>74</v>
      </c>
      <c r="W176" s="15" t="str">
        <f t="shared" si="4"/>
        <v>Medium</v>
      </c>
      <c r="X176" s="12" t="s">
        <v>498</v>
      </c>
      <c r="Y176" s="15" t="s">
        <v>77</v>
      </c>
      <c r="Z176" s="12" t="s">
        <v>157</v>
      </c>
    </row>
    <row r="177" ht="15.75" customHeight="1">
      <c r="A177" s="22" t="s">
        <v>1019</v>
      </c>
      <c r="B177" s="24" t="s">
        <v>565</v>
      </c>
      <c r="C177" s="25" t="s">
        <v>694</v>
      </c>
      <c r="D177" s="25" t="s">
        <v>494</v>
      </c>
      <c r="E177" s="29" t="s">
        <v>305</v>
      </c>
      <c r="F177" s="29" t="s">
        <v>35</v>
      </c>
      <c r="G177" s="29" t="s">
        <v>111</v>
      </c>
      <c r="H177" s="30">
        <v>60.0</v>
      </c>
      <c r="I177" s="24" t="s">
        <v>38</v>
      </c>
      <c r="J177" s="31">
        <v>27.0</v>
      </c>
      <c r="K177" s="24" t="s">
        <v>41</v>
      </c>
      <c r="L177" s="32">
        <v>8.1</v>
      </c>
      <c r="M177" s="24" t="s">
        <v>44</v>
      </c>
      <c r="N177" s="29" t="str">
        <f t="shared" si="1"/>
        <v>Moderate</v>
      </c>
      <c r="O177" s="25" t="s">
        <v>314</v>
      </c>
      <c r="P177" s="31">
        <v>3.0</v>
      </c>
      <c r="Q177" s="29">
        <f t="shared" si="2"/>
        <v>1</v>
      </c>
      <c r="R177" s="29">
        <f t="shared" si="3"/>
        <v>4</v>
      </c>
      <c r="S177" s="31">
        <v>5.0</v>
      </c>
      <c r="T177" s="31">
        <v>5.0</v>
      </c>
      <c r="U177" s="31">
        <v>3.0</v>
      </c>
      <c r="V177" s="38">
        <f>ROUND((P177*'Business Analysis'!$D$36+Q177*'Business Analysis'!$D$37+R177*'Business Analysis'!$D$38+S177*'Business Analysis'!$D$39+T177*'Business Analysis'!$D$40+U177*'Business Analysis'!$D$41)/5*100,0)</f>
        <v>74</v>
      </c>
      <c r="W177" s="29" t="str">
        <f t="shared" si="4"/>
        <v>Medium</v>
      </c>
      <c r="X177" s="25" t="s">
        <v>498</v>
      </c>
      <c r="Y177" s="29" t="s">
        <v>77</v>
      </c>
      <c r="Z177" s="25" t="s">
        <v>157</v>
      </c>
    </row>
    <row r="178" ht="15.75" customHeight="1">
      <c r="A178" s="9" t="s">
        <v>501</v>
      </c>
      <c r="B178" s="10" t="s">
        <v>421</v>
      </c>
      <c r="C178" s="12" t="s">
        <v>694</v>
      </c>
      <c r="D178" s="12" t="s">
        <v>500</v>
      </c>
      <c r="E178" s="15" t="s">
        <v>356</v>
      </c>
      <c r="F178" s="15" t="s">
        <v>208</v>
      </c>
      <c r="G178" s="15" t="s">
        <v>36</v>
      </c>
      <c r="H178" s="16">
        <v>2900.0</v>
      </c>
      <c r="I178" s="10" t="s">
        <v>38</v>
      </c>
      <c r="J178" s="17">
        <v>30.0</v>
      </c>
      <c r="K178" s="10" t="s">
        <v>41</v>
      </c>
      <c r="L178" s="18">
        <v>2.8</v>
      </c>
      <c r="M178" s="10" t="s">
        <v>44</v>
      </c>
      <c r="N178" s="15" t="str">
        <f t="shared" si="1"/>
        <v>Moderate</v>
      </c>
      <c r="O178" s="12" t="s">
        <v>224</v>
      </c>
      <c r="P178" s="17">
        <v>1.0</v>
      </c>
      <c r="Q178" s="15">
        <f t="shared" si="2"/>
        <v>5</v>
      </c>
      <c r="R178" s="15">
        <f t="shared" si="3"/>
        <v>4</v>
      </c>
      <c r="S178" s="17">
        <v>3.0</v>
      </c>
      <c r="T178" s="17">
        <v>3.0</v>
      </c>
      <c r="U178" s="17">
        <v>4.0</v>
      </c>
      <c r="V178" s="21">
        <f>ROUND((P178*'Business Analysis'!$D$36+Q178*'Business Analysis'!$D$37+R178*'Business Analysis'!$D$38+S178*'Business Analysis'!$D$39+T178*'Business Analysis'!$D$40+U178*'Business Analysis'!$D$41)/5*100,0)</f>
        <v>60</v>
      </c>
      <c r="W178" s="15" t="str">
        <f t="shared" si="4"/>
        <v>Medium</v>
      </c>
      <c r="X178" s="12" t="s">
        <v>631</v>
      </c>
      <c r="Y178" s="15" t="s">
        <v>386</v>
      </c>
      <c r="Z178" s="12" t="s">
        <v>1020</v>
      </c>
    </row>
    <row r="179" ht="15.75" customHeight="1">
      <c r="A179" s="22" t="s">
        <v>1021</v>
      </c>
      <c r="B179" s="24" t="s">
        <v>412</v>
      </c>
      <c r="C179" s="25" t="s">
        <v>694</v>
      </c>
      <c r="D179" s="25" t="s">
        <v>500</v>
      </c>
      <c r="E179" s="29" t="s">
        <v>412</v>
      </c>
      <c r="F179" s="29" t="s">
        <v>413</v>
      </c>
      <c r="G179" s="29" t="s">
        <v>111</v>
      </c>
      <c r="H179" s="30">
        <v>4400.0</v>
      </c>
      <c r="I179" s="24" t="s">
        <v>38</v>
      </c>
      <c r="J179" s="31">
        <v>33.0</v>
      </c>
      <c r="K179" s="24" t="s">
        <v>41</v>
      </c>
      <c r="L179" s="32">
        <v>1.9</v>
      </c>
      <c r="M179" s="24" t="s">
        <v>44</v>
      </c>
      <c r="N179" s="29" t="str">
        <f t="shared" si="1"/>
        <v>Moderate</v>
      </c>
      <c r="O179" s="25" t="s">
        <v>224</v>
      </c>
      <c r="P179" s="31">
        <v>1.0</v>
      </c>
      <c r="Q179" s="29">
        <f t="shared" si="2"/>
        <v>5</v>
      </c>
      <c r="R179" s="29">
        <f t="shared" si="3"/>
        <v>4</v>
      </c>
      <c r="S179" s="31">
        <v>1.0</v>
      </c>
      <c r="T179" s="31">
        <v>1.0</v>
      </c>
      <c r="U179" s="31">
        <v>3.0</v>
      </c>
      <c r="V179" s="38">
        <f>ROUND((P179*'Business Analysis'!$D$36+Q179*'Business Analysis'!$D$37+R179*'Business Analysis'!$D$38+S179*'Business Analysis'!$D$39+T179*'Business Analysis'!$D$40+U179*'Business Analysis'!$D$41)/5*100,0)</f>
        <v>44</v>
      </c>
      <c r="W179" s="29" t="str">
        <f t="shared" si="4"/>
        <v>Low</v>
      </c>
      <c r="X179" s="25" t="s">
        <v>631</v>
      </c>
      <c r="Y179" s="29" t="s">
        <v>386</v>
      </c>
      <c r="Z179" s="25" t="s">
        <v>157</v>
      </c>
    </row>
    <row r="180" ht="15.75" customHeight="1">
      <c r="A180" s="9" t="s">
        <v>1022</v>
      </c>
      <c r="B180" s="10" t="s">
        <v>565</v>
      </c>
      <c r="C180" s="12" t="s">
        <v>694</v>
      </c>
      <c r="D180" s="12" t="s">
        <v>500</v>
      </c>
      <c r="E180" s="15" t="s">
        <v>412</v>
      </c>
      <c r="F180" s="15" t="s">
        <v>413</v>
      </c>
      <c r="G180" s="15" t="s">
        <v>111</v>
      </c>
      <c r="H180" s="16">
        <v>3600.0</v>
      </c>
      <c r="I180" s="10" t="s">
        <v>38</v>
      </c>
      <c r="J180" s="17">
        <v>38.0</v>
      </c>
      <c r="K180" s="10" t="s">
        <v>41</v>
      </c>
      <c r="L180" s="18">
        <v>1.4</v>
      </c>
      <c r="M180" s="10" t="s">
        <v>44</v>
      </c>
      <c r="N180" s="15" t="str">
        <f t="shared" si="1"/>
        <v>Moderate</v>
      </c>
      <c r="O180" s="12" t="s">
        <v>224</v>
      </c>
      <c r="P180" s="17">
        <v>1.0</v>
      </c>
      <c r="Q180" s="15">
        <f t="shared" si="2"/>
        <v>5</v>
      </c>
      <c r="R180" s="15">
        <f t="shared" si="3"/>
        <v>3</v>
      </c>
      <c r="S180" s="17">
        <v>2.0</v>
      </c>
      <c r="T180" s="17">
        <v>1.0</v>
      </c>
      <c r="U180" s="17">
        <v>3.0</v>
      </c>
      <c r="V180" s="21">
        <f>ROUND((P180*'Business Analysis'!$D$36+Q180*'Business Analysis'!$D$37+R180*'Business Analysis'!$D$38+S180*'Business Analysis'!$D$39+T180*'Business Analysis'!$D$40+U180*'Business Analysis'!$D$41)/5*100,0)</f>
        <v>43</v>
      </c>
      <c r="W180" s="15" t="str">
        <f t="shared" si="4"/>
        <v>Low</v>
      </c>
      <c r="X180" s="12" t="s">
        <v>631</v>
      </c>
      <c r="Y180" s="15" t="s">
        <v>386</v>
      </c>
      <c r="Z180" s="12" t="s">
        <v>157</v>
      </c>
    </row>
    <row r="181" ht="15.75" customHeight="1">
      <c r="A181" s="22" t="s">
        <v>1023</v>
      </c>
      <c r="B181" s="24" t="s">
        <v>356</v>
      </c>
      <c r="C181" s="25" t="s">
        <v>694</v>
      </c>
      <c r="D181" s="25" t="s">
        <v>500</v>
      </c>
      <c r="E181" s="29" t="s">
        <v>356</v>
      </c>
      <c r="F181" s="29" t="s">
        <v>208</v>
      </c>
      <c r="G181" s="29" t="s">
        <v>111</v>
      </c>
      <c r="H181" s="30">
        <v>2900.0</v>
      </c>
      <c r="I181" s="24" t="s">
        <v>38</v>
      </c>
      <c r="J181" s="31">
        <v>40.0</v>
      </c>
      <c r="K181" s="24" t="s">
        <v>41</v>
      </c>
      <c r="L181" s="32">
        <v>4.3</v>
      </c>
      <c r="M181" s="24" t="s">
        <v>44</v>
      </c>
      <c r="N181" s="29" t="str">
        <f t="shared" si="1"/>
        <v>Moderate</v>
      </c>
      <c r="O181" s="25" t="s">
        <v>493</v>
      </c>
      <c r="P181" s="31">
        <v>1.0</v>
      </c>
      <c r="Q181" s="29">
        <f t="shared" si="2"/>
        <v>5</v>
      </c>
      <c r="R181" s="29">
        <f t="shared" si="3"/>
        <v>3</v>
      </c>
      <c r="S181" s="31">
        <v>3.0</v>
      </c>
      <c r="T181" s="31">
        <v>3.0</v>
      </c>
      <c r="U181" s="31">
        <v>3.0</v>
      </c>
      <c r="V181" s="38">
        <f>ROUND((P181*'Business Analysis'!$D$36+Q181*'Business Analysis'!$D$37+R181*'Business Analysis'!$D$38+S181*'Business Analysis'!$D$39+T181*'Business Analysis'!$D$40+U181*'Business Analysis'!$D$41)/5*100,0)</f>
        <v>54</v>
      </c>
      <c r="W181" s="29" t="str">
        <f t="shared" si="4"/>
        <v>Low</v>
      </c>
      <c r="X181" s="25" t="s">
        <v>631</v>
      </c>
      <c r="Y181" s="29" t="s">
        <v>386</v>
      </c>
      <c r="Z181" s="25" t="s">
        <v>157</v>
      </c>
    </row>
    <row r="182" ht="15.75" customHeight="1">
      <c r="A182" s="9" t="s">
        <v>515</v>
      </c>
      <c r="B182" s="10" t="s">
        <v>299</v>
      </c>
      <c r="C182" s="12" t="s">
        <v>380</v>
      </c>
      <c r="D182" s="12" t="s">
        <v>514</v>
      </c>
      <c r="E182" s="15" t="s">
        <v>305</v>
      </c>
      <c r="F182" s="15" t="s">
        <v>35</v>
      </c>
      <c r="G182" s="15" t="s">
        <v>36</v>
      </c>
      <c r="H182" s="16">
        <v>50.0</v>
      </c>
      <c r="I182" s="10" t="s">
        <v>38</v>
      </c>
      <c r="J182" s="17">
        <v>20.0</v>
      </c>
      <c r="K182" s="10" t="s">
        <v>41</v>
      </c>
      <c r="L182" s="18">
        <v>6.4</v>
      </c>
      <c r="M182" s="10" t="s">
        <v>44</v>
      </c>
      <c r="N182" s="15" t="str">
        <f t="shared" si="1"/>
        <v>Low</v>
      </c>
      <c r="O182" s="12" t="s">
        <v>381</v>
      </c>
      <c r="P182" s="17">
        <v>2.0</v>
      </c>
      <c r="Q182" s="15">
        <f t="shared" si="2"/>
        <v>1</v>
      </c>
      <c r="R182" s="15">
        <f t="shared" si="3"/>
        <v>5</v>
      </c>
      <c r="S182" s="17">
        <v>5.0</v>
      </c>
      <c r="T182" s="17">
        <v>5.0</v>
      </c>
      <c r="U182" s="17">
        <v>4.0</v>
      </c>
      <c r="V182" s="21">
        <f>ROUND((P182*'Business Analysis'!$D$36+Q182*'Business Analysis'!$D$37+R182*'Business Analysis'!$D$38+S182*'Business Analysis'!$D$39+T182*'Business Analysis'!$D$40+U182*'Business Analysis'!$D$41)/5*100,0)</f>
        <v>75</v>
      </c>
      <c r="W182" s="15" t="str">
        <f t="shared" si="4"/>
        <v>High</v>
      </c>
      <c r="X182" s="12" t="s">
        <v>522</v>
      </c>
      <c r="Y182" s="15" t="s">
        <v>77</v>
      </c>
      <c r="Z182" s="12" t="s">
        <v>1024</v>
      </c>
    </row>
    <row r="183" ht="15.75" customHeight="1">
      <c r="A183" s="22" t="s">
        <v>1025</v>
      </c>
      <c r="B183" s="24" t="s">
        <v>299</v>
      </c>
      <c r="C183" s="25" t="s">
        <v>380</v>
      </c>
      <c r="D183" s="25" t="s">
        <v>514</v>
      </c>
      <c r="E183" s="29" t="s">
        <v>305</v>
      </c>
      <c r="F183" s="29" t="s">
        <v>35</v>
      </c>
      <c r="G183" s="29" t="s">
        <v>111</v>
      </c>
      <c r="H183" s="30">
        <v>40.0</v>
      </c>
      <c r="I183" s="24" t="s">
        <v>38</v>
      </c>
      <c r="J183" s="31">
        <v>19.0</v>
      </c>
      <c r="K183" s="24" t="s">
        <v>41</v>
      </c>
      <c r="L183" s="32">
        <v>6.2</v>
      </c>
      <c r="M183" s="24" t="s">
        <v>44</v>
      </c>
      <c r="N183" s="29" t="str">
        <f t="shared" si="1"/>
        <v>Low</v>
      </c>
      <c r="O183" s="25" t="s">
        <v>381</v>
      </c>
      <c r="P183" s="31">
        <v>2.0</v>
      </c>
      <c r="Q183" s="29">
        <f t="shared" si="2"/>
        <v>1</v>
      </c>
      <c r="R183" s="29">
        <f t="shared" si="3"/>
        <v>5</v>
      </c>
      <c r="S183" s="31">
        <v>5.0</v>
      </c>
      <c r="T183" s="31">
        <v>5.0</v>
      </c>
      <c r="U183" s="31">
        <v>3.0</v>
      </c>
      <c r="V183" s="38">
        <f>ROUND((P183*'Business Analysis'!$D$36+Q183*'Business Analysis'!$D$37+R183*'Business Analysis'!$D$38+S183*'Business Analysis'!$D$39+T183*'Business Analysis'!$D$40+U183*'Business Analysis'!$D$41)/5*100,0)</f>
        <v>73</v>
      </c>
      <c r="W183" s="29" t="str">
        <f t="shared" si="4"/>
        <v>Medium</v>
      </c>
      <c r="X183" s="25" t="s">
        <v>522</v>
      </c>
      <c r="Y183" s="29" t="s">
        <v>77</v>
      </c>
      <c r="Z183" s="25" t="s">
        <v>157</v>
      </c>
    </row>
    <row r="184" ht="15.75" customHeight="1">
      <c r="A184" s="9" t="s">
        <v>1026</v>
      </c>
      <c r="B184" s="10" t="s">
        <v>412</v>
      </c>
      <c r="C184" s="12" t="s">
        <v>380</v>
      </c>
      <c r="D184" s="12" t="s">
        <v>514</v>
      </c>
      <c r="E184" s="15" t="s">
        <v>412</v>
      </c>
      <c r="F184" s="15" t="s">
        <v>413</v>
      </c>
      <c r="G184" s="15" t="s">
        <v>111</v>
      </c>
      <c r="H184" s="16">
        <v>1900.0</v>
      </c>
      <c r="I184" s="10" t="s">
        <v>38</v>
      </c>
      <c r="J184" s="17">
        <v>25.0</v>
      </c>
      <c r="K184" s="10" t="s">
        <v>41</v>
      </c>
      <c r="L184" s="18">
        <v>1.8</v>
      </c>
      <c r="M184" s="10" t="s">
        <v>44</v>
      </c>
      <c r="N184" s="15" t="str">
        <f t="shared" si="1"/>
        <v>Moderate</v>
      </c>
      <c r="O184" s="12" t="s">
        <v>224</v>
      </c>
      <c r="P184" s="17">
        <v>1.0</v>
      </c>
      <c r="Q184" s="15">
        <f t="shared" si="2"/>
        <v>4</v>
      </c>
      <c r="R184" s="15">
        <f t="shared" si="3"/>
        <v>5</v>
      </c>
      <c r="S184" s="17">
        <v>1.0</v>
      </c>
      <c r="T184" s="17">
        <v>1.0</v>
      </c>
      <c r="U184" s="17">
        <v>3.0</v>
      </c>
      <c r="V184" s="21">
        <f>ROUND((P184*'Business Analysis'!$D$36+Q184*'Business Analysis'!$D$37+R184*'Business Analysis'!$D$38+S184*'Business Analysis'!$D$39+T184*'Business Analysis'!$D$40+U184*'Business Analysis'!$D$41)/5*100,0)</f>
        <v>46</v>
      </c>
      <c r="W184" s="15" t="str">
        <f t="shared" si="4"/>
        <v>Low</v>
      </c>
      <c r="X184" s="12" t="s">
        <v>522</v>
      </c>
      <c r="Y184" s="15" t="s">
        <v>77</v>
      </c>
      <c r="Z184" s="12" t="s">
        <v>157</v>
      </c>
    </row>
    <row r="185" ht="15.75" customHeight="1">
      <c r="A185" s="22" t="s">
        <v>1027</v>
      </c>
      <c r="B185" s="24" t="s">
        <v>412</v>
      </c>
      <c r="C185" s="25" t="s">
        <v>380</v>
      </c>
      <c r="D185" s="25" t="s">
        <v>514</v>
      </c>
      <c r="E185" s="29" t="s">
        <v>412</v>
      </c>
      <c r="F185" s="29" t="s">
        <v>413</v>
      </c>
      <c r="G185" s="29" t="s">
        <v>111</v>
      </c>
      <c r="H185" s="30">
        <v>1600.0</v>
      </c>
      <c r="I185" s="24" t="s">
        <v>38</v>
      </c>
      <c r="J185" s="31">
        <v>22.0</v>
      </c>
      <c r="K185" s="24" t="s">
        <v>41</v>
      </c>
      <c r="L185" s="32">
        <v>1.5</v>
      </c>
      <c r="M185" s="24" t="s">
        <v>44</v>
      </c>
      <c r="N185" s="29" t="str">
        <f t="shared" si="1"/>
        <v>Moderate</v>
      </c>
      <c r="O185" s="25" t="s">
        <v>224</v>
      </c>
      <c r="P185" s="31">
        <v>1.0</v>
      </c>
      <c r="Q185" s="29">
        <f t="shared" si="2"/>
        <v>4</v>
      </c>
      <c r="R185" s="29">
        <f t="shared" si="3"/>
        <v>5</v>
      </c>
      <c r="S185" s="31">
        <v>1.0</v>
      </c>
      <c r="T185" s="31">
        <v>1.0</v>
      </c>
      <c r="U185" s="31">
        <v>3.0</v>
      </c>
      <c r="V185" s="38">
        <f>ROUND((P185*'Business Analysis'!$D$36+Q185*'Business Analysis'!$D$37+R185*'Business Analysis'!$D$38+S185*'Business Analysis'!$D$39+T185*'Business Analysis'!$D$40+U185*'Business Analysis'!$D$41)/5*100,0)</f>
        <v>46</v>
      </c>
      <c r="W185" s="29" t="str">
        <f t="shared" si="4"/>
        <v>Low</v>
      </c>
      <c r="X185" s="25" t="s">
        <v>522</v>
      </c>
      <c r="Y185" s="29" t="s">
        <v>77</v>
      </c>
      <c r="Z185" s="25" t="s">
        <v>157</v>
      </c>
    </row>
    <row r="186" ht="15.75" customHeight="1">
      <c r="A186" s="9" t="s">
        <v>1028</v>
      </c>
      <c r="B186" s="10" t="s">
        <v>356</v>
      </c>
      <c r="C186" s="12" t="s">
        <v>380</v>
      </c>
      <c r="D186" s="12" t="s">
        <v>514</v>
      </c>
      <c r="E186" s="15" t="s">
        <v>356</v>
      </c>
      <c r="F186" s="15" t="s">
        <v>208</v>
      </c>
      <c r="G186" s="15" t="s">
        <v>111</v>
      </c>
      <c r="H186" s="16">
        <v>1300.0</v>
      </c>
      <c r="I186" s="10" t="s">
        <v>38</v>
      </c>
      <c r="J186" s="17">
        <v>34.0</v>
      </c>
      <c r="K186" s="10" t="s">
        <v>41</v>
      </c>
      <c r="L186" s="18">
        <v>3.4</v>
      </c>
      <c r="M186" s="10" t="s">
        <v>44</v>
      </c>
      <c r="N186" s="15" t="str">
        <f t="shared" si="1"/>
        <v>Moderate</v>
      </c>
      <c r="O186" s="12" t="s">
        <v>493</v>
      </c>
      <c r="P186" s="17">
        <v>1.0</v>
      </c>
      <c r="Q186" s="15">
        <f t="shared" si="2"/>
        <v>4</v>
      </c>
      <c r="R186" s="15">
        <f t="shared" si="3"/>
        <v>4</v>
      </c>
      <c r="S186" s="17">
        <v>3.0</v>
      </c>
      <c r="T186" s="17">
        <v>3.0</v>
      </c>
      <c r="U186" s="17">
        <v>3.0</v>
      </c>
      <c r="V186" s="21">
        <f>ROUND((P186*'Business Analysis'!$D$36+Q186*'Business Analysis'!$D$37+R186*'Business Analysis'!$D$38+S186*'Business Analysis'!$D$39+T186*'Business Analysis'!$D$40+U186*'Business Analysis'!$D$41)/5*100,0)</f>
        <v>56</v>
      </c>
      <c r="W186" s="15" t="str">
        <f t="shared" si="4"/>
        <v>Low</v>
      </c>
      <c r="X186" s="12" t="s">
        <v>522</v>
      </c>
      <c r="Y186" s="15" t="s">
        <v>77</v>
      </c>
      <c r="Z186" s="12" t="s">
        <v>157</v>
      </c>
    </row>
    <row r="187" ht="15.75" customHeight="1">
      <c r="A187" s="22" t="s">
        <v>1029</v>
      </c>
      <c r="B187" s="24" t="s">
        <v>412</v>
      </c>
      <c r="C187" s="25" t="s">
        <v>380</v>
      </c>
      <c r="D187" s="25" t="s">
        <v>514</v>
      </c>
      <c r="E187" s="29" t="s">
        <v>412</v>
      </c>
      <c r="F187" s="29" t="s">
        <v>413</v>
      </c>
      <c r="G187" s="29" t="s">
        <v>111</v>
      </c>
      <c r="H187" s="30">
        <v>480.0</v>
      </c>
      <c r="I187" s="24" t="s">
        <v>38</v>
      </c>
      <c r="J187" s="31">
        <v>20.0</v>
      </c>
      <c r="K187" s="24" t="s">
        <v>41</v>
      </c>
      <c r="L187" s="32">
        <v>1.4</v>
      </c>
      <c r="M187" s="24" t="s">
        <v>44</v>
      </c>
      <c r="N187" s="29" t="str">
        <f t="shared" si="1"/>
        <v>Low</v>
      </c>
      <c r="O187" s="25" t="s">
        <v>224</v>
      </c>
      <c r="P187" s="31">
        <v>1.0</v>
      </c>
      <c r="Q187" s="29">
        <f t="shared" si="2"/>
        <v>3</v>
      </c>
      <c r="R187" s="29">
        <f t="shared" si="3"/>
        <v>5</v>
      </c>
      <c r="S187" s="31">
        <v>1.0</v>
      </c>
      <c r="T187" s="31">
        <v>1.0</v>
      </c>
      <c r="U187" s="31">
        <v>3.0</v>
      </c>
      <c r="V187" s="38">
        <f>ROUND((P187*'Business Analysis'!$D$36+Q187*'Business Analysis'!$D$37+R187*'Business Analysis'!$D$38+S187*'Business Analysis'!$D$39+T187*'Business Analysis'!$D$40+U187*'Business Analysis'!$D$41)/5*100,0)</f>
        <v>44</v>
      </c>
      <c r="W187" s="29" t="str">
        <f t="shared" si="4"/>
        <v>Low</v>
      </c>
      <c r="X187" s="25" t="s">
        <v>522</v>
      </c>
      <c r="Y187" s="29" t="s">
        <v>77</v>
      </c>
      <c r="Z187" s="25" t="s">
        <v>157</v>
      </c>
    </row>
    <row r="188" ht="15.75" customHeight="1">
      <c r="A188" s="9" t="s">
        <v>526</v>
      </c>
      <c r="B188" s="10" t="s">
        <v>299</v>
      </c>
      <c r="C188" s="12" t="s">
        <v>640</v>
      </c>
      <c r="D188" s="12" t="s">
        <v>524</v>
      </c>
      <c r="E188" s="15" t="s">
        <v>305</v>
      </c>
      <c r="F188" s="15" t="s">
        <v>35</v>
      </c>
      <c r="G188" s="15" t="s">
        <v>36</v>
      </c>
      <c r="H188" s="16">
        <v>70.0</v>
      </c>
      <c r="I188" s="10" t="s">
        <v>38</v>
      </c>
      <c r="J188" s="17">
        <v>27.0</v>
      </c>
      <c r="K188" s="10" t="s">
        <v>41</v>
      </c>
      <c r="L188" s="18">
        <v>15.2</v>
      </c>
      <c r="M188" s="10" t="s">
        <v>44</v>
      </c>
      <c r="N188" s="15" t="str">
        <f t="shared" si="1"/>
        <v>Moderate</v>
      </c>
      <c r="O188" s="12" t="s">
        <v>598</v>
      </c>
      <c r="P188" s="17">
        <v>5.0</v>
      </c>
      <c r="Q188" s="15">
        <f t="shared" si="2"/>
        <v>1</v>
      </c>
      <c r="R188" s="15">
        <f t="shared" si="3"/>
        <v>4</v>
      </c>
      <c r="S188" s="17">
        <v>5.0</v>
      </c>
      <c r="T188" s="17">
        <v>5.0</v>
      </c>
      <c r="U188" s="17">
        <v>5.0</v>
      </c>
      <c r="V188" s="21">
        <f>ROUND((P188*'Business Analysis'!$D$36+Q188*'Business Analysis'!$D$37+R188*'Business Analysis'!$D$38+S188*'Business Analysis'!$D$39+T188*'Business Analysis'!$D$40+U188*'Business Analysis'!$D$41)/5*100,0)</f>
        <v>88</v>
      </c>
      <c r="W188" s="15" t="str">
        <f t="shared" si="4"/>
        <v>High</v>
      </c>
      <c r="X188" s="12" t="s">
        <v>530</v>
      </c>
      <c r="Y188" s="15" t="s">
        <v>77</v>
      </c>
      <c r="Z188" s="12" t="s">
        <v>1030</v>
      </c>
    </row>
    <row r="189" ht="15.75" customHeight="1">
      <c r="A189" s="22" t="s">
        <v>1031</v>
      </c>
      <c r="B189" s="24" t="s">
        <v>299</v>
      </c>
      <c r="C189" s="25" t="s">
        <v>640</v>
      </c>
      <c r="D189" s="25" t="s">
        <v>524</v>
      </c>
      <c r="E189" s="29" t="s">
        <v>305</v>
      </c>
      <c r="F189" s="29" t="s">
        <v>35</v>
      </c>
      <c r="G189" s="29" t="s">
        <v>111</v>
      </c>
      <c r="H189" s="30">
        <v>40.0</v>
      </c>
      <c r="I189" s="24" t="s">
        <v>38</v>
      </c>
      <c r="J189" s="31">
        <v>24.0</v>
      </c>
      <c r="K189" s="24" t="s">
        <v>41</v>
      </c>
      <c r="L189" s="32">
        <v>14.6</v>
      </c>
      <c r="M189" s="24" t="s">
        <v>44</v>
      </c>
      <c r="N189" s="29" t="str">
        <f t="shared" si="1"/>
        <v>Moderate</v>
      </c>
      <c r="O189" s="25" t="s">
        <v>598</v>
      </c>
      <c r="P189" s="31">
        <v>5.0</v>
      </c>
      <c r="Q189" s="29">
        <f t="shared" si="2"/>
        <v>1</v>
      </c>
      <c r="R189" s="29">
        <f t="shared" si="3"/>
        <v>5</v>
      </c>
      <c r="S189" s="31">
        <v>5.0</v>
      </c>
      <c r="T189" s="31">
        <v>5.0</v>
      </c>
      <c r="U189" s="31">
        <v>4.0</v>
      </c>
      <c r="V189" s="38">
        <f>ROUND((P189*'Business Analysis'!$D$36+Q189*'Business Analysis'!$D$37+R189*'Business Analysis'!$D$38+S189*'Business Analysis'!$D$39+T189*'Business Analysis'!$D$40+U189*'Business Analysis'!$D$41)/5*100,0)</f>
        <v>90</v>
      </c>
      <c r="W189" s="29" t="str">
        <f t="shared" si="4"/>
        <v>Critical</v>
      </c>
      <c r="X189" s="25" t="s">
        <v>530</v>
      </c>
      <c r="Y189" s="29" t="s">
        <v>77</v>
      </c>
      <c r="Z189" s="25" t="s">
        <v>157</v>
      </c>
    </row>
    <row r="190" ht="15.75" customHeight="1">
      <c r="A190" s="9" t="s">
        <v>1032</v>
      </c>
      <c r="B190" s="10" t="s">
        <v>299</v>
      </c>
      <c r="C190" s="12" t="s">
        <v>640</v>
      </c>
      <c r="D190" s="12" t="s">
        <v>524</v>
      </c>
      <c r="E190" s="15" t="s">
        <v>305</v>
      </c>
      <c r="F190" s="15" t="s">
        <v>35</v>
      </c>
      <c r="G190" s="15" t="s">
        <v>111</v>
      </c>
      <c r="H190" s="16">
        <v>40.0</v>
      </c>
      <c r="I190" s="10" t="s">
        <v>38</v>
      </c>
      <c r="J190" s="17">
        <v>22.0</v>
      </c>
      <c r="K190" s="10" t="s">
        <v>41</v>
      </c>
      <c r="L190" s="18">
        <v>14.2</v>
      </c>
      <c r="M190" s="10" t="s">
        <v>44</v>
      </c>
      <c r="N190" s="15" t="str">
        <f t="shared" si="1"/>
        <v>Moderate</v>
      </c>
      <c r="O190" s="12" t="s">
        <v>598</v>
      </c>
      <c r="P190" s="17">
        <v>5.0</v>
      </c>
      <c r="Q190" s="15">
        <f t="shared" si="2"/>
        <v>1</v>
      </c>
      <c r="R190" s="15">
        <f t="shared" si="3"/>
        <v>5</v>
      </c>
      <c r="S190" s="17">
        <v>5.0</v>
      </c>
      <c r="T190" s="17">
        <v>5.0</v>
      </c>
      <c r="U190" s="17">
        <v>4.0</v>
      </c>
      <c r="V190" s="21">
        <f>ROUND((P190*'Business Analysis'!$D$36+Q190*'Business Analysis'!$D$37+R190*'Business Analysis'!$D$38+S190*'Business Analysis'!$D$39+T190*'Business Analysis'!$D$40+U190*'Business Analysis'!$D$41)/5*100,0)</f>
        <v>90</v>
      </c>
      <c r="W190" s="15" t="str">
        <f t="shared" si="4"/>
        <v>Critical</v>
      </c>
      <c r="X190" s="12" t="s">
        <v>530</v>
      </c>
      <c r="Y190" s="15" t="s">
        <v>77</v>
      </c>
      <c r="Z190" s="12" t="s">
        <v>157</v>
      </c>
    </row>
    <row r="191" ht="15.75" customHeight="1">
      <c r="A191" s="22" t="s">
        <v>1033</v>
      </c>
      <c r="B191" s="24" t="s">
        <v>299</v>
      </c>
      <c r="C191" s="25" t="s">
        <v>640</v>
      </c>
      <c r="D191" s="25" t="s">
        <v>524</v>
      </c>
      <c r="E191" s="29" t="s">
        <v>305</v>
      </c>
      <c r="F191" s="29" t="s">
        <v>35</v>
      </c>
      <c r="G191" s="29" t="s">
        <v>111</v>
      </c>
      <c r="H191" s="30">
        <v>90.0</v>
      </c>
      <c r="I191" s="24" t="s">
        <v>38</v>
      </c>
      <c r="J191" s="31">
        <v>32.0</v>
      </c>
      <c r="K191" s="24" t="s">
        <v>41</v>
      </c>
      <c r="L191" s="32">
        <v>16.4</v>
      </c>
      <c r="M191" s="24" t="s">
        <v>44</v>
      </c>
      <c r="N191" s="29" t="str">
        <f t="shared" si="1"/>
        <v>Moderate</v>
      </c>
      <c r="O191" s="25" t="s">
        <v>598</v>
      </c>
      <c r="P191" s="31">
        <v>5.0</v>
      </c>
      <c r="Q191" s="29">
        <f t="shared" si="2"/>
        <v>1</v>
      </c>
      <c r="R191" s="29">
        <f t="shared" si="3"/>
        <v>4</v>
      </c>
      <c r="S191" s="31">
        <v>5.0</v>
      </c>
      <c r="T191" s="31">
        <v>5.0</v>
      </c>
      <c r="U191" s="31">
        <v>4.0</v>
      </c>
      <c r="V191" s="38">
        <f>ROUND((P191*'Business Analysis'!$D$36+Q191*'Business Analysis'!$D$37+R191*'Business Analysis'!$D$38+S191*'Business Analysis'!$D$39+T191*'Business Analysis'!$D$40+U191*'Business Analysis'!$D$41)/5*100,0)</f>
        <v>86</v>
      </c>
      <c r="W191" s="29" t="str">
        <f t="shared" si="4"/>
        <v>High</v>
      </c>
      <c r="X191" s="25" t="s">
        <v>530</v>
      </c>
      <c r="Y191" s="29" t="s">
        <v>77</v>
      </c>
      <c r="Z191" s="25" t="s">
        <v>157</v>
      </c>
    </row>
    <row r="192" ht="15.75" customHeight="1">
      <c r="A192" s="9" t="s">
        <v>1034</v>
      </c>
      <c r="B192" s="10" t="s">
        <v>337</v>
      </c>
      <c r="C192" s="12" t="s">
        <v>640</v>
      </c>
      <c r="D192" s="12" t="s">
        <v>524</v>
      </c>
      <c r="E192" s="15" t="s">
        <v>305</v>
      </c>
      <c r="F192" s="15" t="s">
        <v>35</v>
      </c>
      <c r="G192" s="15" t="s">
        <v>111</v>
      </c>
      <c r="H192" s="16">
        <v>40.0</v>
      </c>
      <c r="I192" s="10" t="s">
        <v>38</v>
      </c>
      <c r="J192" s="17">
        <v>29.0</v>
      </c>
      <c r="K192" s="10" t="s">
        <v>41</v>
      </c>
      <c r="L192" s="18">
        <v>14.8</v>
      </c>
      <c r="M192" s="10" t="s">
        <v>44</v>
      </c>
      <c r="N192" s="15" t="str">
        <f t="shared" si="1"/>
        <v>Moderate</v>
      </c>
      <c r="O192" s="12" t="s">
        <v>598</v>
      </c>
      <c r="P192" s="17">
        <v>5.0</v>
      </c>
      <c r="Q192" s="15">
        <f t="shared" si="2"/>
        <v>1</v>
      </c>
      <c r="R192" s="15">
        <f t="shared" si="3"/>
        <v>4</v>
      </c>
      <c r="S192" s="17">
        <v>5.0</v>
      </c>
      <c r="T192" s="17">
        <v>5.0</v>
      </c>
      <c r="U192" s="17">
        <v>4.0</v>
      </c>
      <c r="V192" s="21">
        <f>ROUND((P192*'Business Analysis'!$D$36+Q192*'Business Analysis'!$D$37+R192*'Business Analysis'!$D$38+S192*'Business Analysis'!$D$39+T192*'Business Analysis'!$D$40+U192*'Business Analysis'!$D$41)/5*100,0)</f>
        <v>86</v>
      </c>
      <c r="W192" s="15" t="str">
        <f t="shared" si="4"/>
        <v>High</v>
      </c>
      <c r="X192" s="12" t="s">
        <v>530</v>
      </c>
      <c r="Y192" s="15" t="s">
        <v>77</v>
      </c>
      <c r="Z192" s="12" t="s">
        <v>157</v>
      </c>
    </row>
    <row r="193" ht="15.75" customHeight="1">
      <c r="A193" s="22" t="s">
        <v>1035</v>
      </c>
      <c r="B193" s="24" t="s">
        <v>305</v>
      </c>
      <c r="C193" s="25" t="s">
        <v>640</v>
      </c>
      <c r="D193" s="25" t="s">
        <v>524</v>
      </c>
      <c r="E193" s="29" t="s">
        <v>305</v>
      </c>
      <c r="F193" s="29" t="s">
        <v>35</v>
      </c>
      <c r="G193" s="29" t="s">
        <v>111</v>
      </c>
      <c r="H193" s="30">
        <v>30.0</v>
      </c>
      <c r="I193" s="24" t="s">
        <v>38</v>
      </c>
      <c r="J193" s="31">
        <v>21.0</v>
      </c>
      <c r="K193" s="24" t="s">
        <v>41</v>
      </c>
      <c r="L193" s="32">
        <v>14.0</v>
      </c>
      <c r="M193" s="24" t="s">
        <v>44</v>
      </c>
      <c r="N193" s="29" t="str">
        <f t="shared" si="1"/>
        <v>Moderate</v>
      </c>
      <c r="O193" s="25" t="s">
        <v>598</v>
      </c>
      <c r="P193" s="31">
        <v>5.0</v>
      </c>
      <c r="Q193" s="29">
        <f t="shared" si="2"/>
        <v>1</v>
      </c>
      <c r="R193" s="29">
        <f t="shared" si="3"/>
        <v>5</v>
      </c>
      <c r="S193" s="31">
        <v>5.0</v>
      </c>
      <c r="T193" s="31">
        <v>5.0</v>
      </c>
      <c r="U193" s="31">
        <v>4.0</v>
      </c>
      <c r="V193" s="38">
        <f>ROUND((P193*'Business Analysis'!$D$36+Q193*'Business Analysis'!$D$37+R193*'Business Analysis'!$D$38+S193*'Business Analysis'!$D$39+T193*'Business Analysis'!$D$40+U193*'Business Analysis'!$D$41)/5*100,0)</f>
        <v>90</v>
      </c>
      <c r="W193" s="29" t="str">
        <f t="shared" si="4"/>
        <v>Critical</v>
      </c>
      <c r="X193" s="25" t="s">
        <v>530</v>
      </c>
      <c r="Y193" s="29" t="s">
        <v>77</v>
      </c>
      <c r="Z193" s="25" t="s">
        <v>157</v>
      </c>
    </row>
    <row r="194" ht="15.75" customHeight="1">
      <c r="A194" s="9" t="s">
        <v>533</v>
      </c>
      <c r="B194" s="10" t="s">
        <v>356</v>
      </c>
      <c r="C194" s="12" t="s">
        <v>640</v>
      </c>
      <c r="D194" s="12" t="s">
        <v>532</v>
      </c>
      <c r="E194" s="15" t="s">
        <v>356</v>
      </c>
      <c r="F194" s="15" t="s">
        <v>208</v>
      </c>
      <c r="G194" s="15" t="s">
        <v>36</v>
      </c>
      <c r="H194" s="16">
        <v>5400.0</v>
      </c>
      <c r="I194" s="10" t="s">
        <v>38</v>
      </c>
      <c r="J194" s="17">
        <v>48.0</v>
      </c>
      <c r="K194" s="10" t="s">
        <v>41</v>
      </c>
      <c r="L194" s="18">
        <v>8.2</v>
      </c>
      <c r="M194" s="10" t="s">
        <v>44</v>
      </c>
      <c r="N194" s="15" t="str">
        <f t="shared" si="1"/>
        <v>Competitive</v>
      </c>
      <c r="O194" s="12" t="s">
        <v>493</v>
      </c>
      <c r="P194" s="17">
        <v>2.0</v>
      </c>
      <c r="Q194" s="15">
        <f t="shared" si="2"/>
        <v>5</v>
      </c>
      <c r="R194" s="15">
        <f t="shared" si="3"/>
        <v>2</v>
      </c>
      <c r="S194" s="17">
        <v>3.0</v>
      </c>
      <c r="T194" s="17">
        <v>3.0</v>
      </c>
      <c r="U194" s="17">
        <v>4.0</v>
      </c>
      <c r="V194" s="21">
        <f>ROUND((P194*'Business Analysis'!$D$36+Q194*'Business Analysis'!$D$37+R194*'Business Analysis'!$D$38+S194*'Business Analysis'!$D$39+T194*'Business Analysis'!$D$40+U194*'Business Analysis'!$D$41)/5*100,0)</f>
        <v>57</v>
      </c>
      <c r="W194" s="15" t="str">
        <f t="shared" si="4"/>
        <v>Low</v>
      </c>
      <c r="X194" s="12" t="s">
        <v>642</v>
      </c>
      <c r="Y194" s="15" t="s">
        <v>386</v>
      </c>
      <c r="Z194" s="12" t="s">
        <v>1036</v>
      </c>
    </row>
    <row r="195" ht="15.75" customHeight="1">
      <c r="A195" s="22" t="s">
        <v>1037</v>
      </c>
      <c r="B195" s="24" t="s">
        <v>412</v>
      </c>
      <c r="C195" s="25" t="s">
        <v>640</v>
      </c>
      <c r="D195" s="25" t="s">
        <v>532</v>
      </c>
      <c r="E195" s="29" t="s">
        <v>412</v>
      </c>
      <c r="F195" s="29" t="s">
        <v>413</v>
      </c>
      <c r="G195" s="29" t="s">
        <v>111</v>
      </c>
      <c r="H195" s="30">
        <v>2900.0</v>
      </c>
      <c r="I195" s="24" t="s">
        <v>38</v>
      </c>
      <c r="J195" s="31">
        <v>38.0</v>
      </c>
      <c r="K195" s="24" t="s">
        <v>41</v>
      </c>
      <c r="L195" s="32">
        <v>3.8</v>
      </c>
      <c r="M195" s="24" t="s">
        <v>44</v>
      </c>
      <c r="N195" s="29" t="str">
        <f t="shared" si="1"/>
        <v>Moderate</v>
      </c>
      <c r="O195" s="25" t="s">
        <v>493</v>
      </c>
      <c r="P195" s="31">
        <v>1.0</v>
      </c>
      <c r="Q195" s="29">
        <f t="shared" si="2"/>
        <v>5</v>
      </c>
      <c r="R195" s="29">
        <f t="shared" si="3"/>
        <v>3</v>
      </c>
      <c r="S195" s="31">
        <v>1.0</v>
      </c>
      <c r="T195" s="31">
        <v>1.0</v>
      </c>
      <c r="U195" s="31">
        <v>3.0</v>
      </c>
      <c r="V195" s="38">
        <f>ROUND((P195*'Business Analysis'!$D$36+Q195*'Business Analysis'!$D$37+R195*'Business Analysis'!$D$38+S195*'Business Analysis'!$D$39+T195*'Business Analysis'!$D$40+U195*'Business Analysis'!$D$41)/5*100,0)</f>
        <v>40</v>
      </c>
      <c r="W195" s="29" t="str">
        <f t="shared" si="4"/>
        <v>Low</v>
      </c>
      <c r="X195" s="25" t="s">
        <v>642</v>
      </c>
      <c r="Y195" s="29" t="s">
        <v>386</v>
      </c>
      <c r="Z195" s="25" t="s">
        <v>157</v>
      </c>
    </row>
    <row r="196" ht="15.75" customHeight="1">
      <c r="A196" s="9" t="s">
        <v>1038</v>
      </c>
      <c r="B196" s="10" t="s">
        <v>412</v>
      </c>
      <c r="C196" s="12" t="s">
        <v>640</v>
      </c>
      <c r="D196" s="12" t="s">
        <v>532</v>
      </c>
      <c r="E196" s="15" t="s">
        <v>412</v>
      </c>
      <c r="F196" s="15" t="s">
        <v>413</v>
      </c>
      <c r="G196" s="15" t="s">
        <v>111</v>
      </c>
      <c r="H196" s="16">
        <v>480.0</v>
      </c>
      <c r="I196" s="10" t="s">
        <v>38</v>
      </c>
      <c r="J196" s="17">
        <v>24.0</v>
      </c>
      <c r="K196" s="10" t="s">
        <v>41</v>
      </c>
      <c r="L196" s="18">
        <v>3.2</v>
      </c>
      <c r="M196" s="10" t="s">
        <v>44</v>
      </c>
      <c r="N196" s="15" t="str">
        <f t="shared" si="1"/>
        <v>Moderate</v>
      </c>
      <c r="O196" s="12" t="s">
        <v>493</v>
      </c>
      <c r="P196" s="17">
        <v>1.0</v>
      </c>
      <c r="Q196" s="15">
        <f t="shared" si="2"/>
        <v>3</v>
      </c>
      <c r="R196" s="15">
        <f t="shared" si="3"/>
        <v>5</v>
      </c>
      <c r="S196" s="17">
        <v>1.0</v>
      </c>
      <c r="T196" s="17">
        <v>1.0</v>
      </c>
      <c r="U196" s="17">
        <v>3.0</v>
      </c>
      <c r="V196" s="21">
        <f>ROUND((P196*'Business Analysis'!$D$36+Q196*'Business Analysis'!$D$37+R196*'Business Analysis'!$D$38+S196*'Business Analysis'!$D$39+T196*'Business Analysis'!$D$40+U196*'Business Analysis'!$D$41)/5*100,0)</f>
        <v>44</v>
      </c>
      <c r="W196" s="15" t="str">
        <f t="shared" si="4"/>
        <v>Low</v>
      </c>
      <c r="X196" s="12" t="s">
        <v>642</v>
      </c>
      <c r="Y196" s="15" t="s">
        <v>386</v>
      </c>
      <c r="Z196" s="12" t="s">
        <v>157</v>
      </c>
    </row>
    <row r="197" ht="15.75" customHeight="1">
      <c r="A197" s="22" t="s">
        <v>1039</v>
      </c>
      <c r="B197" s="24" t="s">
        <v>356</v>
      </c>
      <c r="C197" s="25" t="s">
        <v>640</v>
      </c>
      <c r="D197" s="25" t="s">
        <v>532</v>
      </c>
      <c r="E197" s="29" t="s">
        <v>356</v>
      </c>
      <c r="F197" s="29" t="s">
        <v>208</v>
      </c>
      <c r="G197" s="29" t="s">
        <v>111</v>
      </c>
      <c r="H197" s="30">
        <v>1900.0</v>
      </c>
      <c r="I197" s="24" t="s">
        <v>38</v>
      </c>
      <c r="J197" s="31">
        <v>40.0</v>
      </c>
      <c r="K197" s="24" t="s">
        <v>41</v>
      </c>
      <c r="L197" s="32">
        <v>4.1</v>
      </c>
      <c r="M197" s="24" t="s">
        <v>44</v>
      </c>
      <c r="N197" s="29" t="str">
        <f t="shared" si="1"/>
        <v>Moderate</v>
      </c>
      <c r="O197" s="25" t="s">
        <v>493</v>
      </c>
      <c r="P197" s="31">
        <v>2.0</v>
      </c>
      <c r="Q197" s="29">
        <f t="shared" si="2"/>
        <v>4</v>
      </c>
      <c r="R197" s="29">
        <f t="shared" si="3"/>
        <v>3</v>
      </c>
      <c r="S197" s="31">
        <v>3.0</v>
      </c>
      <c r="T197" s="31">
        <v>3.0</v>
      </c>
      <c r="U197" s="31">
        <v>3.0</v>
      </c>
      <c r="V197" s="38">
        <f>ROUND((P197*'Business Analysis'!$D$36+Q197*'Business Analysis'!$D$37+R197*'Business Analysis'!$D$38+S197*'Business Analysis'!$D$39+T197*'Business Analysis'!$D$40+U197*'Business Analysis'!$D$41)/5*100,0)</f>
        <v>57</v>
      </c>
      <c r="W197" s="29" t="str">
        <f t="shared" si="4"/>
        <v>Low</v>
      </c>
      <c r="X197" s="25" t="s">
        <v>642</v>
      </c>
      <c r="Y197" s="29" t="s">
        <v>386</v>
      </c>
      <c r="Z197" s="25" t="s">
        <v>157</v>
      </c>
    </row>
    <row r="198" ht="15.75" customHeight="1">
      <c r="A198" s="9" t="s">
        <v>1040</v>
      </c>
      <c r="B198" s="10" t="s">
        <v>412</v>
      </c>
      <c r="C198" s="12" t="s">
        <v>640</v>
      </c>
      <c r="D198" s="12" t="s">
        <v>532</v>
      </c>
      <c r="E198" s="15" t="s">
        <v>412</v>
      </c>
      <c r="F198" s="15" t="s">
        <v>413</v>
      </c>
      <c r="G198" s="15" t="s">
        <v>111</v>
      </c>
      <c r="H198" s="16">
        <v>880.0</v>
      </c>
      <c r="I198" s="10" t="s">
        <v>38</v>
      </c>
      <c r="J198" s="17">
        <v>26.0</v>
      </c>
      <c r="K198" s="10" t="s">
        <v>41</v>
      </c>
      <c r="L198" s="18">
        <v>3.0</v>
      </c>
      <c r="M198" s="10" t="s">
        <v>44</v>
      </c>
      <c r="N198" s="15" t="str">
        <f t="shared" si="1"/>
        <v>Moderate</v>
      </c>
      <c r="O198" s="12" t="s">
        <v>493</v>
      </c>
      <c r="P198" s="17">
        <v>1.0</v>
      </c>
      <c r="Q198" s="15">
        <f t="shared" si="2"/>
        <v>4</v>
      </c>
      <c r="R198" s="15">
        <f t="shared" si="3"/>
        <v>4</v>
      </c>
      <c r="S198" s="17">
        <v>1.0</v>
      </c>
      <c r="T198" s="17">
        <v>1.0</v>
      </c>
      <c r="U198" s="17">
        <v>3.0</v>
      </c>
      <c r="V198" s="21">
        <f>ROUND((P198*'Business Analysis'!$D$36+Q198*'Business Analysis'!$D$37+R198*'Business Analysis'!$D$38+S198*'Business Analysis'!$D$39+T198*'Business Analysis'!$D$40+U198*'Business Analysis'!$D$41)/5*100,0)</f>
        <v>42</v>
      </c>
      <c r="W198" s="15" t="str">
        <f t="shared" si="4"/>
        <v>Low</v>
      </c>
      <c r="X198" s="12" t="s">
        <v>642</v>
      </c>
      <c r="Y198" s="15" t="s">
        <v>386</v>
      </c>
      <c r="Z198" s="12" t="s">
        <v>157</v>
      </c>
    </row>
    <row r="199" ht="15.75" customHeight="1">
      <c r="A199" s="22" t="s">
        <v>1041</v>
      </c>
      <c r="B199" s="24" t="s">
        <v>565</v>
      </c>
      <c r="C199" s="25" t="s">
        <v>640</v>
      </c>
      <c r="D199" s="25" t="s">
        <v>532</v>
      </c>
      <c r="E199" s="29" t="s">
        <v>412</v>
      </c>
      <c r="F199" s="29" t="s">
        <v>413</v>
      </c>
      <c r="G199" s="29" t="s">
        <v>111</v>
      </c>
      <c r="H199" s="30">
        <v>1300.0</v>
      </c>
      <c r="I199" s="24" t="s">
        <v>38</v>
      </c>
      <c r="J199" s="31">
        <v>32.0</v>
      </c>
      <c r="K199" s="24" t="s">
        <v>41</v>
      </c>
      <c r="L199" s="32">
        <v>3.5</v>
      </c>
      <c r="M199" s="24" t="s">
        <v>44</v>
      </c>
      <c r="N199" s="29" t="str">
        <f t="shared" si="1"/>
        <v>Moderate</v>
      </c>
      <c r="O199" s="25" t="s">
        <v>493</v>
      </c>
      <c r="P199" s="31">
        <v>1.0</v>
      </c>
      <c r="Q199" s="29">
        <f t="shared" si="2"/>
        <v>4</v>
      </c>
      <c r="R199" s="29">
        <f t="shared" si="3"/>
        <v>4</v>
      </c>
      <c r="S199" s="31">
        <v>2.0</v>
      </c>
      <c r="T199" s="31">
        <v>1.0</v>
      </c>
      <c r="U199" s="31">
        <v>3.0</v>
      </c>
      <c r="V199" s="38">
        <f>ROUND((P199*'Business Analysis'!$D$36+Q199*'Business Analysis'!$D$37+R199*'Business Analysis'!$D$38+S199*'Business Analysis'!$D$39+T199*'Business Analysis'!$D$40+U199*'Business Analysis'!$D$41)/5*100,0)</f>
        <v>45</v>
      </c>
      <c r="W199" s="29" t="str">
        <f t="shared" si="4"/>
        <v>Low</v>
      </c>
      <c r="X199" s="25" t="s">
        <v>642</v>
      </c>
      <c r="Y199" s="29" t="s">
        <v>386</v>
      </c>
      <c r="Z199" s="25" t="s">
        <v>157</v>
      </c>
    </row>
    <row r="200" ht="15.75" customHeight="1">
      <c r="A200" s="9" t="s">
        <v>541</v>
      </c>
      <c r="B200" s="10" t="s">
        <v>305</v>
      </c>
      <c r="C200" s="12" t="s">
        <v>1042</v>
      </c>
      <c r="D200" s="12" t="s">
        <v>540</v>
      </c>
      <c r="E200" s="15" t="s">
        <v>305</v>
      </c>
      <c r="F200" s="15" t="s">
        <v>35</v>
      </c>
      <c r="G200" s="15" t="s">
        <v>36</v>
      </c>
      <c r="H200" s="16">
        <v>170.0</v>
      </c>
      <c r="I200" s="10" t="s">
        <v>38</v>
      </c>
      <c r="J200" s="17">
        <v>30.0</v>
      </c>
      <c r="K200" s="10" t="s">
        <v>41</v>
      </c>
      <c r="L200" s="18">
        <v>8.1</v>
      </c>
      <c r="M200" s="10" t="s">
        <v>44</v>
      </c>
      <c r="N200" s="15" t="str">
        <f t="shared" si="1"/>
        <v>Moderate</v>
      </c>
      <c r="O200" s="12" t="s">
        <v>314</v>
      </c>
      <c r="P200" s="17">
        <v>4.0</v>
      </c>
      <c r="Q200" s="15">
        <f t="shared" si="2"/>
        <v>2</v>
      </c>
      <c r="R200" s="15">
        <f t="shared" si="3"/>
        <v>4</v>
      </c>
      <c r="S200" s="17">
        <v>5.0</v>
      </c>
      <c r="T200" s="17">
        <v>5.0</v>
      </c>
      <c r="U200" s="17">
        <v>4.0</v>
      </c>
      <c r="V200" s="21">
        <f>ROUND((P200*'Business Analysis'!$D$36+Q200*'Business Analysis'!$D$37+R200*'Business Analysis'!$D$38+S200*'Business Analysis'!$D$39+T200*'Business Analysis'!$D$40+U200*'Business Analysis'!$D$41)/5*100,0)</f>
        <v>83</v>
      </c>
      <c r="W200" s="15" t="str">
        <f t="shared" si="4"/>
        <v>High</v>
      </c>
      <c r="X200" s="12" t="s">
        <v>552</v>
      </c>
      <c r="Y200" s="15" t="s">
        <v>77</v>
      </c>
      <c r="Z200" s="12" t="s">
        <v>1043</v>
      </c>
    </row>
    <row r="201" ht="15.75" customHeight="1">
      <c r="A201" s="22" t="s">
        <v>1044</v>
      </c>
      <c r="B201" s="24" t="s">
        <v>305</v>
      </c>
      <c r="C201" s="25" t="s">
        <v>1042</v>
      </c>
      <c r="D201" s="25" t="s">
        <v>540</v>
      </c>
      <c r="E201" s="29" t="s">
        <v>305</v>
      </c>
      <c r="F201" s="29" t="s">
        <v>35</v>
      </c>
      <c r="G201" s="29" t="s">
        <v>111</v>
      </c>
      <c r="H201" s="30">
        <v>50.0</v>
      </c>
      <c r="I201" s="24" t="s">
        <v>38</v>
      </c>
      <c r="J201" s="31">
        <v>20.0</v>
      </c>
      <c r="K201" s="24" t="s">
        <v>41</v>
      </c>
      <c r="L201" s="32">
        <v>8.6</v>
      </c>
      <c r="M201" s="24" t="s">
        <v>44</v>
      </c>
      <c r="N201" s="29" t="str">
        <f t="shared" si="1"/>
        <v>Low</v>
      </c>
      <c r="O201" s="25" t="s">
        <v>314</v>
      </c>
      <c r="P201" s="31">
        <v>4.0</v>
      </c>
      <c r="Q201" s="29">
        <f t="shared" si="2"/>
        <v>1</v>
      </c>
      <c r="R201" s="29">
        <f t="shared" si="3"/>
        <v>5</v>
      </c>
      <c r="S201" s="31">
        <v>5.0</v>
      </c>
      <c r="T201" s="31">
        <v>5.0</v>
      </c>
      <c r="U201" s="31">
        <v>3.0</v>
      </c>
      <c r="V201" s="38">
        <f>ROUND((P201*'Business Analysis'!$D$36+Q201*'Business Analysis'!$D$37+R201*'Business Analysis'!$D$38+S201*'Business Analysis'!$D$39+T201*'Business Analysis'!$D$40+U201*'Business Analysis'!$D$41)/5*100,0)</f>
        <v>83</v>
      </c>
      <c r="W201" s="29" t="str">
        <f t="shared" si="4"/>
        <v>High</v>
      </c>
      <c r="X201" s="25" t="s">
        <v>552</v>
      </c>
      <c r="Y201" s="29" t="s">
        <v>77</v>
      </c>
      <c r="Z201" s="25" t="s">
        <v>157</v>
      </c>
    </row>
    <row r="202" ht="15.75" customHeight="1">
      <c r="A202" s="9" t="s">
        <v>786</v>
      </c>
      <c r="B202" s="10" t="s">
        <v>305</v>
      </c>
      <c r="C202" s="12" t="s">
        <v>1042</v>
      </c>
      <c r="D202" s="12" t="s">
        <v>540</v>
      </c>
      <c r="E202" s="15" t="s">
        <v>305</v>
      </c>
      <c r="F202" s="15" t="s">
        <v>35</v>
      </c>
      <c r="G202" s="15" t="s">
        <v>111</v>
      </c>
      <c r="H202" s="16">
        <v>40.0</v>
      </c>
      <c r="I202" s="10" t="s">
        <v>38</v>
      </c>
      <c r="J202" s="17">
        <v>15.0</v>
      </c>
      <c r="K202" s="10" t="s">
        <v>41</v>
      </c>
      <c r="L202" s="18">
        <v>7.9</v>
      </c>
      <c r="M202" s="10" t="s">
        <v>44</v>
      </c>
      <c r="N202" s="15" t="str">
        <f t="shared" si="1"/>
        <v>Low</v>
      </c>
      <c r="O202" s="12" t="s">
        <v>314</v>
      </c>
      <c r="P202" s="17">
        <v>4.0</v>
      </c>
      <c r="Q202" s="15">
        <f t="shared" si="2"/>
        <v>1</v>
      </c>
      <c r="R202" s="15">
        <f t="shared" si="3"/>
        <v>5</v>
      </c>
      <c r="S202" s="17">
        <v>5.0</v>
      </c>
      <c r="T202" s="17">
        <v>5.0</v>
      </c>
      <c r="U202" s="17">
        <v>3.0</v>
      </c>
      <c r="V202" s="21">
        <f>ROUND((P202*'Business Analysis'!$D$36+Q202*'Business Analysis'!$D$37+R202*'Business Analysis'!$D$38+S202*'Business Analysis'!$D$39+T202*'Business Analysis'!$D$40+U202*'Business Analysis'!$D$41)/5*100,0)</f>
        <v>83</v>
      </c>
      <c r="W202" s="15" t="str">
        <f t="shared" si="4"/>
        <v>High</v>
      </c>
      <c r="X202" s="12" t="s">
        <v>552</v>
      </c>
      <c r="Y202" s="15" t="s">
        <v>77</v>
      </c>
      <c r="Z202" s="12" t="s">
        <v>157</v>
      </c>
    </row>
    <row r="203" ht="15.75" customHeight="1">
      <c r="A203" s="22" t="s">
        <v>1045</v>
      </c>
      <c r="B203" s="24" t="s">
        <v>305</v>
      </c>
      <c r="C203" s="25" t="s">
        <v>1042</v>
      </c>
      <c r="D203" s="25" t="s">
        <v>540</v>
      </c>
      <c r="E203" s="29" t="s">
        <v>305</v>
      </c>
      <c r="F203" s="29" t="s">
        <v>35</v>
      </c>
      <c r="G203" s="29" t="s">
        <v>111</v>
      </c>
      <c r="H203" s="30">
        <v>40.0</v>
      </c>
      <c r="I203" s="24" t="s">
        <v>38</v>
      </c>
      <c r="J203" s="31">
        <v>18.0</v>
      </c>
      <c r="K203" s="24" t="s">
        <v>41</v>
      </c>
      <c r="L203" s="32">
        <v>8.3</v>
      </c>
      <c r="M203" s="24" t="s">
        <v>44</v>
      </c>
      <c r="N203" s="29" t="str">
        <f t="shared" si="1"/>
        <v>Low</v>
      </c>
      <c r="O203" s="25" t="s">
        <v>314</v>
      </c>
      <c r="P203" s="31">
        <v>4.0</v>
      </c>
      <c r="Q203" s="29">
        <f t="shared" si="2"/>
        <v>1</v>
      </c>
      <c r="R203" s="29">
        <f t="shared" si="3"/>
        <v>5</v>
      </c>
      <c r="S203" s="31">
        <v>5.0</v>
      </c>
      <c r="T203" s="31">
        <v>5.0</v>
      </c>
      <c r="U203" s="31">
        <v>3.0</v>
      </c>
      <c r="V203" s="38">
        <f>ROUND((P203*'Business Analysis'!$D$36+Q203*'Business Analysis'!$D$37+R203*'Business Analysis'!$D$38+S203*'Business Analysis'!$D$39+T203*'Business Analysis'!$D$40+U203*'Business Analysis'!$D$41)/5*100,0)</f>
        <v>83</v>
      </c>
      <c r="W203" s="29" t="str">
        <f t="shared" si="4"/>
        <v>High</v>
      </c>
      <c r="X203" s="25" t="s">
        <v>552</v>
      </c>
      <c r="Y203" s="29" t="s">
        <v>77</v>
      </c>
      <c r="Z203" s="25" t="s">
        <v>157</v>
      </c>
    </row>
    <row r="204" ht="15.75" customHeight="1">
      <c r="A204" s="9" t="s">
        <v>1046</v>
      </c>
      <c r="B204" s="10" t="s">
        <v>356</v>
      </c>
      <c r="C204" s="12" t="s">
        <v>1042</v>
      </c>
      <c r="D204" s="12" t="s">
        <v>540</v>
      </c>
      <c r="E204" s="15" t="s">
        <v>356</v>
      </c>
      <c r="F204" s="15" t="s">
        <v>208</v>
      </c>
      <c r="G204" s="15" t="s">
        <v>111</v>
      </c>
      <c r="H204" s="16">
        <v>260.0</v>
      </c>
      <c r="I204" s="10" t="s">
        <v>38</v>
      </c>
      <c r="J204" s="17">
        <v>38.0</v>
      </c>
      <c r="K204" s="10" t="s">
        <v>41</v>
      </c>
      <c r="L204" s="18">
        <v>7.7</v>
      </c>
      <c r="M204" s="10" t="s">
        <v>44</v>
      </c>
      <c r="N204" s="15" t="str">
        <f t="shared" si="1"/>
        <v>Moderate</v>
      </c>
      <c r="O204" s="12" t="s">
        <v>314</v>
      </c>
      <c r="P204" s="17">
        <v>3.0</v>
      </c>
      <c r="Q204" s="15">
        <f t="shared" si="2"/>
        <v>2</v>
      </c>
      <c r="R204" s="15">
        <f t="shared" si="3"/>
        <v>3</v>
      </c>
      <c r="S204" s="17">
        <v>4.0</v>
      </c>
      <c r="T204" s="17">
        <v>4.0</v>
      </c>
      <c r="U204" s="17">
        <v>3.0</v>
      </c>
      <c r="V204" s="21">
        <f>ROUND((P204*'Business Analysis'!$D$36+Q204*'Business Analysis'!$D$37+R204*'Business Analysis'!$D$38+S204*'Business Analysis'!$D$39+T204*'Business Analysis'!$D$40+U204*'Business Analysis'!$D$41)/5*100,0)</f>
        <v>65</v>
      </c>
      <c r="W204" s="15" t="str">
        <f t="shared" si="4"/>
        <v>Medium</v>
      </c>
      <c r="X204" s="12" t="s">
        <v>552</v>
      </c>
      <c r="Y204" s="15" t="s">
        <v>77</v>
      </c>
      <c r="Z204" s="12" t="s">
        <v>157</v>
      </c>
    </row>
    <row r="205" ht="15.75" customHeight="1">
      <c r="A205" s="22" t="s">
        <v>1047</v>
      </c>
      <c r="B205" s="24" t="s">
        <v>305</v>
      </c>
      <c r="C205" s="25" t="s">
        <v>1042</v>
      </c>
      <c r="D205" s="25" t="s">
        <v>540</v>
      </c>
      <c r="E205" s="29" t="s">
        <v>305</v>
      </c>
      <c r="F205" s="29" t="s">
        <v>35</v>
      </c>
      <c r="G205" s="29" t="s">
        <v>111</v>
      </c>
      <c r="H205" s="30">
        <v>90.0</v>
      </c>
      <c r="I205" s="24" t="s">
        <v>38</v>
      </c>
      <c r="J205" s="31">
        <v>28.0</v>
      </c>
      <c r="K205" s="24" t="s">
        <v>41</v>
      </c>
      <c r="L205" s="32">
        <v>8.0</v>
      </c>
      <c r="M205" s="24" t="s">
        <v>44</v>
      </c>
      <c r="N205" s="29" t="str">
        <f t="shared" si="1"/>
        <v>Moderate</v>
      </c>
      <c r="O205" s="25" t="s">
        <v>314</v>
      </c>
      <c r="P205" s="31">
        <v>4.0</v>
      </c>
      <c r="Q205" s="29">
        <f t="shared" si="2"/>
        <v>1</v>
      </c>
      <c r="R205" s="29">
        <f t="shared" si="3"/>
        <v>4</v>
      </c>
      <c r="S205" s="31">
        <v>5.0</v>
      </c>
      <c r="T205" s="31">
        <v>5.0</v>
      </c>
      <c r="U205" s="31">
        <v>3.0</v>
      </c>
      <c r="V205" s="38">
        <f>ROUND((P205*'Business Analysis'!$D$36+Q205*'Business Analysis'!$D$37+R205*'Business Analysis'!$D$38+S205*'Business Analysis'!$D$39+T205*'Business Analysis'!$D$40+U205*'Business Analysis'!$D$41)/5*100,0)</f>
        <v>79</v>
      </c>
      <c r="W205" s="29" t="str">
        <f t="shared" si="4"/>
        <v>High</v>
      </c>
      <c r="X205" s="25" t="s">
        <v>552</v>
      </c>
      <c r="Y205" s="29" t="s">
        <v>77</v>
      </c>
      <c r="Z205" s="25" t="s">
        <v>157</v>
      </c>
    </row>
    <row r="206" ht="15.75" customHeight="1">
      <c r="A206" s="9" t="s">
        <v>1048</v>
      </c>
      <c r="B206" s="10" t="s">
        <v>412</v>
      </c>
      <c r="C206" s="12" t="s">
        <v>1042</v>
      </c>
      <c r="D206" s="12" t="s">
        <v>540</v>
      </c>
      <c r="E206" s="15" t="s">
        <v>412</v>
      </c>
      <c r="F206" s="15" t="s">
        <v>413</v>
      </c>
      <c r="G206" s="15" t="s">
        <v>111</v>
      </c>
      <c r="H206" s="16">
        <v>880.0</v>
      </c>
      <c r="I206" s="10" t="s">
        <v>38</v>
      </c>
      <c r="J206" s="17">
        <v>30.0</v>
      </c>
      <c r="K206" s="10" t="s">
        <v>41</v>
      </c>
      <c r="L206" s="18">
        <v>1.9</v>
      </c>
      <c r="M206" s="10" t="s">
        <v>44</v>
      </c>
      <c r="N206" s="15" t="str">
        <f t="shared" si="1"/>
        <v>Moderate</v>
      </c>
      <c r="O206" s="12" t="s">
        <v>224</v>
      </c>
      <c r="P206" s="17">
        <v>2.0</v>
      </c>
      <c r="Q206" s="15">
        <f t="shared" si="2"/>
        <v>4</v>
      </c>
      <c r="R206" s="15">
        <f t="shared" si="3"/>
        <v>4</v>
      </c>
      <c r="S206" s="17">
        <v>1.0</v>
      </c>
      <c r="T206" s="17">
        <v>2.0</v>
      </c>
      <c r="U206" s="17">
        <v>3.0</v>
      </c>
      <c r="V206" s="21">
        <f>ROUND((P206*'Business Analysis'!$D$36+Q206*'Business Analysis'!$D$37+R206*'Business Analysis'!$D$38+S206*'Business Analysis'!$D$39+T206*'Business Analysis'!$D$40+U206*'Business Analysis'!$D$41)/5*100,0)</f>
        <v>51</v>
      </c>
      <c r="W206" s="15" t="str">
        <f t="shared" si="4"/>
        <v>Low</v>
      </c>
      <c r="X206" s="12" t="s">
        <v>552</v>
      </c>
      <c r="Y206" s="15" t="s">
        <v>77</v>
      </c>
      <c r="Z206" s="12" t="s">
        <v>157</v>
      </c>
    </row>
    <row r="207" ht="15.75" customHeight="1">
      <c r="A207" s="22" t="s">
        <v>557</v>
      </c>
      <c r="B207" s="24" t="s">
        <v>337</v>
      </c>
      <c r="C207" s="25" t="s">
        <v>1042</v>
      </c>
      <c r="D207" s="25" t="s">
        <v>556</v>
      </c>
      <c r="E207" s="29" t="s">
        <v>305</v>
      </c>
      <c r="F207" s="29" t="s">
        <v>35</v>
      </c>
      <c r="G207" s="29" t="s">
        <v>36</v>
      </c>
      <c r="H207" s="30">
        <v>90.0</v>
      </c>
      <c r="I207" s="24" t="s">
        <v>38</v>
      </c>
      <c r="J207" s="31">
        <v>28.0</v>
      </c>
      <c r="K207" s="24" t="s">
        <v>41</v>
      </c>
      <c r="L207" s="32">
        <v>7.9</v>
      </c>
      <c r="M207" s="24" t="s">
        <v>44</v>
      </c>
      <c r="N207" s="29" t="str">
        <f t="shared" si="1"/>
        <v>Moderate</v>
      </c>
      <c r="O207" s="25" t="s">
        <v>1049</v>
      </c>
      <c r="P207" s="31">
        <v>4.0</v>
      </c>
      <c r="Q207" s="29">
        <f t="shared" si="2"/>
        <v>1</v>
      </c>
      <c r="R207" s="29">
        <f t="shared" si="3"/>
        <v>4</v>
      </c>
      <c r="S207" s="31">
        <v>5.0</v>
      </c>
      <c r="T207" s="31">
        <v>5.0</v>
      </c>
      <c r="U207" s="31">
        <v>4.0</v>
      </c>
      <c r="V207" s="38">
        <f>ROUND((P207*'Business Analysis'!$D$36+Q207*'Business Analysis'!$D$37+R207*'Business Analysis'!$D$38+S207*'Business Analysis'!$D$39+T207*'Business Analysis'!$D$40+U207*'Business Analysis'!$D$41)/5*100,0)</f>
        <v>81</v>
      </c>
      <c r="W207" s="29" t="str">
        <f t="shared" si="4"/>
        <v>High</v>
      </c>
      <c r="X207" s="25" t="s">
        <v>647</v>
      </c>
      <c r="Y207" s="29" t="s">
        <v>386</v>
      </c>
      <c r="Z207" s="25" t="s">
        <v>1050</v>
      </c>
    </row>
    <row r="208" ht="15.75" customHeight="1">
      <c r="A208" s="9" t="s">
        <v>1051</v>
      </c>
      <c r="B208" s="10" t="s">
        <v>337</v>
      </c>
      <c r="C208" s="12" t="s">
        <v>1042</v>
      </c>
      <c r="D208" s="12" t="s">
        <v>556</v>
      </c>
      <c r="E208" s="15" t="s">
        <v>305</v>
      </c>
      <c r="F208" s="15" t="s">
        <v>35</v>
      </c>
      <c r="G208" s="15" t="s">
        <v>111</v>
      </c>
      <c r="H208" s="16">
        <v>40.0</v>
      </c>
      <c r="I208" s="10" t="s">
        <v>38</v>
      </c>
      <c r="J208" s="17">
        <v>20.0</v>
      </c>
      <c r="K208" s="10" t="s">
        <v>41</v>
      </c>
      <c r="L208" s="18">
        <v>7.6</v>
      </c>
      <c r="M208" s="10" t="s">
        <v>44</v>
      </c>
      <c r="N208" s="15" t="str">
        <f t="shared" si="1"/>
        <v>Low</v>
      </c>
      <c r="O208" s="12" t="s">
        <v>1049</v>
      </c>
      <c r="P208" s="17">
        <v>4.0</v>
      </c>
      <c r="Q208" s="15">
        <f t="shared" si="2"/>
        <v>1</v>
      </c>
      <c r="R208" s="15">
        <f t="shared" si="3"/>
        <v>5</v>
      </c>
      <c r="S208" s="17">
        <v>5.0</v>
      </c>
      <c r="T208" s="17">
        <v>5.0</v>
      </c>
      <c r="U208" s="17">
        <v>3.0</v>
      </c>
      <c r="V208" s="21">
        <f>ROUND((P208*'Business Analysis'!$D$36+Q208*'Business Analysis'!$D$37+R208*'Business Analysis'!$D$38+S208*'Business Analysis'!$D$39+T208*'Business Analysis'!$D$40+U208*'Business Analysis'!$D$41)/5*100,0)</f>
        <v>83</v>
      </c>
      <c r="W208" s="15" t="str">
        <f t="shared" si="4"/>
        <v>High</v>
      </c>
      <c r="X208" s="12" t="s">
        <v>647</v>
      </c>
      <c r="Y208" s="15" t="s">
        <v>386</v>
      </c>
      <c r="Z208" s="12" t="s">
        <v>157</v>
      </c>
    </row>
    <row r="209" ht="15.75" customHeight="1">
      <c r="A209" s="22" t="s">
        <v>1052</v>
      </c>
      <c r="B209" s="24" t="s">
        <v>337</v>
      </c>
      <c r="C209" s="25" t="s">
        <v>1042</v>
      </c>
      <c r="D209" s="25" t="s">
        <v>556</v>
      </c>
      <c r="E209" s="29" t="s">
        <v>305</v>
      </c>
      <c r="F209" s="29" t="s">
        <v>35</v>
      </c>
      <c r="G209" s="29" t="s">
        <v>111</v>
      </c>
      <c r="H209" s="30">
        <v>110.0</v>
      </c>
      <c r="I209" s="24" t="s">
        <v>38</v>
      </c>
      <c r="J209" s="31">
        <v>33.0</v>
      </c>
      <c r="K209" s="24" t="s">
        <v>41</v>
      </c>
      <c r="L209" s="32">
        <v>7.7</v>
      </c>
      <c r="M209" s="24" t="s">
        <v>44</v>
      </c>
      <c r="N209" s="29" t="str">
        <f t="shared" si="1"/>
        <v>Moderate</v>
      </c>
      <c r="O209" s="25" t="s">
        <v>1049</v>
      </c>
      <c r="P209" s="31">
        <v>4.0</v>
      </c>
      <c r="Q209" s="29">
        <f t="shared" si="2"/>
        <v>2</v>
      </c>
      <c r="R209" s="29">
        <f t="shared" si="3"/>
        <v>4</v>
      </c>
      <c r="S209" s="31">
        <v>5.0</v>
      </c>
      <c r="T209" s="31">
        <v>5.0</v>
      </c>
      <c r="U209" s="31">
        <v>3.0</v>
      </c>
      <c r="V209" s="38">
        <f>ROUND((P209*'Business Analysis'!$D$36+Q209*'Business Analysis'!$D$37+R209*'Business Analysis'!$D$38+S209*'Business Analysis'!$D$39+T209*'Business Analysis'!$D$40+U209*'Business Analysis'!$D$41)/5*100,0)</f>
        <v>81</v>
      </c>
      <c r="W209" s="29" t="str">
        <f t="shared" si="4"/>
        <v>High</v>
      </c>
      <c r="X209" s="25" t="s">
        <v>647</v>
      </c>
      <c r="Y209" s="29" t="s">
        <v>386</v>
      </c>
      <c r="Z209" s="25" t="s">
        <v>157</v>
      </c>
    </row>
    <row r="210" ht="15.75" customHeight="1">
      <c r="A210" s="9" t="s">
        <v>567</v>
      </c>
      <c r="B210" s="10" t="s">
        <v>337</v>
      </c>
      <c r="C210" s="12" t="s">
        <v>1042</v>
      </c>
      <c r="D210" s="12" t="s">
        <v>566</v>
      </c>
      <c r="E210" s="15" t="s">
        <v>305</v>
      </c>
      <c r="F210" s="15" t="s">
        <v>35</v>
      </c>
      <c r="G210" s="15" t="s">
        <v>36</v>
      </c>
      <c r="H210" s="16">
        <v>70.0</v>
      </c>
      <c r="I210" s="10" t="s">
        <v>38</v>
      </c>
      <c r="J210" s="17">
        <v>22.0</v>
      </c>
      <c r="K210" s="10" t="s">
        <v>41</v>
      </c>
      <c r="L210" s="18">
        <v>7.4</v>
      </c>
      <c r="M210" s="10" t="s">
        <v>44</v>
      </c>
      <c r="N210" s="15" t="str">
        <f t="shared" si="1"/>
        <v>Moderate</v>
      </c>
      <c r="O210" s="12" t="s">
        <v>1049</v>
      </c>
      <c r="P210" s="17">
        <v>3.0</v>
      </c>
      <c r="Q210" s="15">
        <f t="shared" si="2"/>
        <v>1</v>
      </c>
      <c r="R210" s="15">
        <f t="shared" si="3"/>
        <v>5</v>
      </c>
      <c r="S210" s="17">
        <v>5.0</v>
      </c>
      <c r="T210" s="17">
        <v>5.0</v>
      </c>
      <c r="U210" s="17">
        <v>3.0</v>
      </c>
      <c r="V210" s="21">
        <f>ROUND((P210*'Business Analysis'!$D$36+Q210*'Business Analysis'!$D$37+R210*'Business Analysis'!$D$38+S210*'Business Analysis'!$D$39+T210*'Business Analysis'!$D$40+U210*'Business Analysis'!$D$41)/5*100,0)</f>
        <v>78</v>
      </c>
      <c r="W210" s="15" t="str">
        <f t="shared" si="4"/>
        <v>High</v>
      </c>
      <c r="X210" s="12" t="s">
        <v>649</v>
      </c>
      <c r="Y210" s="15" t="s">
        <v>386</v>
      </c>
      <c r="Z210" s="12" t="s">
        <v>1053</v>
      </c>
    </row>
    <row r="211" ht="15.75" customHeight="1">
      <c r="A211" s="22" t="s">
        <v>1054</v>
      </c>
      <c r="B211" s="24" t="s">
        <v>337</v>
      </c>
      <c r="C211" s="25" t="s">
        <v>1042</v>
      </c>
      <c r="D211" s="25" t="s">
        <v>566</v>
      </c>
      <c r="E211" s="29" t="s">
        <v>305</v>
      </c>
      <c r="F211" s="29" t="s">
        <v>35</v>
      </c>
      <c r="G211" s="29" t="s">
        <v>111</v>
      </c>
      <c r="H211" s="30">
        <v>30.0</v>
      </c>
      <c r="I211" s="24" t="s">
        <v>38</v>
      </c>
      <c r="J211" s="31">
        <v>18.0</v>
      </c>
      <c r="K211" s="24" t="s">
        <v>41</v>
      </c>
      <c r="L211" s="32">
        <v>7.2</v>
      </c>
      <c r="M211" s="24" t="s">
        <v>44</v>
      </c>
      <c r="N211" s="29" t="str">
        <f t="shared" si="1"/>
        <v>Low</v>
      </c>
      <c r="O211" s="25" t="s">
        <v>1049</v>
      </c>
      <c r="P211" s="31">
        <v>3.0</v>
      </c>
      <c r="Q211" s="29">
        <f t="shared" si="2"/>
        <v>1</v>
      </c>
      <c r="R211" s="29">
        <f t="shared" si="3"/>
        <v>5</v>
      </c>
      <c r="S211" s="31">
        <v>5.0</v>
      </c>
      <c r="T211" s="31">
        <v>5.0</v>
      </c>
      <c r="U211" s="31">
        <v>2.0</v>
      </c>
      <c r="V211" s="38">
        <f>ROUND((P211*'Business Analysis'!$D$36+Q211*'Business Analysis'!$D$37+R211*'Business Analysis'!$D$38+S211*'Business Analysis'!$D$39+T211*'Business Analysis'!$D$40+U211*'Business Analysis'!$D$41)/5*100,0)</f>
        <v>76</v>
      </c>
      <c r="W211" s="29" t="str">
        <f t="shared" si="4"/>
        <v>High</v>
      </c>
      <c r="X211" s="25" t="s">
        <v>649</v>
      </c>
      <c r="Y211" s="29" t="s">
        <v>386</v>
      </c>
      <c r="Z211" s="25" t="s">
        <v>157</v>
      </c>
    </row>
    <row r="212" ht="15.75" customHeight="1">
      <c r="A212" s="9" t="s">
        <v>1055</v>
      </c>
      <c r="B212" s="10" t="s">
        <v>337</v>
      </c>
      <c r="C212" s="12" t="s">
        <v>1042</v>
      </c>
      <c r="D212" s="12" t="s">
        <v>566</v>
      </c>
      <c r="E212" s="15" t="s">
        <v>305</v>
      </c>
      <c r="F212" s="15" t="s">
        <v>35</v>
      </c>
      <c r="G212" s="15" t="s">
        <v>111</v>
      </c>
      <c r="H212" s="16">
        <v>20.0</v>
      </c>
      <c r="I212" s="10" t="s">
        <v>38</v>
      </c>
      <c r="J212" s="17">
        <v>15.0</v>
      </c>
      <c r="K212" s="10" t="s">
        <v>41</v>
      </c>
      <c r="L212" s="18">
        <v>7.3</v>
      </c>
      <c r="M212" s="10" t="s">
        <v>44</v>
      </c>
      <c r="N212" s="15" t="str">
        <f t="shared" si="1"/>
        <v>Low</v>
      </c>
      <c r="O212" s="12" t="s">
        <v>1049</v>
      </c>
      <c r="P212" s="17">
        <v>3.0</v>
      </c>
      <c r="Q212" s="15">
        <f t="shared" si="2"/>
        <v>1</v>
      </c>
      <c r="R212" s="15">
        <f t="shared" si="3"/>
        <v>5</v>
      </c>
      <c r="S212" s="17">
        <v>5.0</v>
      </c>
      <c r="T212" s="17">
        <v>5.0</v>
      </c>
      <c r="U212" s="17">
        <v>2.0</v>
      </c>
      <c r="V212" s="21">
        <f>ROUND((P212*'Business Analysis'!$D$36+Q212*'Business Analysis'!$D$37+R212*'Business Analysis'!$D$38+S212*'Business Analysis'!$D$39+T212*'Business Analysis'!$D$40+U212*'Business Analysis'!$D$41)/5*100,0)</f>
        <v>76</v>
      </c>
      <c r="W212" s="15" t="str">
        <f t="shared" si="4"/>
        <v>High</v>
      </c>
      <c r="X212" s="12" t="s">
        <v>649</v>
      </c>
      <c r="Y212" s="15" t="s">
        <v>386</v>
      </c>
      <c r="Z212" s="12" t="s">
        <v>157</v>
      </c>
    </row>
    <row r="213" ht="15.75" customHeight="1">
      <c r="A213" s="22" t="s">
        <v>575</v>
      </c>
      <c r="B213" s="24" t="s">
        <v>337</v>
      </c>
      <c r="C213" s="25" t="s">
        <v>1042</v>
      </c>
      <c r="D213" s="25" t="s">
        <v>574</v>
      </c>
      <c r="E213" s="29" t="s">
        <v>305</v>
      </c>
      <c r="F213" s="29" t="s">
        <v>35</v>
      </c>
      <c r="G213" s="29" t="s">
        <v>36</v>
      </c>
      <c r="H213" s="30">
        <v>480.0</v>
      </c>
      <c r="I213" s="24" t="s">
        <v>38</v>
      </c>
      <c r="J213" s="31">
        <v>44.0</v>
      </c>
      <c r="K213" s="24" t="s">
        <v>41</v>
      </c>
      <c r="L213" s="32">
        <v>8.1</v>
      </c>
      <c r="M213" s="24" t="s">
        <v>44</v>
      </c>
      <c r="N213" s="29" t="str">
        <f t="shared" si="1"/>
        <v>Competitive</v>
      </c>
      <c r="O213" s="25" t="s">
        <v>1049</v>
      </c>
      <c r="P213" s="31">
        <v>3.0</v>
      </c>
      <c r="Q213" s="29">
        <f t="shared" si="2"/>
        <v>3</v>
      </c>
      <c r="R213" s="29">
        <f t="shared" si="3"/>
        <v>3</v>
      </c>
      <c r="S213" s="31">
        <v>5.0</v>
      </c>
      <c r="T213" s="31">
        <v>5.0</v>
      </c>
      <c r="U213" s="31">
        <v>3.0</v>
      </c>
      <c r="V213" s="38">
        <f>ROUND((P213*'Business Analysis'!$D$36+Q213*'Business Analysis'!$D$37+R213*'Business Analysis'!$D$38+S213*'Business Analysis'!$D$39+T213*'Business Analysis'!$D$40+U213*'Business Analysis'!$D$41)/5*100,0)</f>
        <v>74</v>
      </c>
      <c r="W213" s="29" t="str">
        <f t="shared" si="4"/>
        <v>Medium</v>
      </c>
      <c r="X213" s="25" t="s">
        <v>651</v>
      </c>
      <c r="Y213" s="29" t="s">
        <v>386</v>
      </c>
      <c r="Z213" s="25" t="s">
        <v>1056</v>
      </c>
    </row>
    <row r="214" ht="15.75" customHeight="1">
      <c r="A214" s="9" t="s">
        <v>1057</v>
      </c>
      <c r="B214" s="10" t="s">
        <v>337</v>
      </c>
      <c r="C214" s="12" t="s">
        <v>1042</v>
      </c>
      <c r="D214" s="12" t="s">
        <v>574</v>
      </c>
      <c r="E214" s="15" t="s">
        <v>305</v>
      </c>
      <c r="F214" s="15" t="s">
        <v>35</v>
      </c>
      <c r="G214" s="15" t="s">
        <v>111</v>
      </c>
      <c r="H214" s="16">
        <v>90.0</v>
      </c>
      <c r="I214" s="10" t="s">
        <v>38</v>
      </c>
      <c r="J214" s="17">
        <v>32.0</v>
      </c>
      <c r="K214" s="10" t="s">
        <v>41</v>
      </c>
      <c r="L214" s="18">
        <v>7.6</v>
      </c>
      <c r="M214" s="10" t="s">
        <v>44</v>
      </c>
      <c r="N214" s="15" t="str">
        <f t="shared" si="1"/>
        <v>Moderate</v>
      </c>
      <c r="O214" s="12" t="s">
        <v>1049</v>
      </c>
      <c r="P214" s="17">
        <v>3.0</v>
      </c>
      <c r="Q214" s="15">
        <f t="shared" si="2"/>
        <v>1</v>
      </c>
      <c r="R214" s="15">
        <f t="shared" si="3"/>
        <v>4</v>
      </c>
      <c r="S214" s="17">
        <v>5.0</v>
      </c>
      <c r="T214" s="17">
        <v>5.0</v>
      </c>
      <c r="U214" s="17">
        <v>2.0</v>
      </c>
      <c r="V214" s="21">
        <f>ROUND((P214*'Business Analysis'!$D$36+Q214*'Business Analysis'!$D$37+R214*'Business Analysis'!$D$38+S214*'Business Analysis'!$D$39+T214*'Business Analysis'!$D$40+U214*'Business Analysis'!$D$41)/5*100,0)</f>
        <v>72</v>
      </c>
      <c r="W214" s="15" t="str">
        <f t="shared" si="4"/>
        <v>Medium</v>
      </c>
      <c r="X214" s="12" t="s">
        <v>651</v>
      </c>
      <c r="Y214" s="15" t="s">
        <v>386</v>
      </c>
      <c r="Z214" s="12" t="s">
        <v>157</v>
      </c>
    </row>
    <row r="215" ht="15.75" customHeight="1">
      <c r="A215" s="22" t="s">
        <v>1058</v>
      </c>
      <c r="B215" s="24" t="s">
        <v>337</v>
      </c>
      <c r="C215" s="25" t="s">
        <v>1042</v>
      </c>
      <c r="D215" s="25" t="s">
        <v>574</v>
      </c>
      <c r="E215" s="29" t="s">
        <v>305</v>
      </c>
      <c r="F215" s="29" t="s">
        <v>35</v>
      </c>
      <c r="G215" s="29" t="s">
        <v>111</v>
      </c>
      <c r="H215" s="30">
        <v>90.0</v>
      </c>
      <c r="I215" s="24" t="s">
        <v>38</v>
      </c>
      <c r="J215" s="31">
        <v>30.0</v>
      </c>
      <c r="K215" s="24" t="s">
        <v>41</v>
      </c>
      <c r="L215" s="32">
        <v>13.1</v>
      </c>
      <c r="M215" s="24" t="s">
        <v>44</v>
      </c>
      <c r="N215" s="29" t="str">
        <f t="shared" si="1"/>
        <v>Moderate</v>
      </c>
      <c r="O215" s="25" t="s">
        <v>1049</v>
      </c>
      <c r="P215" s="31">
        <v>3.0</v>
      </c>
      <c r="Q215" s="29">
        <f t="shared" si="2"/>
        <v>1</v>
      </c>
      <c r="R215" s="29">
        <f t="shared" si="3"/>
        <v>4</v>
      </c>
      <c r="S215" s="31">
        <v>5.0</v>
      </c>
      <c r="T215" s="31">
        <v>5.0</v>
      </c>
      <c r="U215" s="31">
        <v>2.0</v>
      </c>
      <c r="V215" s="38">
        <f>ROUND((P215*'Business Analysis'!$D$36+Q215*'Business Analysis'!$D$37+R215*'Business Analysis'!$D$38+S215*'Business Analysis'!$D$39+T215*'Business Analysis'!$D$40+U215*'Business Analysis'!$D$41)/5*100,0)</f>
        <v>72</v>
      </c>
      <c r="W215" s="29" t="str">
        <f t="shared" si="4"/>
        <v>Medium</v>
      </c>
      <c r="X215" s="25" t="s">
        <v>651</v>
      </c>
      <c r="Y215" s="29" t="s">
        <v>386</v>
      </c>
      <c r="Z215" s="25" t="s">
        <v>157</v>
      </c>
    </row>
    <row r="216" ht="15.75" customHeight="1">
      <c r="A216" s="9" t="s">
        <v>582</v>
      </c>
      <c r="B216" s="10" t="s">
        <v>299</v>
      </c>
      <c r="C216" s="12" t="s">
        <v>694</v>
      </c>
      <c r="D216" s="12" t="s">
        <v>581</v>
      </c>
      <c r="E216" s="15" t="s">
        <v>305</v>
      </c>
      <c r="F216" s="15" t="s">
        <v>35</v>
      </c>
      <c r="G216" s="15" t="s">
        <v>36</v>
      </c>
      <c r="H216" s="16">
        <v>70.0</v>
      </c>
      <c r="I216" s="10" t="s">
        <v>38</v>
      </c>
      <c r="J216" s="17">
        <v>26.0</v>
      </c>
      <c r="K216" s="10" t="s">
        <v>41</v>
      </c>
      <c r="L216" s="18">
        <v>9.4</v>
      </c>
      <c r="M216" s="10" t="s">
        <v>44</v>
      </c>
      <c r="N216" s="15" t="str">
        <f t="shared" si="1"/>
        <v>Moderate</v>
      </c>
      <c r="O216" s="12" t="s">
        <v>314</v>
      </c>
      <c r="P216" s="17">
        <v>4.0</v>
      </c>
      <c r="Q216" s="15">
        <f t="shared" si="2"/>
        <v>1</v>
      </c>
      <c r="R216" s="15">
        <f t="shared" si="3"/>
        <v>4</v>
      </c>
      <c r="S216" s="17">
        <v>5.0</v>
      </c>
      <c r="T216" s="17">
        <v>5.0</v>
      </c>
      <c r="U216" s="17">
        <v>5.0</v>
      </c>
      <c r="V216" s="21">
        <f>ROUND((P216*'Business Analysis'!$D$36+Q216*'Business Analysis'!$D$37+R216*'Business Analysis'!$D$38+S216*'Business Analysis'!$D$39+T216*'Business Analysis'!$D$40+U216*'Business Analysis'!$D$41)/5*100,0)</f>
        <v>83</v>
      </c>
      <c r="W216" s="15" t="str">
        <f t="shared" si="4"/>
        <v>High</v>
      </c>
      <c r="X216" s="12" t="s">
        <v>654</v>
      </c>
      <c r="Y216" s="15" t="s">
        <v>386</v>
      </c>
      <c r="Z216" s="12" t="s">
        <v>1059</v>
      </c>
    </row>
    <row r="217" ht="15.75" customHeight="1">
      <c r="A217" s="22" t="s">
        <v>1060</v>
      </c>
      <c r="B217" s="24" t="s">
        <v>299</v>
      </c>
      <c r="C217" s="25" t="s">
        <v>694</v>
      </c>
      <c r="D217" s="25" t="s">
        <v>581</v>
      </c>
      <c r="E217" s="29" t="s">
        <v>305</v>
      </c>
      <c r="F217" s="29" t="s">
        <v>35</v>
      </c>
      <c r="G217" s="29" t="s">
        <v>111</v>
      </c>
      <c r="H217" s="30">
        <v>40.0</v>
      </c>
      <c r="I217" s="24" t="s">
        <v>38</v>
      </c>
      <c r="J217" s="31">
        <v>24.0</v>
      </c>
      <c r="K217" s="24" t="s">
        <v>41</v>
      </c>
      <c r="L217" s="32">
        <v>9.2</v>
      </c>
      <c r="M217" s="24" t="s">
        <v>44</v>
      </c>
      <c r="N217" s="29" t="str">
        <f t="shared" si="1"/>
        <v>Moderate</v>
      </c>
      <c r="O217" s="25" t="s">
        <v>314</v>
      </c>
      <c r="P217" s="31">
        <v>4.0</v>
      </c>
      <c r="Q217" s="29">
        <f t="shared" si="2"/>
        <v>1</v>
      </c>
      <c r="R217" s="29">
        <f t="shared" si="3"/>
        <v>5</v>
      </c>
      <c r="S217" s="31">
        <v>5.0</v>
      </c>
      <c r="T217" s="31">
        <v>5.0</v>
      </c>
      <c r="U217" s="31">
        <v>4.0</v>
      </c>
      <c r="V217" s="38">
        <f>ROUND((P217*'Business Analysis'!$D$36+Q217*'Business Analysis'!$D$37+R217*'Business Analysis'!$D$38+S217*'Business Analysis'!$D$39+T217*'Business Analysis'!$D$40+U217*'Business Analysis'!$D$41)/5*100,0)</f>
        <v>85</v>
      </c>
      <c r="W217" s="29" t="str">
        <f t="shared" si="4"/>
        <v>High</v>
      </c>
      <c r="X217" s="25" t="s">
        <v>654</v>
      </c>
      <c r="Y217" s="29" t="s">
        <v>386</v>
      </c>
      <c r="Z217" s="25" t="s">
        <v>157</v>
      </c>
    </row>
    <row r="218" ht="15.75" customHeight="1">
      <c r="A218" s="9" t="s">
        <v>1061</v>
      </c>
      <c r="B218" s="10" t="s">
        <v>299</v>
      </c>
      <c r="C218" s="12" t="s">
        <v>694</v>
      </c>
      <c r="D218" s="12" t="s">
        <v>581</v>
      </c>
      <c r="E218" s="15" t="s">
        <v>305</v>
      </c>
      <c r="F218" s="15" t="s">
        <v>35</v>
      </c>
      <c r="G218" s="15" t="s">
        <v>111</v>
      </c>
      <c r="H218" s="16">
        <v>30.0</v>
      </c>
      <c r="I218" s="10" t="s">
        <v>38</v>
      </c>
      <c r="J218" s="17">
        <v>20.0</v>
      </c>
      <c r="K218" s="10" t="s">
        <v>41</v>
      </c>
      <c r="L218" s="18">
        <v>8.9</v>
      </c>
      <c r="M218" s="10" t="s">
        <v>44</v>
      </c>
      <c r="N218" s="15" t="str">
        <f t="shared" si="1"/>
        <v>Low</v>
      </c>
      <c r="O218" s="12" t="s">
        <v>314</v>
      </c>
      <c r="P218" s="17">
        <v>4.0</v>
      </c>
      <c r="Q218" s="15">
        <f t="shared" si="2"/>
        <v>1</v>
      </c>
      <c r="R218" s="15">
        <f t="shared" si="3"/>
        <v>5</v>
      </c>
      <c r="S218" s="17">
        <v>5.0</v>
      </c>
      <c r="T218" s="17">
        <v>5.0</v>
      </c>
      <c r="U218" s="17">
        <v>4.0</v>
      </c>
      <c r="V218" s="21">
        <f>ROUND((P218*'Business Analysis'!$D$36+Q218*'Business Analysis'!$D$37+R218*'Business Analysis'!$D$38+S218*'Business Analysis'!$D$39+T218*'Business Analysis'!$D$40+U218*'Business Analysis'!$D$41)/5*100,0)</f>
        <v>85</v>
      </c>
      <c r="W218" s="15" t="str">
        <f t="shared" si="4"/>
        <v>High</v>
      </c>
      <c r="X218" s="12" t="s">
        <v>654</v>
      </c>
      <c r="Y218" s="15" t="s">
        <v>386</v>
      </c>
      <c r="Z218" s="12" t="s">
        <v>157</v>
      </c>
    </row>
    <row r="219" ht="15.75" customHeight="1">
      <c r="A219" s="22" t="s">
        <v>1062</v>
      </c>
      <c r="B219" s="24" t="s">
        <v>412</v>
      </c>
      <c r="C219" s="25" t="s">
        <v>694</v>
      </c>
      <c r="D219" s="25" t="s">
        <v>581</v>
      </c>
      <c r="E219" s="29" t="s">
        <v>412</v>
      </c>
      <c r="F219" s="29" t="s">
        <v>413</v>
      </c>
      <c r="G219" s="29" t="s">
        <v>111</v>
      </c>
      <c r="H219" s="30">
        <v>2400.0</v>
      </c>
      <c r="I219" s="24" t="s">
        <v>38</v>
      </c>
      <c r="J219" s="31">
        <v>36.0</v>
      </c>
      <c r="K219" s="24" t="s">
        <v>41</v>
      </c>
      <c r="L219" s="32">
        <v>2.6</v>
      </c>
      <c r="M219" s="24" t="s">
        <v>44</v>
      </c>
      <c r="N219" s="29" t="str">
        <f t="shared" si="1"/>
        <v>Moderate</v>
      </c>
      <c r="O219" s="25" t="s">
        <v>224</v>
      </c>
      <c r="P219" s="31">
        <v>2.0</v>
      </c>
      <c r="Q219" s="29">
        <f t="shared" si="2"/>
        <v>5</v>
      </c>
      <c r="R219" s="29">
        <f t="shared" si="3"/>
        <v>3</v>
      </c>
      <c r="S219" s="31">
        <v>1.0</v>
      </c>
      <c r="T219" s="31">
        <v>2.0</v>
      </c>
      <c r="U219" s="31">
        <v>4.0</v>
      </c>
      <c r="V219" s="38">
        <f>ROUND((P219*'Business Analysis'!$D$36+Q219*'Business Analysis'!$D$37+R219*'Business Analysis'!$D$38+S219*'Business Analysis'!$D$39+T219*'Business Analysis'!$D$40+U219*'Business Analysis'!$D$41)/5*100,0)</f>
        <v>51</v>
      </c>
      <c r="W219" s="29" t="str">
        <f t="shared" si="4"/>
        <v>Low</v>
      </c>
      <c r="X219" s="25" t="s">
        <v>654</v>
      </c>
      <c r="Y219" s="29" t="s">
        <v>386</v>
      </c>
      <c r="Z219" s="25" t="s">
        <v>157</v>
      </c>
    </row>
    <row r="220" ht="15.75" customHeight="1">
      <c r="A220" s="9" t="s">
        <v>588</v>
      </c>
      <c r="B220" s="10" t="s">
        <v>356</v>
      </c>
      <c r="C220" s="12" t="s">
        <v>1042</v>
      </c>
      <c r="D220" s="12" t="s">
        <v>587</v>
      </c>
      <c r="E220" s="15" t="s">
        <v>356</v>
      </c>
      <c r="F220" s="15" t="s">
        <v>208</v>
      </c>
      <c r="G220" s="15" t="s">
        <v>36</v>
      </c>
      <c r="H220" s="16">
        <v>30.0</v>
      </c>
      <c r="I220" s="10" t="s">
        <v>38</v>
      </c>
      <c r="J220" s="17">
        <v>12.0</v>
      </c>
      <c r="K220" s="10" t="s">
        <v>41</v>
      </c>
      <c r="L220" s="18">
        <v>11.5</v>
      </c>
      <c r="M220" s="10" t="s">
        <v>44</v>
      </c>
      <c r="N220" s="15" t="str">
        <f t="shared" si="1"/>
        <v>Low</v>
      </c>
      <c r="O220" s="12" t="s">
        <v>598</v>
      </c>
      <c r="P220" s="17">
        <v>4.0</v>
      </c>
      <c r="Q220" s="15">
        <f t="shared" si="2"/>
        <v>1</v>
      </c>
      <c r="R220" s="15">
        <f t="shared" si="3"/>
        <v>5</v>
      </c>
      <c r="S220" s="17">
        <v>4.0</v>
      </c>
      <c r="T220" s="17">
        <v>4.0</v>
      </c>
      <c r="U220" s="17">
        <v>5.0</v>
      </c>
      <c r="V220" s="21">
        <f>ROUND((P220*'Business Analysis'!$D$36+Q220*'Business Analysis'!$D$37+R220*'Business Analysis'!$D$38+S220*'Business Analysis'!$D$39+T220*'Business Analysis'!$D$40+U220*'Business Analysis'!$D$41)/5*100,0)</f>
        <v>80</v>
      </c>
      <c r="W220" s="15" t="str">
        <f t="shared" si="4"/>
        <v>High</v>
      </c>
      <c r="X220" s="12" t="s">
        <v>656</v>
      </c>
      <c r="Y220" s="15" t="s">
        <v>386</v>
      </c>
      <c r="Z220" s="12" t="s">
        <v>1063</v>
      </c>
    </row>
    <row r="221" ht="15.75" customHeight="1">
      <c r="A221" s="22" t="s">
        <v>850</v>
      </c>
      <c r="B221" s="24" t="s">
        <v>305</v>
      </c>
      <c r="C221" s="25" t="s">
        <v>1042</v>
      </c>
      <c r="D221" s="25" t="s">
        <v>587</v>
      </c>
      <c r="E221" s="29" t="s">
        <v>305</v>
      </c>
      <c r="F221" s="29" t="s">
        <v>35</v>
      </c>
      <c r="G221" s="29" t="s">
        <v>111</v>
      </c>
      <c r="H221" s="30">
        <v>30.0</v>
      </c>
      <c r="I221" s="24" t="s">
        <v>38</v>
      </c>
      <c r="J221" s="31">
        <v>11.0</v>
      </c>
      <c r="K221" s="24" t="s">
        <v>41</v>
      </c>
      <c r="L221" s="32">
        <v>12.9</v>
      </c>
      <c r="M221" s="24" t="s">
        <v>44</v>
      </c>
      <c r="N221" s="29" t="str">
        <f t="shared" si="1"/>
        <v>Low</v>
      </c>
      <c r="O221" s="25" t="s">
        <v>598</v>
      </c>
      <c r="P221" s="31">
        <v>5.0</v>
      </c>
      <c r="Q221" s="29">
        <f t="shared" si="2"/>
        <v>1</v>
      </c>
      <c r="R221" s="29">
        <f t="shared" si="3"/>
        <v>5</v>
      </c>
      <c r="S221" s="31">
        <v>5.0</v>
      </c>
      <c r="T221" s="31">
        <v>5.0</v>
      </c>
      <c r="U221" s="31">
        <v>4.0</v>
      </c>
      <c r="V221" s="38">
        <f>ROUND((P221*'Business Analysis'!$D$36+Q221*'Business Analysis'!$D$37+R221*'Business Analysis'!$D$38+S221*'Business Analysis'!$D$39+T221*'Business Analysis'!$D$40+U221*'Business Analysis'!$D$41)/5*100,0)</f>
        <v>90</v>
      </c>
      <c r="W221" s="29" t="str">
        <f t="shared" si="4"/>
        <v>Critical</v>
      </c>
      <c r="X221" s="25" t="s">
        <v>656</v>
      </c>
      <c r="Y221" s="29" t="s">
        <v>386</v>
      </c>
      <c r="Z221" s="25" t="s">
        <v>157</v>
      </c>
    </row>
    <row r="222" ht="15.75" customHeight="1">
      <c r="A222" s="9" t="s">
        <v>1064</v>
      </c>
      <c r="B222" s="10" t="s">
        <v>356</v>
      </c>
      <c r="C222" s="12" t="s">
        <v>1042</v>
      </c>
      <c r="D222" s="12" t="s">
        <v>587</v>
      </c>
      <c r="E222" s="15" t="s">
        <v>356</v>
      </c>
      <c r="F222" s="15" t="s">
        <v>208</v>
      </c>
      <c r="G222" s="15" t="s">
        <v>111</v>
      </c>
      <c r="H222" s="16">
        <v>20.0</v>
      </c>
      <c r="I222" s="10" t="s">
        <v>38</v>
      </c>
      <c r="J222" s="17">
        <v>10.0</v>
      </c>
      <c r="K222" s="10" t="s">
        <v>41</v>
      </c>
      <c r="L222" s="18">
        <v>11.2</v>
      </c>
      <c r="M222" s="10" t="s">
        <v>44</v>
      </c>
      <c r="N222" s="15" t="str">
        <f t="shared" si="1"/>
        <v>Low</v>
      </c>
      <c r="O222" s="12" t="s">
        <v>598</v>
      </c>
      <c r="P222" s="17">
        <v>4.0</v>
      </c>
      <c r="Q222" s="15">
        <f t="shared" si="2"/>
        <v>1</v>
      </c>
      <c r="R222" s="15">
        <f t="shared" si="3"/>
        <v>5</v>
      </c>
      <c r="S222" s="17">
        <v>4.0</v>
      </c>
      <c r="T222" s="17">
        <v>4.0</v>
      </c>
      <c r="U222" s="17">
        <v>4.0</v>
      </c>
      <c r="V222" s="21">
        <f>ROUND((P222*'Business Analysis'!$D$36+Q222*'Business Analysis'!$D$37+R222*'Business Analysis'!$D$38+S222*'Business Analysis'!$D$39+T222*'Business Analysis'!$D$40+U222*'Business Analysis'!$D$41)/5*100,0)</f>
        <v>78</v>
      </c>
      <c r="W222" s="15" t="str">
        <f t="shared" si="4"/>
        <v>High</v>
      </c>
      <c r="X222" s="12" t="s">
        <v>656</v>
      </c>
      <c r="Y222" s="15" t="s">
        <v>386</v>
      </c>
      <c r="Z222" s="12" t="s">
        <v>157</v>
      </c>
    </row>
    <row r="223" ht="15.75" customHeight="1">
      <c r="A223" s="22" t="s">
        <v>1065</v>
      </c>
      <c r="B223" s="24" t="s">
        <v>421</v>
      </c>
      <c r="C223" s="25" t="s">
        <v>1042</v>
      </c>
      <c r="D223" s="25" t="s">
        <v>587</v>
      </c>
      <c r="E223" s="29" t="s">
        <v>356</v>
      </c>
      <c r="F223" s="29" t="s">
        <v>208</v>
      </c>
      <c r="G223" s="29" t="s">
        <v>111</v>
      </c>
      <c r="H223" s="30">
        <v>20.0</v>
      </c>
      <c r="I223" s="24" t="s">
        <v>38</v>
      </c>
      <c r="J223" s="31">
        <v>9.0</v>
      </c>
      <c r="K223" s="24" t="s">
        <v>41</v>
      </c>
      <c r="L223" s="32">
        <v>4.1</v>
      </c>
      <c r="M223" s="24" t="s">
        <v>44</v>
      </c>
      <c r="N223" s="29" t="str">
        <f t="shared" si="1"/>
        <v>Low</v>
      </c>
      <c r="O223" s="25" t="s">
        <v>224</v>
      </c>
      <c r="P223" s="31">
        <v>4.0</v>
      </c>
      <c r="Q223" s="29">
        <f t="shared" si="2"/>
        <v>1</v>
      </c>
      <c r="R223" s="29">
        <f t="shared" si="3"/>
        <v>5</v>
      </c>
      <c r="S223" s="31">
        <v>3.0</v>
      </c>
      <c r="T223" s="31">
        <v>3.0</v>
      </c>
      <c r="U223" s="31">
        <v>4.0</v>
      </c>
      <c r="V223" s="38">
        <f>ROUND((P223*'Business Analysis'!$D$36+Q223*'Business Analysis'!$D$37+R223*'Business Analysis'!$D$38+S223*'Business Analysis'!$D$39+T223*'Business Analysis'!$D$40+U223*'Business Analysis'!$D$41)/5*100,0)</f>
        <v>71</v>
      </c>
      <c r="W223" s="29" t="str">
        <f t="shared" si="4"/>
        <v>Medium</v>
      </c>
      <c r="X223" s="25" t="s">
        <v>656</v>
      </c>
      <c r="Y223" s="29" t="s">
        <v>386</v>
      </c>
      <c r="Z223" s="25" t="s">
        <v>157</v>
      </c>
    </row>
    <row r="224" ht="15.75" customHeight="1">
      <c r="A224" s="9" t="s">
        <v>1066</v>
      </c>
      <c r="B224" s="10" t="s">
        <v>356</v>
      </c>
      <c r="C224" s="12" t="s">
        <v>1042</v>
      </c>
      <c r="D224" s="12" t="s">
        <v>587</v>
      </c>
      <c r="E224" s="15" t="s">
        <v>356</v>
      </c>
      <c r="F224" s="15" t="s">
        <v>208</v>
      </c>
      <c r="G224" s="15" t="s">
        <v>111</v>
      </c>
      <c r="H224" s="16">
        <v>40.0</v>
      </c>
      <c r="I224" s="10" t="s">
        <v>38</v>
      </c>
      <c r="J224" s="17">
        <v>18.0</v>
      </c>
      <c r="K224" s="10" t="s">
        <v>41</v>
      </c>
      <c r="L224" s="18">
        <v>10.8</v>
      </c>
      <c r="M224" s="10" t="s">
        <v>44</v>
      </c>
      <c r="N224" s="15" t="str">
        <f t="shared" si="1"/>
        <v>Low</v>
      </c>
      <c r="O224" s="12" t="s">
        <v>598</v>
      </c>
      <c r="P224" s="17">
        <v>4.0</v>
      </c>
      <c r="Q224" s="15">
        <f t="shared" si="2"/>
        <v>1</v>
      </c>
      <c r="R224" s="15">
        <f t="shared" si="3"/>
        <v>5</v>
      </c>
      <c r="S224" s="17">
        <v>4.0</v>
      </c>
      <c r="T224" s="17">
        <v>4.0</v>
      </c>
      <c r="U224" s="17">
        <v>4.0</v>
      </c>
      <c r="V224" s="21">
        <f>ROUND((P224*'Business Analysis'!$D$36+Q224*'Business Analysis'!$D$37+R224*'Business Analysis'!$D$38+S224*'Business Analysis'!$D$39+T224*'Business Analysis'!$D$40+U224*'Business Analysis'!$D$41)/5*100,0)</f>
        <v>78</v>
      </c>
      <c r="W224" s="15" t="str">
        <f t="shared" si="4"/>
        <v>High</v>
      </c>
      <c r="X224" s="12" t="s">
        <v>656</v>
      </c>
      <c r="Y224" s="15" t="s">
        <v>386</v>
      </c>
      <c r="Z224" s="12" t="s">
        <v>157</v>
      </c>
    </row>
    <row r="225" ht="15.75" customHeight="1">
      <c r="A225" s="22" t="s">
        <v>1067</v>
      </c>
      <c r="B225" s="24" t="s">
        <v>412</v>
      </c>
      <c r="C225" s="25" t="s">
        <v>1042</v>
      </c>
      <c r="D225" s="25" t="s">
        <v>587</v>
      </c>
      <c r="E225" s="29" t="s">
        <v>412</v>
      </c>
      <c r="F225" s="29" t="s">
        <v>413</v>
      </c>
      <c r="G225" s="29" t="s">
        <v>111</v>
      </c>
      <c r="H225" s="30">
        <v>90.0</v>
      </c>
      <c r="I225" s="24" t="s">
        <v>38</v>
      </c>
      <c r="J225" s="31">
        <v>14.0</v>
      </c>
      <c r="K225" s="24" t="s">
        <v>41</v>
      </c>
      <c r="L225" s="32">
        <v>2.1</v>
      </c>
      <c r="M225" s="24" t="s">
        <v>44</v>
      </c>
      <c r="N225" s="29" t="str">
        <f t="shared" si="1"/>
        <v>Low</v>
      </c>
      <c r="O225" s="25" t="s">
        <v>224</v>
      </c>
      <c r="P225" s="31">
        <v>3.0</v>
      </c>
      <c r="Q225" s="29">
        <f t="shared" si="2"/>
        <v>1</v>
      </c>
      <c r="R225" s="29">
        <f t="shared" si="3"/>
        <v>5</v>
      </c>
      <c r="S225" s="31">
        <v>1.0</v>
      </c>
      <c r="T225" s="31">
        <v>2.0</v>
      </c>
      <c r="U225" s="31">
        <v>4.0</v>
      </c>
      <c r="V225" s="38">
        <f>ROUND((P225*'Business Analysis'!$D$36+Q225*'Business Analysis'!$D$37+R225*'Business Analysis'!$D$38+S225*'Business Analysis'!$D$39+T225*'Business Analysis'!$D$40+U225*'Business Analysis'!$D$41)/5*100,0)</f>
        <v>56</v>
      </c>
      <c r="W225" s="29" t="str">
        <f t="shared" si="4"/>
        <v>Low</v>
      </c>
      <c r="X225" s="25" t="s">
        <v>656</v>
      </c>
      <c r="Y225" s="29" t="s">
        <v>386</v>
      </c>
      <c r="Z225" s="25" t="s">
        <v>157</v>
      </c>
    </row>
    <row r="226" ht="15.75" customHeight="1">
      <c r="A226" s="9" t="s">
        <v>1068</v>
      </c>
      <c r="B226" s="10" t="s">
        <v>398</v>
      </c>
      <c r="C226" s="12" t="s">
        <v>1042</v>
      </c>
      <c r="D226" s="12" t="s">
        <v>587</v>
      </c>
      <c r="E226" s="15" t="s">
        <v>356</v>
      </c>
      <c r="F226" s="15" t="s">
        <v>208</v>
      </c>
      <c r="G226" s="15" t="s">
        <v>111</v>
      </c>
      <c r="H226" s="16">
        <v>70.0</v>
      </c>
      <c r="I226" s="10" t="s">
        <v>38</v>
      </c>
      <c r="J226" s="17">
        <v>18.0</v>
      </c>
      <c r="K226" s="10" t="s">
        <v>41</v>
      </c>
      <c r="L226" s="18">
        <v>4.2</v>
      </c>
      <c r="M226" s="10" t="s">
        <v>44</v>
      </c>
      <c r="N226" s="15" t="str">
        <f t="shared" si="1"/>
        <v>Low</v>
      </c>
      <c r="O226" s="12" t="s">
        <v>598</v>
      </c>
      <c r="P226" s="17">
        <v>4.0</v>
      </c>
      <c r="Q226" s="15">
        <f t="shared" si="2"/>
        <v>1</v>
      </c>
      <c r="R226" s="15">
        <f t="shared" si="3"/>
        <v>5</v>
      </c>
      <c r="S226" s="17">
        <v>4.0</v>
      </c>
      <c r="T226" s="17">
        <v>4.0</v>
      </c>
      <c r="U226" s="17">
        <v>4.0</v>
      </c>
      <c r="V226" s="21">
        <f>ROUND((P226*'Business Analysis'!$D$36+Q226*'Business Analysis'!$D$37+R226*'Business Analysis'!$D$38+S226*'Business Analysis'!$D$39+T226*'Business Analysis'!$D$40+U226*'Business Analysis'!$D$41)/5*100,0)</f>
        <v>78</v>
      </c>
      <c r="W226" s="15" t="str">
        <f t="shared" si="4"/>
        <v>High</v>
      </c>
      <c r="X226" s="12" t="s">
        <v>656</v>
      </c>
      <c r="Y226" s="15" t="s">
        <v>386</v>
      </c>
      <c r="Z226" s="12" t="s">
        <v>157</v>
      </c>
    </row>
    <row r="227" ht="15.75" customHeight="1">
      <c r="A227" s="22" t="s">
        <v>1069</v>
      </c>
      <c r="B227" s="24" t="s">
        <v>412</v>
      </c>
      <c r="C227" s="25" t="s">
        <v>1042</v>
      </c>
      <c r="D227" s="25" t="s">
        <v>587</v>
      </c>
      <c r="E227" s="29" t="s">
        <v>412</v>
      </c>
      <c r="F227" s="29" t="s">
        <v>413</v>
      </c>
      <c r="G227" s="29" t="s">
        <v>111</v>
      </c>
      <c r="H227" s="30">
        <v>30.0</v>
      </c>
      <c r="I227" s="24" t="s">
        <v>38</v>
      </c>
      <c r="J227" s="31">
        <v>8.0</v>
      </c>
      <c r="K227" s="24" t="s">
        <v>41</v>
      </c>
      <c r="L227" s="32">
        <v>2.0</v>
      </c>
      <c r="M227" s="24" t="s">
        <v>44</v>
      </c>
      <c r="N227" s="29" t="str">
        <f t="shared" si="1"/>
        <v>Low</v>
      </c>
      <c r="O227" s="25" t="s">
        <v>224</v>
      </c>
      <c r="P227" s="31">
        <v>3.0</v>
      </c>
      <c r="Q227" s="29">
        <f t="shared" si="2"/>
        <v>1</v>
      </c>
      <c r="R227" s="29">
        <f t="shared" si="3"/>
        <v>5</v>
      </c>
      <c r="S227" s="31">
        <v>1.0</v>
      </c>
      <c r="T227" s="31">
        <v>2.0</v>
      </c>
      <c r="U227" s="31">
        <v>4.0</v>
      </c>
      <c r="V227" s="38">
        <f>ROUND((P227*'Business Analysis'!$D$36+Q227*'Business Analysis'!$D$37+R227*'Business Analysis'!$D$38+S227*'Business Analysis'!$D$39+T227*'Business Analysis'!$D$40+U227*'Business Analysis'!$D$41)/5*100,0)</f>
        <v>56</v>
      </c>
      <c r="W227" s="29" t="str">
        <f t="shared" si="4"/>
        <v>Low</v>
      </c>
      <c r="X227" s="25" t="s">
        <v>656</v>
      </c>
      <c r="Y227" s="29" t="s">
        <v>386</v>
      </c>
      <c r="Z227" s="25" t="s">
        <v>157</v>
      </c>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W2:W227">
    <cfRule type="cellIs" dxfId="3" priority="1" operator="equal">
      <formula>"Critical"</formula>
    </cfRule>
  </conditionalFormatting>
  <conditionalFormatting sqref="W2:W227">
    <cfRule type="cellIs" dxfId="4" priority="2" operator="equal">
      <formula>"High"</formula>
    </cfRule>
  </conditionalFormatting>
  <conditionalFormatting sqref="W2:W227">
    <cfRule type="cellIs" dxfId="6" priority="3" operator="equal">
      <formula>"Medium"</formula>
    </cfRule>
  </conditionalFormatting>
  <conditionalFormatting sqref="W2:W227">
    <cfRule type="cellIs" dxfId="7" priority="4" operator="equal">
      <formula>"Low"</formula>
    </cfRule>
  </conditionalFormatting>
  <conditionalFormatting sqref="W2:W227">
    <cfRule type="cellIs" dxfId="8" priority="5" operator="equal">
      <formula>"Optional"</formula>
    </cfRule>
  </conditionalFormatting>
  <conditionalFormatting sqref="V2:V227">
    <cfRule type="colorScale" priority="6">
      <colorScale>
        <cfvo type="formula" val="30"/>
        <cfvo type="formula" val="100"/>
        <color rgb="FFFFFFFF"/>
        <color rgb="FFE4C75A"/>
      </colorScale>
    </cfRule>
  </conditionalFormatting>
  <conditionalFormatting sqref="N2:N227">
    <cfRule type="cellIs" dxfId="9" priority="7" operator="equal">
      <formula>"Very Competitive"</formula>
    </cfRule>
  </conditionalFormatting>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2.0"/>
    <col customWidth="1" min="2" max="2" width="38.43"/>
    <col customWidth="1" min="3" max="3" width="59.86"/>
    <col customWidth="1" min="4" max="4" width="51.57"/>
    <col customWidth="1" min="5" max="5" width="44.0"/>
    <col customWidth="1" min="6" max="6" width="12.0"/>
    <col customWidth="1" min="7" max="7" width="7.29"/>
    <col customWidth="1" min="8" max="8" width="43.86"/>
    <col customWidth="1" min="9" max="9" width="20.43"/>
    <col customWidth="1" min="10" max="10" width="9.86"/>
    <col customWidth="1" min="11" max="11" width="9.29"/>
    <col customWidth="1" min="12" max="26" width="8.71"/>
  </cols>
  <sheetData>
    <row r="1">
      <c r="A1" s="2" t="s">
        <v>50</v>
      </c>
      <c r="B1" s="2" t="s">
        <v>51</v>
      </c>
      <c r="C1" s="2" t="s">
        <v>52</v>
      </c>
      <c r="D1" s="2" t="s">
        <v>53</v>
      </c>
      <c r="E1" s="2" t="s">
        <v>54</v>
      </c>
      <c r="F1" s="2" t="s">
        <v>55</v>
      </c>
      <c r="G1" s="2" t="s">
        <v>6</v>
      </c>
      <c r="H1" s="2" t="s">
        <v>57</v>
      </c>
      <c r="I1" s="2" t="s">
        <v>58</v>
      </c>
      <c r="J1" s="2" t="s">
        <v>59</v>
      </c>
      <c r="K1" s="2" t="s">
        <v>60</v>
      </c>
    </row>
    <row r="2">
      <c r="A2" s="19" t="s">
        <v>32</v>
      </c>
      <c r="B2" s="12" t="s">
        <v>29</v>
      </c>
      <c r="C2" s="12" t="s">
        <v>61</v>
      </c>
      <c r="D2" s="12" t="s">
        <v>62</v>
      </c>
      <c r="E2" s="12" t="s">
        <v>63</v>
      </c>
      <c r="F2" s="20" t="str">
        <f t="array" ref="F2">INDEX('Keyword Master Database'!$E$2:$E$227,MATCH(B2,'Keyword Master Database'!$A$2:$A$227,0))</f>
        <v>Navigational</v>
      </c>
      <c r="G2" s="20" t="str">
        <f t="array" ref="G2">INDEX('Keyword Master Database'!$F$2:$F$227,MATCH(B2,'Keyword Master Database'!$A$2:$A$227,0))</f>
        <v>BOFU</v>
      </c>
      <c r="H2" s="12" t="s">
        <v>68</v>
      </c>
      <c r="I2" s="12" t="s">
        <v>69</v>
      </c>
      <c r="J2" s="20">
        <f>COUNTIF('Keyword Master Database'!$D$2:$D$227,A2)</f>
        <v>7</v>
      </c>
      <c r="K2" s="23">
        <f>SUMIF('Keyword Master Database'!$D$2:$D$227,A2,'Keyword Master Database'!$H$2:$H$227)</f>
        <v>280</v>
      </c>
    </row>
    <row r="3">
      <c r="A3" s="28" t="s">
        <v>94</v>
      </c>
      <c r="B3" s="25" t="s">
        <v>97</v>
      </c>
      <c r="C3" s="25" t="s">
        <v>99</v>
      </c>
      <c r="D3" s="25" t="s">
        <v>100</v>
      </c>
      <c r="E3" s="25" t="s">
        <v>101</v>
      </c>
      <c r="F3" s="27" t="str">
        <f t="array" ref="F3">INDEX('Keyword Master Database'!$E$2:$E$227,MATCH(B3,'Keyword Master Database'!$A$2:$A$227,0))</f>
        <v>Navigational</v>
      </c>
      <c r="G3" s="27" t="str">
        <f t="array" ref="G3">INDEX('Keyword Master Database'!$F$2:$F$227,MATCH(B3,'Keyword Master Database'!$A$2:$A$227,0))</f>
        <v>MOFU</v>
      </c>
      <c r="H3" s="25" t="s">
        <v>124</v>
      </c>
      <c r="I3" s="25" t="s">
        <v>126</v>
      </c>
      <c r="J3" s="27">
        <f>COUNTIF('Keyword Master Database'!$D$2:$D$227,A3)</f>
        <v>3</v>
      </c>
      <c r="K3" s="34">
        <f>SUMIF('Keyword Master Database'!$D$2:$D$227,A3,'Keyword Master Database'!$H$2:$H$227)</f>
        <v>80</v>
      </c>
    </row>
    <row r="4">
      <c r="A4" s="19" t="s">
        <v>136</v>
      </c>
      <c r="B4" s="12" t="s">
        <v>137</v>
      </c>
      <c r="C4" s="12" t="s">
        <v>138</v>
      </c>
      <c r="D4" s="12" t="s">
        <v>100</v>
      </c>
      <c r="E4" s="12" t="s">
        <v>141</v>
      </c>
      <c r="F4" s="20" t="str">
        <f t="array" ref="F4">INDEX('Keyword Master Database'!$E$2:$E$227,MATCH(B4,'Keyword Master Database'!$A$2:$A$227,0))</f>
        <v>Navigational</v>
      </c>
      <c r="G4" s="20" t="str">
        <f t="array" ref="G4">INDEX('Keyword Master Database'!$F$2:$F$227,MATCH(B4,'Keyword Master Database'!$A$2:$A$227,0))</f>
        <v>MOFU</v>
      </c>
      <c r="H4" s="12" t="s">
        <v>156</v>
      </c>
      <c r="I4" s="12" t="s">
        <v>126</v>
      </c>
      <c r="J4" s="20">
        <f>COUNTIF('Keyword Master Database'!$D$2:$D$227,A4)</f>
        <v>3</v>
      </c>
      <c r="K4" s="23">
        <f>SUMIF('Keyword Master Database'!$D$2:$D$227,A4,'Keyword Master Database'!$H$2:$H$227)</f>
        <v>80</v>
      </c>
    </row>
    <row r="5">
      <c r="A5" s="28" t="s">
        <v>159</v>
      </c>
      <c r="B5" s="25" t="s">
        <v>160</v>
      </c>
      <c r="C5" s="25" t="s">
        <v>162</v>
      </c>
      <c r="D5" s="25" t="s">
        <v>163</v>
      </c>
      <c r="E5" s="25" t="s">
        <v>164</v>
      </c>
      <c r="F5" s="27" t="str">
        <f t="array" ref="F5">INDEX('Keyword Master Database'!$E$2:$E$227,MATCH(B5,'Keyword Master Database'!$A$2:$A$227,0))</f>
        <v>Transactional</v>
      </c>
      <c r="G5" s="27" t="str">
        <f t="array" ref="G5">INDEX('Keyword Master Database'!$F$2:$F$227,MATCH(B5,'Keyword Master Database'!$A$2:$A$227,0))</f>
        <v>BOFU</v>
      </c>
      <c r="H5" s="25" t="s">
        <v>68</v>
      </c>
      <c r="I5" s="25" t="s">
        <v>69</v>
      </c>
      <c r="J5" s="27">
        <f>COUNTIF('Keyword Master Database'!$D$2:$D$227,A5)</f>
        <v>10</v>
      </c>
      <c r="K5" s="34">
        <f>SUMIF('Keyword Master Database'!$D$2:$D$227,A5,'Keyword Master Database'!$H$2:$H$227)</f>
        <v>5370</v>
      </c>
    </row>
    <row r="6">
      <c r="A6" s="19" t="s">
        <v>180</v>
      </c>
      <c r="B6" s="12" t="s">
        <v>181</v>
      </c>
      <c r="C6" s="12" t="s">
        <v>182</v>
      </c>
      <c r="D6" s="12" t="s">
        <v>183</v>
      </c>
      <c r="E6" s="12" t="s">
        <v>184</v>
      </c>
      <c r="F6" s="20" t="str">
        <f t="array" ref="F6">INDEX('Keyword Master Database'!$E$2:$E$227,MATCH(B6,'Keyword Master Database'!$A$2:$A$227,0))</f>
        <v>Transactional</v>
      </c>
      <c r="G6" s="20" t="str">
        <f t="array" ref="G6">INDEX('Keyword Master Database'!$F$2:$F$227,MATCH(B6,'Keyword Master Database'!$A$2:$A$227,0))</f>
        <v>BOFU</v>
      </c>
      <c r="H6" s="12" t="s">
        <v>189</v>
      </c>
      <c r="I6" s="12" t="s">
        <v>190</v>
      </c>
      <c r="J6" s="20">
        <f>COUNTIF('Keyword Master Database'!$D$2:$D$227,A6)</f>
        <v>6</v>
      </c>
      <c r="K6" s="23">
        <f>SUMIF('Keyword Master Database'!$D$2:$D$227,A6,'Keyword Master Database'!$H$2:$H$227)</f>
        <v>2290</v>
      </c>
    </row>
    <row r="7">
      <c r="A7" s="28" t="s">
        <v>194</v>
      </c>
      <c r="B7" s="25" t="s">
        <v>195</v>
      </c>
      <c r="C7" s="25" t="s">
        <v>196</v>
      </c>
      <c r="D7" s="25" t="s">
        <v>197</v>
      </c>
      <c r="E7" s="25" t="s">
        <v>198</v>
      </c>
      <c r="F7" s="27" t="str">
        <f t="array" ref="F7">INDEX('Keyword Master Database'!$E$2:$E$227,MATCH(B7,'Keyword Master Database'!$A$2:$A$227,0))</f>
        <v>Transactional</v>
      </c>
      <c r="G7" s="27" t="str">
        <f t="array" ref="G7">INDEX('Keyword Master Database'!$F$2:$F$227,MATCH(B7,'Keyword Master Database'!$A$2:$A$227,0))</f>
        <v>BOFU</v>
      </c>
      <c r="H7" s="25" t="s">
        <v>200</v>
      </c>
      <c r="I7" s="25" t="s">
        <v>201</v>
      </c>
      <c r="J7" s="27">
        <f>COUNTIF('Keyword Master Database'!$D$2:$D$227,A7)</f>
        <v>7</v>
      </c>
      <c r="K7" s="34">
        <f>SUMIF('Keyword Master Database'!$D$2:$D$227,A7,'Keyword Master Database'!$H$2:$H$227)</f>
        <v>9480</v>
      </c>
    </row>
    <row r="8">
      <c r="A8" s="19" t="s">
        <v>202</v>
      </c>
      <c r="B8" s="12" t="s">
        <v>203</v>
      </c>
      <c r="C8" s="12" t="s">
        <v>204</v>
      </c>
      <c r="D8" s="12" t="s">
        <v>205</v>
      </c>
      <c r="E8" s="12" t="s">
        <v>206</v>
      </c>
      <c r="F8" s="20" t="str">
        <f t="array" ref="F8">INDEX('Keyword Master Database'!$E$2:$E$227,MATCH(B8,'Keyword Master Database'!$A$2:$A$227,0))</f>
        <v>Transactional</v>
      </c>
      <c r="G8" s="20" t="str">
        <f t="array" ref="G8">INDEX('Keyword Master Database'!$F$2:$F$227,MATCH(B8,'Keyword Master Database'!$A$2:$A$227,0))</f>
        <v>BOFU</v>
      </c>
      <c r="H8" s="12" t="s">
        <v>209</v>
      </c>
      <c r="I8" s="12" t="s">
        <v>201</v>
      </c>
      <c r="J8" s="20">
        <f>COUNTIF('Keyword Master Database'!$D$2:$D$227,A8)</f>
        <v>4</v>
      </c>
      <c r="K8" s="23">
        <f>SUMIF('Keyword Master Database'!$D$2:$D$227,A8,'Keyword Master Database'!$H$2:$H$227)</f>
        <v>2270</v>
      </c>
    </row>
    <row r="9">
      <c r="A9" s="28" t="s">
        <v>210</v>
      </c>
      <c r="B9" s="25" t="s">
        <v>211</v>
      </c>
      <c r="C9" s="25" t="s">
        <v>212</v>
      </c>
      <c r="D9" s="25" t="s">
        <v>213</v>
      </c>
      <c r="E9" s="25" t="s">
        <v>214</v>
      </c>
      <c r="F9" s="27" t="str">
        <f t="array" ref="F9">INDEX('Keyword Master Database'!$E$2:$E$227,MATCH(B9,'Keyword Master Database'!$A$2:$A$227,0))</f>
        <v>Transactional</v>
      </c>
      <c r="G9" s="27" t="str">
        <f t="array" ref="G9">INDEX('Keyword Master Database'!$F$2:$F$227,MATCH(B9,'Keyword Master Database'!$A$2:$A$227,0))</f>
        <v>BOFU</v>
      </c>
      <c r="H9" s="25" t="s">
        <v>216</v>
      </c>
      <c r="I9" s="25" t="s">
        <v>201</v>
      </c>
      <c r="J9" s="27">
        <f>COUNTIF('Keyword Master Database'!$D$2:$D$227,A9)</f>
        <v>8</v>
      </c>
      <c r="K9" s="34">
        <f>SUMIF('Keyword Master Database'!$D$2:$D$227,A9,'Keyword Master Database'!$H$2:$H$227)</f>
        <v>7370</v>
      </c>
    </row>
    <row r="10">
      <c r="A10" s="19" t="s">
        <v>218</v>
      </c>
      <c r="B10" s="12" t="s">
        <v>219</v>
      </c>
      <c r="C10" s="12" t="s">
        <v>220</v>
      </c>
      <c r="D10" s="12" t="s">
        <v>100</v>
      </c>
      <c r="E10" s="12" t="s">
        <v>221</v>
      </c>
      <c r="F10" s="20" t="str">
        <f t="array" ref="F10">INDEX('Keyword Master Database'!$E$2:$E$227,MATCH(B10,'Keyword Master Database'!$A$2:$A$227,0))</f>
        <v>Transactional</v>
      </c>
      <c r="G10" s="20" t="str">
        <f t="array" ref="G10">INDEX('Keyword Master Database'!$F$2:$F$227,MATCH(B10,'Keyword Master Database'!$A$2:$A$227,0))</f>
        <v>BOFU</v>
      </c>
      <c r="H10" s="12" t="s">
        <v>222</v>
      </c>
      <c r="I10" s="12" t="s">
        <v>223</v>
      </c>
      <c r="J10" s="20">
        <f>COUNTIF('Keyword Master Database'!$D$2:$D$227,A10)</f>
        <v>8</v>
      </c>
      <c r="K10" s="23">
        <f>SUMIF('Keyword Master Database'!$D$2:$D$227,A10,'Keyword Master Database'!$H$2:$H$227)</f>
        <v>1330</v>
      </c>
    </row>
    <row r="11">
      <c r="A11" s="28" t="s">
        <v>225</v>
      </c>
      <c r="B11" s="25" t="s">
        <v>226</v>
      </c>
      <c r="C11" s="25" t="s">
        <v>227</v>
      </c>
      <c r="D11" s="25" t="s">
        <v>228</v>
      </c>
      <c r="E11" s="25" t="s">
        <v>229</v>
      </c>
      <c r="F11" s="27" t="str">
        <f t="array" ref="F11">INDEX('Keyword Master Database'!$E$2:$E$227,MATCH(B11,'Keyword Master Database'!$A$2:$A$227,0))</f>
        <v>Transactional</v>
      </c>
      <c r="G11" s="27" t="str">
        <f t="array" ref="G11">INDEX('Keyword Master Database'!$F$2:$F$227,MATCH(B11,'Keyword Master Database'!$A$2:$A$227,0))</f>
        <v>BOFU</v>
      </c>
      <c r="H11" s="25" t="s">
        <v>230</v>
      </c>
      <c r="I11" s="25" t="s">
        <v>231</v>
      </c>
      <c r="J11" s="27">
        <f>COUNTIF('Keyword Master Database'!$D$2:$D$227,A11)</f>
        <v>8</v>
      </c>
      <c r="K11" s="34">
        <f>SUMIF('Keyword Master Database'!$D$2:$D$227,A11,'Keyword Master Database'!$H$2:$H$227)</f>
        <v>25040</v>
      </c>
    </row>
    <row r="12">
      <c r="A12" s="19" t="s">
        <v>234</v>
      </c>
      <c r="B12" s="12" t="s">
        <v>235</v>
      </c>
      <c r="C12" s="12" t="s">
        <v>236</v>
      </c>
      <c r="D12" s="12" t="s">
        <v>237</v>
      </c>
      <c r="E12" s="12" t="s">
        <v>238</v>
      </c>
      <c r="F12" s="20" t="str">
        <f t="array" ref="F12">INDEX('Keyword Master Database'!$E$2:$E$227,MATCH(B12,'Keyword Master Database'!$A$2:$A$227,0))</f>
        <v>Informational</v>
      </c>
      <c r="G12" s="20" t="str">
        <f t="array" ref="G12">INDEX('Keyword Master Database'!$F$2:$F$227,MATCH(B12,'Keyword Master Database'!$A$2:$A$227,0))</f>
        <v>TOFU</v>
      </c>
      <c r="H12" s="12" t="s">
        <v>240</v>
      </c>
      <c r="I12" s="12" t="s">
        <v>241</v>
      </c>
      <c r="J12" s="20">
        <f>COUNTIF('Keyword Master Database'!$D$2:$D$227,A12)</f>
        <v>8</v>
      </c>
      <c r="K12" s="23">
        <f>SUMIF('Keyword Master Database'!$D$2:$D$227,A12,'Keyword Master Database'!$H$2:$H$227)</f>
        <v>28150</v>
      </c>
    </row>
    <row r="13">
      <c r="A13" s="28" t="s">
        <v>243</v>
      </c>
      <c r="B13" s="25" t="s">
        <v>244</v>
      </c>
      <c r="C13" s="25" t="s">
        <v>245</v>
      </c>
      <c r="D13" s="25" t="s">
        <v>246</v>
      </c>
      <c r="E13" s="25" t="s">
        <v>247</v>
      </c>
      <c r="F13" s="27" t="str">
        <f t="array" ref="F13">INDEX('Keyword Master Database'!$E$2:$E$227,MATCH(B13,'Keyword Master Database'!$A$2:$A$227,0))</f>
        <v>Informational</v>
      </c>
      <c r="G13" s="27" t="str">
        <f t="array" ref="G13">INDEX('Keyword Master Database'!$F$2:$F$227,MATCH(B13,'Keyword Master Database'!$A$2:$A$227,0))</f>
        <v>TOFU</v>
      </c>
      <c r="H13" s="25" t="s">
        <v>248</v>
      </c>
      <c r="I13" s="25" t="s">
        <v>241</v>
      </c>
      <c r="J13" s="27">
        <f>COUNTIF('Keyword Master Database'!$D$2:$D$227,A13)</f>
        <v>5</v>
      </c>
      <c r="K13" s="34">
        <f>SUMIF('Keyword Master Database'!$D$2:$D$227,A13,'Keyword Master Database'!$H$2:$H$227)</f>
        <v>7920</v>
      </c>
    </row>
    <row r="14">
      <c r="A14" s="19" t="s">
        <v>249</v>
      </c>
      <c r="B14" s="12" t="s">
        <v>250</v>
      </c>
      <c r="C14" s="12" t="s">
        <v>251</v>
      </c>
      <c r="D14" s="12" t="s">
        <v>252</v>
      </c>
      <c r="E14" s="12" t="s">
        <v>253</v>
      </c>
      <c r="F14" s="20" t="str">
        <f t="array" ref="F14">INDEX('Keyword Master Database'!$E$2:$E$227,MATCH(B14,'Keyword Master Database'!$A$2:$A$227,0))</f>
        <v>Commercial</v>
      </c>
      <c r="G14" s="20" t="str">
        <f t="array" ref="G14">INDEX('Keyword Master Database'!$F$2:$F$227,MATCH(B14,'Keyword Master Database'!$A$2:$A$227,0))</f>
        <v>MOFU</v>
      </c>
      <c r="H14" s="12" t="s">
        <v>280</v>
      </c>
      <c r="I14" s="12" t="s">
        <v>282</v>
      </c>
      <c r="J14" s="20">
        <f>COUNTIF('Keyword Master Database'!$D$2:$D$227,A14)</f>
        <v>8</v>
      </c>
      <c r="K14" s="23">
        <f>SUMIF('Keyword Master Database'!$D$2:$D$227,A14,'Keyword Master Database'!$H$2:$H$227)</f>
        <v>16330</v>
      </c>
    </row>
    <row r="15">
      <c r="A15" s="28" t="s">
        <v>298</v>
      </c>
      <c r="B15" s="25" t="s">
        <v>301</v>
      </c>
      <c r="C15" s="25" t="s">
        <v>304</v>
      </c>
      <c r="D15" s="25" t="s">
        <v>307</v>
      </c>
      <c r="E15" s="25" t="s">
        <v>308</v>
      </c>
      <c r="F15" s="27" t="str">
        <f t="array" ref="F15">INDEX('Keyword Master Database'!$E$2:$E$227,MATCH(B15,'Keyword Master Database'!$A$2:$A$227,0))</f>
        <v>Commercial</v>
      </c>
      <c r="G15" s="27" t="str">
        <f t="array" ref="G15">INDEX('Keyword Master Database'!$F$2:$F$227,MATCH(B15,'Keyword Master Database'!$A$2:$A$227,0))</f>
        <v>MOFU</v>
      </c>
      <c r="H15" s="25" t="s">
        <v>333</v>
      </c>
      <c r="I15" s="25" t="s">
        <v>334</v>
      </c>
      <c r="J15" s="27">
        <f>COUNTIF('Keyword Master Database'!$D$2:$D$227,A15)</f>
        <v>5</v>
      </c>
      <c r="K15" s="34">
        <f>SUMIF('Keyword Master Database'!$D$2:$D$227,A15,'Keyword Master Database'!$H$2:$H$227)</f>
        <v>2940</v>
      </c>
    </row>
    <row r="16">
      <c r="A16" s="19" t="s">
        <v>338</v>
      </c>
      <c r="B16" s="12" t="s">
        <v>339</v>
      </c>
      <c r="C16" s="12" t="s">
        <v>340</v>
      </c>
      <c r="D16" s="12" t="s">
        <v>100</v>
      </c>
      <c r="E16" s="12" t="s">
        <v>341</v>
      </c>
      <c r="F16" s="20" t="str">
        <f t="array" ref="F16">INDEX('Keyword Master Database'!$E$2:$E$227,MATCH(B16,'Keyword Master Database'!$A$2:$A$227,0))</f>
        <v>Transactional</v>
      </c>
      <c r="G16" s="20" t="str">
        <f t="array" ref="G16">INDEX('Keyword Master Database'!$F$2:$F$227,MATCH(B16,'Keyword Master Database'!$A$2:$A$227,0))</f>
        <v>BOFU</v>
      </c>
      <c r="H16" s="12" t="s">
        <v>343</v>
      </c>
      <c r="I16" s="12" t="s">
        <v>201</v>
      </c>
      <c r="J16" s="20">
        <f>COUNTIF('Keyword Master Database'!$D$2:$D$227,A16)</f>
        <v>7</v>
      </c>
      <c r="K16" s="23">
        <f>SUMIF('Keyword Master Database'!$D$2:$D$227,A16,'Keyword Master Database'!$H$2:$H$227)</f>
        <v>800</v>
      </c>
    </row>
    <row r="17">
      <c r="A17" s="28" t="s">
        <v>344</v>
      </c>
      <c r="B17" s="25" t="s">
        <v>345</v>
      </c>
      <c r="C17" s="25" t="s">
        <v>346</v>
      </c>
      <c r="D17" s="25" t="s">
        <v>347</v>
      </c>
      <c r="E17" s="25" t="s">
        <v>348</v>
      </c>
      <c r="F17" s="27" t="str">
        <f t="array" ref="F17">INDEX('Keyword Master Database'!$E$2:$E$227,MATCH(B17,'Keyword Master Database'!$A$2:$A$227,0))</f>
        <v>Commercial</v>
      </c>
      <c r="G17" s="27" t="str">
        <f t="array" ref="G17">INDEX('Keyword Master Database'!$F$2:$F$227,MATCH(B17,'Keyword Master Database'!$A$2:$A$227,0))</f>
        <v>MOFU</v>
      </c>
      <c r="H17" s="25" t="s">
        <v>350</v>
      </c>
      <c r="I17" s="25" t="s">
        <v>241</v>
      </c>
      <c r="J17" s="27">
        <f>COUNTIF('Keyword Master Database'!$D$2:$D$227,A17)</f>
        <v>5</v>
      </c>
      <c r="K17" s="34">
        <f>SUMIF('Keyword Master Database'!$D$2:$D$227,A17,'Keyword Master Database'!$H$2:$H$227)</f>
        <v>37300</v>
      </c>
    </row>
    <row r="18">
      <c r="A18" s="19" t="s">
        <v>351</v>
      </c>
      <c r="B18" s="12" t="s">
        <v>352</v>
      </c>
      <c r="C18" s="12" t="s">
        <v>353</v>
      </c>
      <c r="D18" s="12" t="s">
        <v>100</v>
      </c>
      <c r="E18" s="12" t="s">
        <v>354</v>
      </c>
      <c r="F18" s="20" t="str">
        <f t="array" ref="F18">INDEX('Keyword Master Database'!$E$2:$E$227,MATCH(B18,'Keyword Master Database'!$A$2:$A$227,0))</f>
        <v>Transactional</v>
      </c>
      <c r="G18" s="20" t="str">
        <f t="array" ref="G18">INDEX('Keyword Master Database'!$F$2:$F$227,MATCH(B18,'Keyword Master Database'!$A$2:$A$227,0))</f>
        <v>BOFU</v>
      </c>
      <c r="H18" s="12" t="s">
        <v>357</v>
      </c>
      <c r="I18" s="12" t="s">
        <v>201</v>
      </c>
      <c r="J18" s="20">
        <f>COUNTIF('Keyword Master Database'!$D$2:$D$227,A18)</f>
        <v>4</v>
      </c>
      <c r="K18" s="23">
        <f>SUMIF('Keyword Master Database'!$D$2:$D$227,A18,'Keyword Master Database'!$H$2:$H$227)</f>
        <v>9640</v>
      </c>
    </row>
    <row r="19">
      <c r="A19" s="28" t="s">
        <v>359</v>
      </c>
      <c r="B19" s="25" t="s">
        <v>360</v>
      </c>
      <c r="C19" s="25" t="s">
        <v>361</v>
      </c>
      <c r="D19" s="25" t="s">
        <v>100</v>
      </c>
      <c r="E19" s="25" t="s">
        <v>362</v>
      </c>
      <c r="F19" s="27" t="str">
        <f t="array" ref="F19">INDEX('Keyword Master Database'!$E$2:$E$227,MATCH(B19,'Keyword Master Database'!$A$2:$A$227,0))</f>
        <v>Transactional</v>
      </c>
      <c r="G19" s="27" t="str">
        <f t="array" ref="G19">INDEX('Keyword Master Database'!$F$2:$F$227,MATCH(B19,'Keyword Master Database'!$A$2:$A$227,0))</f>
        <v>BOFU</v>
      </c>
      <c r="H19" s="25" t="s">
        <v>364</v>
      </c>
      <c r="I19" s="25" t="s">
        <v>201</v>
      </c>
      <c r="J19" s="27">
        <f>COUNTIF('Keyword Master Database'!$D$2:$D$227,A19)</f>
        <v>5</v>
      </c>
      <c r="K19" s="34">
        <f>SUMIF('Keyword Master Database'!$D$2:$D$227,A19,'Keyword Master Database'!$H$2:$H$227)</f>
        <v>520</v>
      </c>
    </row>
    <row r="20">
      <c r="A20" s="19" t="s">
        <v>365</v>
      </c>
      <c r="B20" s="12" t="s">
        <v>366</v>
      </c>
      <c r="C20" s="12" t="s">
        <v>367</v>
      </c>
      <c r="D20" s="12" t="s">
        <v>368</v>
      </c>
      <c r="E20" s="12" t="s">
        <v>369</v>
      </c>
      <c r="F20" s="20" t="str">
        <f t="array" ref="F20">INDEX('Keyword Master Database'!$E$2:$E$227,MATCH(B20,'Keyword Master Database'!$A$2:$A$227,0))</f>
        <v>Informational</v>
      </c>
      <c r="G20" s="20" t="str">
        <f t="array" ref="G20">INDEX('Keyword Master Database'!$F$2:$F$227,MATCH(B20,'Keyword Master Database'!$A$2:$A$227,0))</f>
        <v>TOFU</v>
      </c>
      <c r="H20" s="12" t="s">
        <v>371</v>
      </c>
      <c r="I20" s="12" t="s">
        <v>241</v>
      </c>
      <c r="J20" s="20">
        <f>COUNTIF('Keyword Master Database'!$D$2:$D$227,A20)</f>
        <v>6</v>
      </c>
      <c r="K20" s="23">
        <f>SUMIF('Keyword Master Database'!$D$2:$D$227,A20,'Keyword Master Database'!$H$2:$H$227)</f>
        <v>19480</v>
      </c>
    </row>
    <row r="21" ht="15.75" customHeight="1">
      <c r="A21" s="28" t="s">
        <v>373</v>
      </c>
      <c r="B21" s="25" t="s">
        <v>374</v>
      </c>
      <c r="C21" s="25" t="s">
        <v>375</v>
      </c>
      <c r="D21" s="25" t="s">
        <v>376</v>
      </c>
      <c r="E21" s="25" t="s">
        <v>377</v>
      </c>
      <c r="F21" s="27" t="str">
        <f t="array" ref="F21">INDEX('Keyword Master Database'!$E$2:$E$227,MATCH(B21,'Keyword Master Database'!$A$2:$A$227,0))</f>
        <v>Transactional</v>
      </c>
      <c r="G21" s="27" t="str">
        <f t="array" ref="G21">INDEX('Keyword Master Database'!$F$2:$F$227,MATCH(B21,'Keyword Master Database'!$A$2:$A$227,0))</f>
        <v>BOFU</v>
      </c>
      <c r="H21" s="25" t="s">
        <v>378</v>
      </c>
      <c r="I21" s="25" t="s">
        <v>201</v>
      </c>
      <c r="J21" s="27">
        <f>COUNTIF('Keyword Master Database'!$D$2:$D$227,A21)</f>
        <v>5</v>
      </c>
      <c r="K21" s="34">
        <f>SUMIF('Keyword Master Database'!$D$2:$D$227,A21,'Keyword Master Database'!$H$2:$H$227)</f>
        <v>8200</v>
      </c>
    </row>
    <row r="22" ht="15.75" customHeight="1">
      <c r="A22" s="19" t="s">
        <v>382</v>
      </c>
      <c r="B22" s="12" t="s">
        <v>383</v>
      </c>
      <c r="C22" s="12" t="s">
        <v>384</v>
      </c>
      <c r="D22" s="12" t="s">
        <v>100</v>
      </c>
      <c r="E22" s="12" t="s">
        <v>387</v>
      </c>
      <c r="F22" s="20" t="str">
        <f t="array" ref="F22">INDEX('Keyword Master Database'!$E$2:$E$227,MATCH(B22,'Keyword Master Database'!$A$2:$A$227,0))</f>
        <v>Transactional</v>
      </c>
      <c r="G22" s="20" t="str">
        <f t="array" ref="G22">INDEX('Keyword Master Database'!$F$2:$F$227,MATCH(B22,'Keyword Master Database'!$A$2:$A$227,0))</f>
        <v>BOFU</v>
      </c>
      <c r="H22" s="12" t="s">
        <v>390</v>
      </c>
      <c r="I22" s="12" t="s">
        <v>201</v>
      </c>
      <c r="J22" s="20">
        <f>COUNTIF('Keyword Master Database'!$D$2:$D$227,A22)</f>
        <v>5</v>
      </c>
      <c r="K22" s="23">
        <f>SUMIF('Keyword Master Database'!$D$2:$D$227,A22,'Keyword Master Database'!$H$2:$H$227)</f>
        <v>540</v>
      </c>
    </row>
    <row r="23" ht="15.75" customHeight="1">
      <c r="A23" s="28" t="s">
        <v>392</v>
      </c>
      <c r="B23" s="25" t="s">
        <v>393</v>
      </c>
      <c r="C23" s="25" t="s">
        <v>394</v>
      </c>
      <c r="D23" s="25" t="s">
        <v>395</v>
      </c>
      <c r="E23" s="25" t="s">
        <v>396</v>
      </c>
      <c r="F23" s="27" t="str">
        <f t="array" ref="F23">INDEX('Keyword Master Database'!$E$2:$E$227,MATCH(B23,'Keyword Master Database'!$A$2:$A$227,0))</f>
        <v>Informational</v>
      </c>
      <c r="G23" s="27" t="str">
        <f t="array" ref="G23">INDEX('Keyword Master Database'!$F$2:$F$227,MATCH(B23,'Keyword Master Database'!$A$2:$A$227,0))</f>
        <v>TOFU</v>
      </c>
      <c r="H23" s="25" t="s">
        <v>401</v>
      </c>
      <c r="I23" s="25" t="s">
        <v>241</v>
      </c>
      <c r="J23" s="27">
        <f>COUNTIF('Keyword Master Database'!$D$2:$D$227,A23)</f>
        <v>6</v>
      </c>
      <c r="K23" s="34">
        <f>SUMIF('Keyword Master Database'!$D$2:$D$227,A23,'Keyword Master Database'!$H$2:$H$227)</f>
        <v>37200</v>
      </c>
    </row>
    <row r="24" ht="15.75" customHeight="1">
      <c r="A24" s="19" t="s">
        <v>405</v>
      </c>
      <c r="B24" s="12" t="s">
        <v>406</v>
      </c>
      <c r="C24" s="12" t="s">
        <v>407</v>
      </c>
      <c r="D24" s="12" t="s">
        <v>100</v>
      </c>
      <c r="E24" s="12" t="s">
        <v>408</v>
      </c>
      <c r="F24" s="20" t="str">
        <f t="array" ref="F24">INDEX('Keyword Master Database'!$E$2:$E$227,MATCH(B24,'Keyword Master Database'!$A$2:$A$227,0))</f>
        <v>Transactional</v>
      </c>
      <c r="G24" s="20" t="str">
        <f t="array" ref="G24">INDEX('Keyword Master Database'!$F$2:$F$227,MATCH(B24,'Keyword Master Database'!$A$2:$A$227,0))</f>
        <v>BOFU</v>
      </c>
      <c r="H24" s="12" t="s">
        <v>409</v>
      </c>
      <c r="I24" s="12" t="s">
        <v>190</v>
      </c>
      <c r="J24" s="20">
        <f>COUNTIF('Keyword Master Database'!$D$2:$D$227,A24)</f>
        <v>6</v>
      </c>
      <c r="K24" s="23">
        <f>SUMIF('Keyword Master Database'!$D$2:$D$227,A24,'Keyword Master Database'!$H$2:$H$227)</f>
        <v>3290</v>
      </c>
    </row>
    <row r="25" ht="15.75" customHeight="1">
      <c r="A25" s="28" t="s">
        <v>414</v>
      </c>
      <c r="B25" s="25" t="s">
        <v>416</v>
      </c>
      <c r="C25" s="25" t="s">
        <v>417</v>
      </c>
      <c r="D25" s="25" t="s">
        <v>100</v>
      </c>
      <c r="E25" s="25" t="s">
        <v>418</v>
      </c>
      <c r="F25" s="27" t="str">
        <f t="array" ref="F25">INDEX('Keyword Master Database'!$E$2:$E$227,MATCH(B25,'Keyword Master Database'!$A$2:$A$227,0))</f>
        <v>Transactional</v>
      </c>
      <c r="G25" s="27" t="str">
        <f t="array" ref="G25">INDEX('Keyword Master Database'!$F$2:$F$227,MATCH(B25,'Keyword Master Database'!$A$2:$A$227,0))</f>
        <v>BOFU</v>
      </c>
      <c r="H25" s="25" t="s">
        <v>419</v>
      </c>
      <c r="I25" s="25" t="s">
        <v>201</v>
      </c>
      <c r="J25" s="27">
        <f>COUNTIF('Keyword Master Database'!$D$2:$D$227,A25)</f>
        <v>6</v>
      </c>
      <c r="K25" s="34">
        <f>SUMIF('Keyword Master Database'!$D$2:$D$227,A25,'Keyword Master Database'!$H$2:$H$227)</f>
        <v>3020</v>
      </c>
    </row>
    <row r="26" ht="15.75" customHeight="1">
      <c r="A26" s="19" t="s">
        <v>423</v>
      </c>
      <c r="B26" s="12" t="s">
        <v>424</v>
      </c>
      <c r="C26" s="12" t="s">
        <v>425</v>
      </c>
      <c r="D26" s="12" t="s">
        <v>426</v>
      </c>
      <c r="E26" s="12" t="s">
        <v>427</v>
      </c>
      <c r="F26" s="20" t="str">
        <f t="array" ref="F26">INDEX('Keyword Master Database'!$E$2:$E$227,MATCH(B26,'Keyword Master Database'!$A$2:$A$227,0))</f>
        <v>Commercial</v>
      </c>
      <c r="G26" s="20" t="str">
        <f t="array" ref="G26">INDEX('Keyword Master Database'!$F$2:$F$227,MATCH(B26,'Keyword Master Database'!$A$2:$A$227,0))</f>
        <v>MOFU</v>
      </c>
      <c r="H26" s="12" t="s">
        <v>433</v>
      </c>
      <c r="I26" s="12" t="s">
        <v>435</v>
      </c>
      <c r="J26" s="20">
        <f>COUNTIF('Keyword Master Database'!$D$2:$D$227,A26)</f>
        <v>6</v>
      </c>
      <c r="K26" s="23">
        <f>SUMIF('Keyword Master Database'!$D$2:$D$227,A26,'Keyword Master Database'!$H$2:$H$227)</f>
        <v>19080</v>
      </c>
    </row>
    <row r="27" ht="15.75" customHeight="1">
      <c r="A27" s="28" t="s">
        <v>440</v>
      </c>
      <c r="B27" s="25" t="s">
        <v>441</v>
      </c>
      <c r="C27" s="25" t="s">
        <v>442</v>
      </c>
      <c r="D27" s="25" t="s">
        <v>100</v>
      </c>
      <c r="E27" s="25" t="s">
        <v>443</v>
      </c>
      <c r="F27" s="27" t="str">
        <f t="array" ref="F27">INDEX('Keyword Master Database'!$E$2:$E$227,MATCH(B27,'Keyword Master Database'!$A$2:$A$227,0))</f>
        <v>Transactional</v>
      </c>
      <c r="G27" s="27" t="str">
        <f t="array" ref="G27">INDEX('Keyword Master Database'!$F$2:$F$227,MATCH(B27,'Keyword Master Database'!$A$2:$A$227,0))</f>
        <v>BOFU</v>
      </c>
      <c r="H27" s="25" t="s">
        <v>448</v>
      </c>
      <c r="I27" s="25" t="s">
        <v>201</v>
      </c>
      <c r="J27" s="27">
        <f>COUNTIF('Keyword Master Database'!$D$2:$D$227,A27)</f>
        <v>5</v>
      </c>
      <c r="K27" s="34">
        <f>SUMIF('Keyword Master Database'!$D$2:$D$227,A27,'Keyword Master Database'!$H$2:$H$227)</f>
        <v>540</v>
      </c>
    </row>
    <row r="28" ht="15.75" customHeight="1">
      <c r="A28" s="19" t="s">
        <v>457</v>
      </c>
      <c r="B28" s="12" t="s">
        <v>458</v>
      </c>
      <c r="C28" s="12" t="s">
        <v>459</v>
      </c>
      <c r="D28" s="12" t="s">
        <v>460</v>
      </c>
      <c r="E28" s="12" t="s">
        <v>461</v>
      </c>
      <c r="F28" s="20" t="str">
        <f t="array" ref="F28">INDEX('Keyword Master Database'!$E$2:$E$227,MATCH(B28,'Keyword Master Database'!$A$2:$A$227,0))</f>
        <v>Commercial</v>
      </c>
      <c r="G28" s="20" t="str">
        <f t="array" ref="G28">INDEX('Keyword Master Database'!$F$2:$F$227,MATCH(B28,'Keyword Master Database'!$A$2:$A$227,0))</f>
        <v>MOFU</v>
      </c>
      <c r="H28" s="12" t="s">
        <v>464</v>
      </c>
      <c r="I28" s="12" t="s">
        <v>241</v>
      </c>
      <c r="J28" s="20">
        <f>COUNTIF('Keyword Master Database'!$D$2:$D$227,A28)</f>
        <v>6</v>
      </c>
      <c r="K28" s="23">
        <f>SUMIF('Keyword Master Database'!$D$2:$D$227,A28,'Keyword Master Database'!$H$2:$H$227)</f>
        <v>25000</v>
      </c>
    </row>
    <row r="29" ht="15.75" customHeight="1">
      <c r="A29" s="28" t="s">
        <v>468</v>
      </c>
      <c r="B29" s="25" t="s">
        <v>469</v>
      </c>
      <c r="C29" s="25" t="s">
        <v>470</v>
      </c>
      <c r="D29" s="25" t="s">
        <v>100</v>
      </c>
      <c r="E29" s="25" t="s">
        <v>471</v>
      </c>
      <c r="F29" s="27" t="str">
        <f t="array" ref="F29">INDEX('Keyword Master Database'!$E$2:$E$227,MATCH(B29,'Keyword Master Database'!$A$2:$A$227,0))</f>
        <v>Transactional</v>
      </c>
      <c r="G29" s="27" t="str">
        <f t="array" ref="G29">INDEX('Keyword Master Database'!$F$2:$F$227,MATCH(B29,'Keyword Master Database'!$A$2:$A$227,0))</f>
        <v>BOFU</v>
      </c>
      <c r="H29" s="25" t="s">
        <v>474</v>
      </c>
      <c r="I29" s="25" t="s">
        <v>201</v>
      </c>
      <c r="J29" s="27">
        <f>COUNTIF('Keyword Master Database'!$D$2:$D$227,A29)</f>
        <v>5</v>
      </c>
      <c r="K29" s="34">
        <f>SUMIF('Keyword Master Database'!$D$2:$D$227,A29,'Keyword Master Database'!$H$2:$H$227)</f>
        <v>700</v>
      </c>
    </row>
    <row r="30" ht="15.75" customHeight="1">
      <c r="A30" s="19" t="s">
        <v>476</v>
      </c>
      <c r="B30" s="12" t="s">
        <v>477</v>
      </c>
      <c r="C30" s="12" t="s">
        <v>478</v>
      </c>
      <c r="D30" s="12" t="s">
        <v>479</v>
      </c>
      <c r="E30" s="12" t="s">
        <v>480</v>
      </c>
      <c r="F30" s="20" t="str">
        <f t="array" ref="F30">INDEX('Keyword Master Database'!$E$2:$E$227,MATCH(B30,'Keyword Master Database'!$A$2:$A$227,0))</f>
        <v>Informational</v>
      </c>
      <c r="G30" s="20" t="str">
        <f t="array" ref="G30">INDEX('Keyword Master Database'!$F$2:$F$227,MATCH(B30,'Keyword Master Database'!$A$2:$A$227,0))</f>
        <v>TOFU</v>
      </c>
      <c r="H30" s="12" t="s">
        <v>487</v>
      </c>
      <c r="I30" s="12" t="s">
        <v>241</v>
      </c>
      <c r="J30" s="20">
        <f>COUNTIF('Keyword Master Database'!$D$2:$D$227,A30)</f>
        <v>4</v>
      </c>
      <c r="K30" s="23">
        <f>SUMIF('Keyword Master Database'!$D$2:$D$227,A30,'Keyword Master Database'!$H$2:$H$227)</f>
        <v>20000</v>
      </c>
    </row>
    <row r="31" ht="15.75" customHeight="1">
      <c r="A31" s="28" t="s">
        <v>494</v>
      </c>
      <c r="B31" s="25" t="s">
        <v>495</v>
      </c>
      <c r="C31" s="25" t="s">
        <v>496</v>
      </c>
      <c r="D31" s="25" t="s">
        <v>100</v>
      </c>
      <c r="E31" s="25" t="s">
        <v>497</v>
      </c>
      <c r="F31" s="27" t="str">
        <f t="array" ref="F31">INDEX('Keyword Master Database'!$E$2:$E$227,MATCH(B31,'Keyword Master Database'!$A$2:$A$227,0))</f>
        <v>Transactional</v>
      </c>
      <c r="G31" s="27" t="str">
        <f t="array" ref="G31">INDEX('Keyword Master Database'!$F$2:$F$227,MATCH(B31,'Keyword Master Database'!$A$2:$A$227,0))</f>
        <v>BOFU</v>
      </c>
      <c r="H31" s="25" t="s">
        <v>498</v>
      </c>
      <c r="I31" s="25" t="s">
        <v>201</v>
      </c>
      <c r="J31" s="27">
        <f>COUNTIF('Keyword Master Database'!$D$2:$D$227,A31)</f>
        <v>5</v>
      </c>
      <c r="K31" s="34">
        <f>SUMIF('Keyword Master Database'!$D$2:$D$227,A31,'Keyword Master Database'!$H$2:$H$227)</f>
        <v>330</v>
      </c>
    </row>
    <row r="32" ht="15.75" customHeight="1">
      <c r="A32" s="19" t="s">
        <v>500</v>
      </c>
      <c r="B32" s="12" t="s">
        <v>501</v>
      </c>
      <c r="C32" s="12" t="s">
        <v>503</v>
      </c>
      <c r="D32" s="12" t="s">
        <v>504</v>
      </c>
      <c r="E32" s="12" t="s">
        <v>506</v>
      </c>
      <c r="F32" s="20" t="str">
        <f t="array" ref="F32">INDEX('Keyword Master Database'!$E$2:$E$227,MATCH(B32,'Keyword Master Database'!$A$2:$A$227,0))</f>
        <v>Commercial</v>
      </c>
      <c r="G32" s="20" t="str">
        <f t="array" ref="G32">INDEX('Keyword Master Database'!$F$2:$F$227,MATCH(B32,'Keyword Master Database'!$A$2:$A$227,0))</f>
        <v>MOFU</v>
      </c>
      <c r="H32" s="12" t="s">
        <v>511</v>
      </c>
      <c r="I32" s="12" t="s">
        <v>241</v>
      </c>
      <c r="J32" s="20">
        <f>COUNTIF('Keyword Master Database'!$D$2:$D$227,A32)</f>
        <v>4</v>
      </c>
      <c r="K32" s="23">
        <f>SUMIF('Keyword Master Database'!$D$2:$D$227,A32,'Keyword Master Database'!$H$2:$H$227)</f>
        <v>13800</v>
      </c>
    </row>
    <row r="33" ht="15.75" customHeight="1">
      <c r="A33" s="28" t="s">
        <v>514</v>
      </c>
      <c r="B33" s="25" t="s">
        <v>515</v>
      </c>
      <c r="C33" s="25" t="s">
        <v>516</v>
      </c>
      <c r="D33" s="25" t="s">
        <v>517</v>
      </c>
      <c r="E33" s="25" t="s">
        <v>518</v>
      </c>
      <c r="F33" s="27" t="str">
        <f t="array" ref="F33">INDEX('Keyword Master Database'!$E$2:$E$227,MATCH(B33,'Keyword Master Database'!$A$2:$A$227,0))</f>
        <v>Transactional</v>
      </c>
      <c r="G33" s="27" t="str">
        <f t="array" ref="G33">INDEX('Keyword Master Database'!$F$2:$F$227,MATCH(B33,'Keyword Master Database'!$A$2:$A$227,0))</f>
        <v>BOFU</v>
      </c>
      <c r="H33" s="25" t="s">
        <v>522</v>
      </c>
      <c r="I33" s="25" t="s">
        <v>201</v>
      </c>
      <c r="J33" s="27">
        <f>COUNTIF('Keyword Master Database'!$D$2:$D$227,A33)</f>
        <v>6</v>
      </c>
      <c r="K33" s="34">
        <f>SUMIF('Keyword Master Database'!$D$2:$D$227,A33,'Keyword Master Database'!$H$2:$H$227)</f>
        <v>5370</v>
      </c>
    </row>
    <row r="34" ht="15.75" customHeight="1">
      <c r="A34" s="19" t="s">
        <v>524</v>
      </c>
      <c r="B34" s="12" t="s">
        <v>526</v>
      </c>
      <c r="C34" s="12" t="s">
        <v>527</v>
      </c>
      <c r="D34" s="12" t="s">
        <v>100</v>
      </c>
      <c r="E34" s="12" t="s">
        <v>528</v>
      </c>
      <c r="F34" s="20" t="str">
        <f t="array" ref="F34">INDEX('Keyword Master Database'!$E$2:$E$227,MATCH(B34,'Keyword Master Database'!$A$2:$A$227,0))</f>
        <v>Transactional</v>
      </c>
      <c r="G34" s="20" t="str">
        <f t="array" ref="G34">INDEX('Keyword Master Database'!$F$2:$F$227,MATCH(B34,'Keyword Master Database'!$A$2:$A$227,0))</f>
        <v>BOFU</v>
      </c>
      <c r="H34" s="12" t="s">
        <v>530</v>
      </c>
      <c r="I34" s="12" t="s">
        <v>223</v>
      </c>
      <c r="J34" s="20">
        <f>COUNTIF('Keyword Master Database'!$D$2:$D$227,A34)</f>
        <v>6</v>
      </c>
      <c r="K34" s="23">
        <f>SUMIF('Keyword Master Database'!$D$2:$D$227,A34,'Keyword Master Database'!$H$2:$H$227)</f>
        <v>310</v>
      </c>
    </row>
    <row r="35" ht="15.75" customHeight="1">
      <c r="A35" s="28" t="s">
        <v>532</v>
      </c>
      <c r="B35" s="25" t="s">
        <v>533</v>
      </c>
      <c r="C35" s="25" t="s">
        <v>534</v>
      </c>
      <c r="D35" s="25" t="s">
        <v>535</v>
      </c>
      <c r="E35" s="25" t="s">
        <v>536</v>
      </c>
      <c r="F35" s="27" t="str">
        <f t="array" ref="F35">INDEX('Keyword Master Database'!$E$2:$E$227,MATCH(B35,'Keyword Master Database'!$A$2:$A$227,0))</f>
        <v>Commercial</v>
      </c>
      <c r="G35" s="27" t="str">
        <f t="array" ref="G35">INDEX('Keyword Master Database'!$F$2:$F$227,MATCH(B35,'Keyword Master Database'!$A$2:$A$227,0))</f>
        <v>MOFU</v>
      </c>
      <c r="H35" s="25" t="s">
        <v>539</v>
      </c>
      <c r="I35" s="25" t="s">
        <v>241</v>
      </c>
      <c r="J35" s="27">
        <f>COUNTIF('Keyword Master Database'!$D$2:$D$227,A35)</f>
        <v>6</v>
      </c>
      <c r="K35" s="34">
        <f>SUMIF('Keyword Master Database'!$D$2:$D$227,A35,'Keyword Master Database'!$H$2:$H$227)</f>
        <v>12860</v>
      </c>
    </row>
    <row r="36" ht="15.75" customHeight="1">
      <c r="A36" s="19" t="s">
        <v>540</v>
      </c>
      <c r="B36" s="12" t="s">
        <v>541</v>
      </c>
      <c r="C36" s="12" t="s">
        <v>542</v>
      </c>
      <c r="D36" s="12" t="s">
        <v>543</v>
      </c>
      <c r="E36" s="12" t="s">
        <v>544</v>
      </c>
      <c r="F36" s="20" t="str">
        <f t="array" ref="F36">INDEX('Keyword Master Database'!$E$2:$E$227,MATCH(B36,'Keyword Master Database'!$A$2:$A$227,0))</f>
        <v>Transactional</v>
      </c>
      <c r="G36" s="20" t="str">
        <f t="array" ref="G36">INDEX('Keyword Master Database'!$F$2:$F$227,MATCH(B36,'Keyword Master Database'!$A$2:$A$227,0))</f>
        <v>BOFU</v>
      </c>
      <c r="H36" s="12" t="s">
        <v>552</v>
      </c>
      <c r="I36" s="12" t="s">
        <v>553</v>
      </c>
      <c r="J36" s="20">
        <f>COUNTIF('Keyword Master Database'!$D$2:$D$227,A36)</f>
        <v>7</v>
      </c>
      <c r="K36" s="23">
        <f>SUMIF('Keyword Master Database'!$D$2:$D$227,A36,'Keyword Master Database'!$H$2:$H$227)</f>
        <v>1530</v>
      </c>
    </row>
    <row r="37" ht="15.75" customHeight="1">
      <c r="A37" s="28" t="s">
        <v>556</v>
      </c>
      <c r="B37" s="25" t="s">
        <v>557</v>
      </c>
      <c r="C37" s="25" t="s">
        <v>558</v>
      </c>
      <c r="D37" s="25" t="s">
        <v>100</v>
      </c>
      <c r="E37" s="25" t="s">
        <v>559</v>
      </c>
      <c r="F37" s="27" t="str">
        <f t="array" ref="F37">INDEX('Keyword Master Database'!$E$2:$E$227,MATCH(B37,'Keyword Master Database'!$A$2:$A$227,0))</f>
        <v>Transactional</v>
      </c>
      <c r="G37" s="27" t="str">
        <f t="array" ref="G37">INDEX('Keyword Master Database'!$F$2:$F$227,MATCH(B37,'Keyword Master Database'!$A$2:$A$227,0))</f>
        <v>BOFU</v>
      </c>
      <c r="H37" s="25" t="s">
        <v>561</v>
      </c>
      <c r="I37" s="25" t="s">
        <v>562</v>
      </c>
      <c r="J37" s="27">
        <f>COUNTIF('Keyword Master Database'!$D$2:$D$227,A37)</f>
        <v>3</v>
      </c>
      <c r="K37" s="34">
        <f>SUMIF('Keyword Master Database'!$D$2:$D$227,A37,'Keyword Master Database'!$H$2:$H$227)</f>
        <v>240</v>
      </c>
    </row>
    <row r="38" ht="15.75" customHeight="1">
      <c r="A38" s="19" t="s">
        <v>566</v>
      </c>
      <c r="B38" s="12" t="s">
        <v>567</v>
      </c>
      <c r="C38" s="12" t="s">
        <v>568</v>
      </c>
      <c r="D38" s="12" t="s">
        <v>100</v>
      </c>
      <c r="E38" s="12" t="s">
        <v>569</v>
      </c>
      <c r="F38" s="20" t="str">
        <f t="array" ref="F38">INDEX('Keyword Master Database'!$E$2:$E$227,MATCH(B38,'Keyword Master Database'!$A$2:$A$227,0))</f>
        <v>Transactional</v>
      </c>
      <c r="G38" s="20" t="str">
        <f t="array" ref="G38">INDEX('Keyword Master Database'!$F$2:$F$227,MATCH(B38,'Keyword Master Database'!$A$2:$A$227,0))</f>
        <v>BOFU</v>
      </c>
      <c r="H38" s="12" t="s">
        <v>571</v>
      </c>
      <c r="I38" s="12" t="s">
        <v>562</v>
      </c>
      <c r="J38" s="20">
        <f>COUNTIF('Keyword Master Database'!$D$2:$D$227,A38)</f>
        <v>3</v>
      </c>
      <c r="K38" s="23">
        <f>SUMIF('Keyword Master Database'!$D$2:$D$227,A38,'Keyword Master Database'!$H$2:$H$227)</f>
        <v>120</v>
      </c>
    </row>
    <row r="39" ht="15.75" customHeight="1">
      <c r="A39" s="28" t="s">
        <v>574</v>
      </c>
      <c r="B39" s="25" t="s">
        <v>575</v>
      </c>
      <c r="C39" s="25" t="s">
        <v>576</v>
      </c>
      <c r="D39" s="25" t="s">
        <v>100</v>
      </c>
      <c r="E39" s="25" t="s">
        <v>577</v>
      </c>
      <c r="F39" s="27" t="str">
        <f t="array" ref="F39">INDEX('Keyword Master Database'!$E$2:$E$227,MATCH(B39,'Keyword Master Database'!$A$2:$A$227,0))</f>
        <v>Transactional</v>
      </c>
      <c r="G39" s="27" t="str">
        <f t="array" ref="G39">INDEX('Keyword Master Database'!$F$2:$F$227,MATCH(B39,'Keyword Master Database'!$A$2:$A$227,0))</f>
        <v>BOFU</v>
      </c>
      <c r="H39" s="25" t="s">
        <v>579</v>
      </c>
      <c r="I39" s="25" t="s">
        <v>562</v>
      </c>
      <c r="J39" s="27">
        <f>COUNTIF('Keyword Master Database'!$D$2:$D$227,A39)</f>
        <v>3</v>
      </c>
      <c r="K39" s="34">
        <f>SUMIF('Keyword Master Database'!$D$2:$D$227,A39,'Keyword Master Database'!$H$2:$H$227)</f>
        <v>660</v>
      </c>
    </row>
    <row r="40" ht="15.75" customHeight="1">
      <c r="A40" s="19" t="s">
        <v>581</v>
      </c>
      <c r="B40" s="12" t="s">
        <v>582</v>
      </c>
      <c r="C40" s="12" t="s">
        <v>583</v>
      </c>
      <c r="D40" s="12" t="s">
        <v>584</v>
      </c>
      <c r="E40" s="12" t="s">
        <v>585</v>
      </c>
      <c r="F40" s="20" t="str">
        <f t="array" ref="F40">INDEX('Keyword Master Database'!$E$2:$E$227,MATCH(B40,'Keyword Master Database'!$A$2:$A$227,0))</f>
        <v>Transactional</v>
      </c>
      <c r="G40" s="20" t="str">
        <f t="array" ref="G40">INDEX('Keyword Master Database'!$F$2:$F$227,MATCH(B40,'Keyword Master Database'!$A$2:$A$227,0))</f>
        <v>BOFU</v>
      </c>
      <c r="H40" s="12" t="s">
        <v>586</v>
      </c>
      <c r="I40" s="12" t="s">
        <v>190</v>
      </c>
      <c r="J40" s="20">
        <f>COUNTIF('Keyword Master Database'!$D$2:$D$227,A40)</f>
        <v>4</v>
      </c>
      <c r="K40" s="23">
        <f>SUMIF('Keyword Master Database'!$D$2:$D$227,A40,'Keyword Master Database'!$H$2:$H$227)</f>
        <v>2540</v>
      </c>
    </row>
    <row r="41" ht="15.75" customHeight="1">
      <c r="A41" s="28" t="s">
        <v>587</v>
      </c>
      <c r="B41" s="25" t="s">
        <v>588</v>
      </c>
      <c r="C41" s="25" t="s">
        <v>589</v>
      </c>
      <c r="D41" s="25" t="s">
        <v>590</v>
      </c>
      <c r="E41" s="25" t="s">
        <v>591</v>
      </c>
      <c r="F41" s="27" t="str">
        <f t="array" ref="F41">INDEX('Keyword Master Database'!$E$2:$E$227,MATCH(B41,'Keyword Master Database'!$A$2:$A$227,0))</f>
        <v>Commercial</v>
      </c>
      <c r="G41" s="27" t="str">
        <f t="array" ref="G41">INDEX('Keyword Master Database'!$F$2:$F$227,MATCH(B41,'Keyword Master Database'!$A$2:$A$227,0))</f>
        <v>MOFU</v>
      </c>
      <c r="H41" s="25" t="s">
        <v>593</v>
      </c>
      <c r="I41" s="25" t="s">
        <v>594</v>
      </c>
      <c r="J41" s="27">
        <f>COUNTIF('Keyword Master Database'!$D$2:$D$227,A41)</f>
        <v>8</v>
      </c>
      <c r="K41" s="34">
        <f>SUMIF('Keyword Master Database'!$D$2:$D$227,A41,'Keyword Master Database'!$H$2:$H$227)</f>
        <v>330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3.43"/>
    <col customWidth="1" min="2" max="2" width="37.0"/>
    <col customWidth="1" min="3" max="3" width="47.86"/>
    <col customWidth="1" min="4" max="4" width="44.0"/>
    <col customWidth="1" min="5" max="5" width="47.0"/>
    <col customWidth="1" min="6" max="6" width="45.71"/>
    <col customWidth="1" min="7" max="7" width="51.86"/>
    <col customWidth="1" min="8" max="26" width="8.71"/>
  </cols>
  <sheetData>
    <row r="1" ht="31.5" customHeight="1">
      <c r="A1" s="2" t="s">
        <v>256</v>
      </c>
      <c r="B1" s="2" t="s">
        <v>257</v>
      </c>
      <c r="C1" s="2" t="s">
        <v>258</v>
      </c>
      <c r="D1" s="2" t="s">
        <v>259</v>
      </c>
      <c r="E1" s="2" t="s">
        <v>260</v>
      </c>
      <c r="F1" s="2" t="s">
        <v>261</v>
      </c>
      <c r="G1" s="2" t="s">
        <v>262</v>
      </c>
    </row>
    <row r="2">
      <c r="A2" s="19" t="s">
        <v>263</v>
      </c>
      <c r="B2" s="12" t="s">
        <v>264</v>
      </c>
      <c r="C2" s="12" t="s">
        <v>265</v>
      </c>
      <c r="D2" s="12" t="s">
        <v>266</v>
      </c>
      <c r="E2" s="12" t="s">
        <v>267</v>
      </c>
      <c r="F2" s="12" t="s">
        <v>268</v>
      </c>
      <c r="G2" s="12" t="s">
        <v>269</v>
      </c>
    </row>
    <row r="3">
      <c r="A3" s="28" t="s">
        <v>270</v>
      </c>
      <c r="B3" s="25" t="s">
        <v>271</v>
      </c>
      <c r="C3" s="25" t="s">
        <v>272</v>
      </c>
      <c r="D3" s="25" t="s">
        <v>273</v>
      </c>
      <c r="E3" s="25" t="s">
        <v>274</v>
      </c>
      <c r="F3" s="25" t="s">
        <v>275</v>
      </c>
      <c r="G3" s="25" t="s">
        <v>276</v>
      </c>
    </row>
    <row r="4">
      <c r="A4" s="19" t="s">
        <v>278</v>
      </c>
      <c r="B4" s="12" t="s">
        <v>279</v>
      </c>
      <c r="C4" s="12" t="s">
        <v>281</v>
      </c>
      <c r="D4" s="12" t="s">
        <v>283</v>
      </c>
      <c r="E4" s="12" t="s">
        <v>284</v>
      </c>
      <c r="F4" s="12" t="s">
        <v>285</v>
      </c>
      <c r="G4" s="12" t="s">
        <v>286</v>
      </c>
    </row>
    <row r="5">
      <c r="A5" s="28" t="s">
        <v>287</v>
      </c>
      <c r="B5" s="25" t="s">
        <v>288</v>
      </c>
      <c r="C5" s="25" t="s">
        <v>289</v>
      </c>
      <c r="D5" s="25" t="s">
        <v>290</v>
      </c>
      <c r="E5" s="25" t="s">
        <v>291</v>
      </c>
      <c r="F5" s="25" t="s">
        <v>292</v>
      </c>
      <c r="G5" s="25" t="s">
        <v>293</v>
      </c>
    </row>
    <row r="6">
      <c r="A6" s="19" t="s">
        <v>294</v>
      </c>
      <c r="B6" s="12" t="s">
        <v>295</v>
      </c>
      <c r="C6" s="12" t="s">
        <v>296</v>
      </c>
      <c r="D6" s="12" t="s">
        <v>297</v>
      </c>
      <c r="E6" s="12" t="s">
        <v>300</v>
      </c>
      <c r="F6" s="12" t="s">
        <v>303</v>
      </c>
      <c r="G6" s="12" t="s">
        <v>306</v>
      </c>
    </row>
    <row r="7">
      <c r="A7" s="28" t="s">
        <v>309</v>
      </c>
      <c r="B7" s="25" t="s">
        <v>310</v>
      </c>
      <c r="C7" s="25" t="s">
        <v>311</v>
      </c>
      <c r="D7" s="25" t="s">
        <v>312</v>
      </c>
      <c r="E7" s="25" t="s">
        <v>313</v>
      </c>
      <c r="F7" s="25" t="s">
        <v>315</v>
      </c>
      <c r="G7" s="25" t="s">
        <v>316</v>
      </c>
    </row>
    <row r="8">
      <c r="A8" s="19" t="s">
        <v>317</v>
      </c>
      <c r="B8" s="12" t="s">
        <v>318</v>
      </c>
      <c r="C8" s="12" t="s">
        <v>319</v>
      </c>
      <c r="D8" s="12" t="s">
        <v>320</v>
      </c>
      <c r="E8" s="12" t="s">
        <v>321</v>
      </c>
      <c r="F8" s="12" t="s">
        <v>315</v>
      </c>
      <c r="G8" s="12" t="s">
        <v>322</v>
      </c>
    </row>
    <row r="9">
      <c r="A9" s="28" t="s">
        <v>323</v>
      </c>
      <c r="B9" s="25" t="s">
        <v>324</v>
      </c>
      <c r="C9" s="25" t="s">
        <v>325</v>
      </c>
      <c r="D9" s="25" t="s">
        <v>326</v>
      </c>
      <c r="E9" s="25" t="s">
        <v>321</v>
      </c>
      <c r="F9" s="25" t="s">
        <v>315</v>
      </c>
      <c r="G9" s="25" t="s">
        <v>327</v>
      </c>
    </row>
    <row r="10">
      <c r="A10" s="19" t="s">
        <v>328</v>
      </c>
      <c r="B10" s="12" t="s">
        <v>329</v>
      </c>
      <c r="C10" s="12" t="s">
        <v>330</v>
      </c>
      <c r="D10" s="12" t="s">
        <v>331</v>
      </c>
      <c r="E10" s="12" t="s">
        <v>321</v>
      </c>
      <c r="F10" s="12" t="s">
        <v>315</v>
      </c>
      <c r="G10" s="12" t="s">
        <v>332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6.0"/>
    <col customWidth="1" min="2" max="2" width="34.57"/>
    <col customWidth="1" min="3" max="3" width="38.43"/>
    <col customWidth="1" min="4" max="4" width="62.0"/>
    <col customWidth="1" min="5" max="5" width="12.0"/>
    <col customWidth="1" min="6" max="6" width="7.29"/>
    <col customWidth="1" min="7" max="7" width="11.14"/>
    <col customWidth="1" min="8" max="8" width="15.57"/>
    <col customWidth="1" min="9" max="9" width="13.14"/>
    <col customWidth="1" min="10" max="26" width="8.71"/>
  </cols>
  <sheetData>
    <row r="1">
      <c r="A1" s="2" t="s">
        <v>257</v>
      </c>
      <c r="B1" s="2" t="s">
        <v>399</v>
      </c>
      <c r="C1" s="2" t="s">
        <v>51</v>
      </c>
      <c r="D1" s="2" t="s">
        <v>52</v>
      </c>
      <c r="E1" s="2" t="s">
        <v>55</v>
      </c>
      <c r="F1" s="2" t="s">
        <v>6</v>
      </c>
      <c r="G1" s="2" t="s">
        <v>400</v>
      </c>
      <c r="H1" s="2" t="s">
        <v>402</v>
      </c>
      <c r="I1" s="2" t="s">
        <v>403</v>
      </c>
    </row>
    <row r="2">
      <c r="A2" s="19" t="s">
        <v>68</v>
      </c>
      <c r="B2" s="12" t="s">
        <v>69</v>
      </c>
      <c r="C2" s="12" t="s">
        <v>29</v>
      </c>
      <c r="D2" s="12" t="s">
        <v>404</v>
      </c>
      <c r="E2" s="20" t="str">
        <f t="array" ref="E2">INDEX('Keyword Master Database'!$E$2:$E$227,MATCH(C2,'Keyword Master Database'!$A$2:$A$227,0))</f>
        <v>Navigational</v>
      </c>
      <c r="F2" s="20" t="str">
        <f t="array" ref="F2">INDEX('Keyword Master Database'!$F$2:$F$227,MATCH(C2,'Keyword Master Database'!$A$2:$A$227,0))</f>
        <v>BOFU</v>
      </c>
      <c r="G2" s="20" t="s">
        <v>410</v>
      </c>
      <c r="H2" s="20" t="s">
        <v>77</v>
      </c>
      <c r="I2" s="20" t="s">
        <v>112</v>
      </c>
    </row>
    <row r="3">
      <c r="A3" s="28" t="s">
        <v>124</v>
      </c>
      <c r="B3" s="25" t="s">
        <v>415</v>
      </c>
      <c r="C3" s="25" t="s">
        <v>97</v>
      </c>
      <c r="D3" s="25" t="s">
        <v>99</v>
      </c>
      <c r="E3" s="27" t="str">
        <f t="array" ref="E3">INDEX('Keyword Master Database'!$E$2:$E$227,MATCH(C3,'Keyword Master Database'!$A$2:$A$227,0))</f>
        <v>Navigational</v>
      </c>
      <c r="F3" s="27" t="str">
        <f t="array" ref="F3">INDEX('Keyword Master Database'!$F$2:$F$227,MATCH(C3,'Keyword Master Database'!$A$2:$A$227,0))</f>
        <v>MOFU</v>
      </c>
      <c r="G3" s="27" t="s">
        <v>410</v>
      </c>
      <c r="H3" s="27" t="s">
        <v>77</v>
      </c>
      <c r="I3" s="27" t="s">
        <v>173</v>
      </c>
    </row>
    <row r="4">
      <c r="A4" s="19" t="s">
        <v>156</v>
      </c>
      <c r="B4" s="12" t="s">
        <v>422</v>
      </c>
      <c r="C4" s="12" t="s">
        <v>137</v>
      </c>
      <c r="D4" s="12" t="s">
        <v>138</v>
      </c>
      <c r="E4" s="20" t="str">
        <f t="array" ref="E4">INDEX('Keyword Master Database'!$E$2:$E$227,MATCH(C4,'Keyword Master Database'!$A$2:$A$227,0))</f>
        <v>Navigational</v>
      </c>
      <c r="F4" s="20" t="str">
        <f t="array" ref="F4">INDEX('Keyword Master Database'!$F$2:$F$227,MATCH(C4,'Keyword Master Database'!$A$2:$A$227,0))</f>
        <v>MOFU</v>
      </c>
      <c r="G4" s="20" t="s">
        <v>410</v>
      </c>
      <c r="H4" s="20" t="s">
        <v>77</v>
      </c>
      <c r="I4" s="20" t="s">
        <v>173</v>
      </c>
    </row>
    <row r="5">
      <c r="A5" s="28" t="s">
        <v>385</v>
      </c>
      <c r="B5" s="25" t="s">
        <v>428</v>
      </c>
      <c r="C5" s="25" t="s">
        <v>181</v>
      </c>
      <c r="D5" s="25" t="s">
        <v>182</v>
      </c>
      <c r="E5" s="27" t="str">
        <f t="array" ref="E5">INDEX('Keyword Master Database'!$E$2:$E$227,MATCH(C5,'Keyword Master Database'!$A$2:$A$227,0))</f>
        <v>Transactional</v>
      </c>
      <c r="F5" s="27" t="str">
        <f t="array" ref="F5">INDEX('Keyword Master Database'!$F$2:$F$227,MATCH(C5,'Keyword Master Database'!$A$2:$A$227,0))</f>
        <v>BOFU</v>
      </c>
      <c r="G5" s="27" t="s">
        <v>432</v>
      </c>
      <c r="H5" s="27" t="s">
        <v>386</v>
      </c>
      <c r="I5" s="27" t="s">
        <v>112</v>
      </c>
    </row>
    <row r="6">
      <c r="A6" s="19" t="s">
        <v>429</v>
      </c>
      <c r="B6" s="12" t="s">
        <v>194</v>
      </c>
      <c r="C6" s="12" t="s">
        <v>195</v>
      </c>
      <c r="D6" s="12" t="s">
        <v>196</v>
      </c>
      <c r="E6" s="20" t="str">
        <f t="array" ref="E6">INDEX('Keyword Master Database'!$E$2:$E$227,MATCH(C6,'Keyword Master Database'!$A$2:$A$227,0))</f>
        <v>Transactional</v>
      </c>
      <c r="F6" s="20" t="str">
        <f t="array" ref="F6">INDEX('Keyword Master Database'!$F$2:$F$227,MATCH(C6,'Keyword Master Database'!$A$2:$A$227,0))</f>
        <v>BOFU</v>
      </c>
      <c r="G6" s="20" t="s">
        <v>432</v>
      </c>
      <c r="H6" s="20" t="s">
        <v>386</v>
      </c>
      <c r="I6" s="20" t="s">
        <v>173</v>
      </c>
    </row>
    <row r="7">
      <c r="A7" s="28" t="s">
        <v>437</v>
      </c>
      <c r="B7" s="25" t="s">
        <v>438</v>
      </c>
      <c r="C7" s="25" t="s">
        <v>203</v>
      </c>
      <c r="D7" s="25" t="s">
        <v>204</v>
      </c>
      <c r="E7" s="27" t="str">
        <f t="array" ref="E7">INDEX('Keyword Master Database'!$E$2:$E$227,MATCH(C7,'Keyword Master Database'!$A$2:$A$227,0))</f>
        <v>Transactional</v>
      </c>
      <c r="F7" s="27" t="str">
        <f t="array" ref="F7">INDEX('Keyword Master Database'!$F$2:$F$227,MATCH(C7,'Keyword Master Database'!$A$2:$A$227,0))</f>
        <v>BOFU</v>
      </c>
      <c r="G7" s="27" t="s">
        <v>432</v>
      </c>
      <c r="H7" s="27" t="s">
        <v>386</v>
      </c>
      <c r="I7" s="27" t="s">
        <v>173</v>
      </c>
    </row>
    <row r="8">
      <c r="A8" s="19" t="s">
        <v>446</v>
      </c>
      <c r="B8" s="12" t="s">
        <v>447</v>
      </c>
      <c r="C8" s="12" t="s">
        <v>211</v>
      </c>
      <c r="D8" s="12" t="s">
        <v>450</v>
      </c>
      <c r="E8" s="20" t="str">
        <f t="array" ref="E8">INDEX('Keyword Master Database'!$E$2:$E$227,MATCH(C8,'Keyword Master Database'!$A$2:$A$227,0))</f>
        <v>Transactional</v>
      </c>
      <c r="F8" s="20" t="str">
        <f t="array" ref="F8">INDEX('Keyword Master Database'!$F$2:$F$227,MATCH(C8,'Keyword Master Database'!$A$2:$A$227,0))</f>
        <v>BOFU</v>
      </c>
      <c r="G8" s="20" t="s">
        <v>432</v>
      </c>
      <c r="H8" s="20" t="s">
        <v>386</v>
      </c>
      <c r="I8" s="20" t="s">
        <v>173</v>
      </c>
    </row>
    <row r="9">
      <c r="A9" s="28" t="s">
        <v>222</v>
      </c>
      <c r="B9" s="25" t="s">
        <v>462</v>
      </c>
      <c r="C9" s="25" t="s">
        <v>219</v>
      </c>
      <c r="D9" s="25" t="s">
        <v>463</v>
      </c>
      <c r="E9" s="27" t="str">
        <f t="array" ref="E9">INDEX('Keyword Master Database'!$E$2:$E$227,MATCH(C9,'Keyword Master Database'!$A$2:$A$227,0))</f>
        <v>Transactional</v>
      </c>
      <c r="F9" s="27" t="str">
        <f t="array" ref="F9">INDEX('Keyword Master Database'!$F$2:$F$227,MATCH(C9,'Keyword Master Database'!$A$2:$A$227,0))</f>
        <v>BOFU</v>
      </c>
      <c r="G9" s="27" t="s">
        <v>410</v>
      </c>
      <c r="H9" s="27" t="s">
        <v>77</v>
      </c>
      <c r="I9" s="27" t="s">
        <v>112</v>
      </c>
    </row>
    <row r="10">
      <c r="A10" s="19" t="s">
        <v>465</v>
      </c>
      <c r="B10" s="12" t="s">
        <v>466</v>
      </c>
      <c r="C10" s="12" t="s">
        <v>226</v>
      </c>
      <c r="D10" s="12" t="s">
        <v>467</v>
      </c>
      <c r="E10" s="20" t="str">
        <f t="array" ref="E10">INDEX('Keyword Master Database'!$E$2:$E$227,MATCH(C10,'Keyword Master Database'!$A$2:$A$227,0))</f>
        <v>Transactional</v>
      </c>
      <c r="F10" s="20" t="str">
        <f t="array" ref="F10">INDEX('Keyword Master Database'!$F$2:$F$227,MATCH(C10,'Keyword Master Database'!$A$2:$A$227,0))</f>
        <v>BOFU</v>
      </c>
      <c r="G10" s="20" t="s">
        <v>432</v>
      </c>
      <c r="H10" s="20" t="s">
        <v>386</v>
      </c>
      <c r="I10" s="20" t="s">
        <v>112</v>
      </c>
    </row>
    <row r="11">
      <c r="A11" s="28" t="s">
        <v>472</v>
      </c>
      <c r="B11" s="25" t="s">
        <v>473</v>
      </c>
      <c r="C11" s="25" t="s">
        <v>235</v>
      </c>
      <c r="D11" s="25" t="s">
        <v>236</v>
      </c>
      <c r="E11" s="27" t="str">
        <f t="array" ref="E11">INDEX('Keyword Master Database'!$E$2:$E$227,MATCH(C11,'Keyword Master Database'!$A$2:$A$227,0))</f>
        <v>Informational</v>
      </c>
      <c r="F11" s="27" t="str">
        <f t="array" ref="F11">INDEX('Keyword Master Database'!$F$2:$F$227,MATCH(C11,'Keyword Master Database'!$A$2:$A$227,0))</f>
        <v>TOFU</v>
      </c>
      <c r="G11" s="27" t="s">
        <v>432</v>
      </c>
      <c r="H11" s="27" t="s">
        <v>386</v>
      </c>
      <c r="I11" s="27" t="s">
        <v>173</v>
      </c>
    </row>
    <row r="12">
      <c r="A12" s="19" t="s">
        <v>481</v>
      </c>
      <c r="B12" s="12" t="s">
        <v>482</v>
      </c>
      <c r="C12" s="12" t="s">
        <v>244</v>
      </c>
      <c r="D12" s="12" t="s">
        <v>245</v>
      </c>
      <c r="E12" s="20" t="str">
        <f t="array" ref="E12">INDEX('Keyword Master Database'!$E$2:$E$227,MATCH(C12,'Keyword Master Database'!$A$2:$A$227,0))</f>
        <v>Informational</v>
      </c>
      <c r="F12" s="20" t="str">
        <f t="array" ref="F12">INDEX('Keyword Master Database'!$F$2:$F$227,MATCH(C12,'Keyword Master Database'!$A$2:$A$227,0))</f>
        <v>TOFU</v>
      </c>
      <c r="G12" s="20" t="s">
        <v>432</v>
      </c>
      <c r="H12" s="20" t="s">
        <v>386</v>
      </c>
      <c r="I12" s="20" t="s">
        <v>173</v>
      </c>
    </row>
    <row r="13">
      <c r="A13" s="28" t="s">
        <v>489</v>
      </c>
      <c r="B13" s="25" t="s">
        <v>490</v>
      </c>
      <c r="C13" s="25" t="s">
        <v>250</v>
      </c>
      <c r="D13" s="25" t="s">
        <v>491</v>
      </c>
      <c r="E13" s="27" t="str">
        <f t="array" ref="E13">INDEX('Keyword Master Database'!$E$2:$E$227,MATCH(C13,'Keyword Master Database'!$A$2:$A$227,0))</f>
        <v>Commercial</v>
      </c>
      <c r="F13" s="27" t="str">
        <f t="array" ref="F13">INDEX('Keyword Master Database'!$F$2:$F$227,MATCH(C13,'Keyword Master Database'!$A$2:$A$227,0))</f>
        <v>MOFU</v>
      </c>
      <c r="G13" s="27" t="s">
        <v>432</v>
      </c>
      <c r="H13" s="27" t="s">
        <v>386</v>
      </c>
      <c r="I13" s="27" t="s">
        <v>112</v>
      </c>
    </row>
    <row r="14">
      <c r="A14" s="19" t="s">
        <v>512</v>
      </c>
      <c r="B14" s="12" t="s">
        <v>513</v>
      </c>
      <c r="C14" s="12" t="s">
        <v>301</v>
      </c>
      <c r="D14" s="12" t="s">
        <v>304</v>
      </c>
      <c r="E14" s="20" t="str">
        <f t="array" ref="E14">INDEX('Keyword Master Database'!$E$2:$E$227,MATCH(C14,'Keyword Master Database'!$A$2:$A$227,0))</f>
        <v>Commercial</v>
      </c>
      <c r="F14" s="20" t="str">
        <f t="array" ref="F14">INDEX('Keyword Master Database'!$F$2:$F$227,MATCH(C14,'Keyword Master Database'!$A$2:$A$227,0))</f>
        <v>MOFU</v>
      </c>
      <c r="G14" s="20" t="s">
        <v>432</v>
      </c>
      <c r="H14" s="20" t="s">
        <v>386</v>
      </c>
      <c r="I14" s="20" t="s">
        <v>173</v>
      </c>
    </row>
    <row r="15">
      <c r="A15" s="28" t="s">
        <v>343</v>
      </c>
      <c r="B15" s="25" t="s">
        <v>520</v>
      </c>
      <c r="C15" s="25" t="s">
        <v>339</v>
      </c>
      <c r="D15" s="25" t="s">
        <v>521</v>
      </c>
      <c r="E15" s="27" t="str">
        <f t="array" ref="E15">INDEX('Keyword Master Database'!$E$2:$E$227,MATCH(C15,'Keyword Master Database'!$A$2:$A$227,0))</f>
        <v>Transactional</v>
      </c>
      <c r="F15" s="27" t="str">
        <f t="array" ref="F15">INDEX('Keyword Master Database'!$F$2:$F$227,MATCH(C15,'Keyword Master Database'!$A$2:$A$227,0))</f>
        <v>BOFU</v>
      </c>
      <c r="G15" s="27" t="s">
        <v>410</v>
      </c>
      <c r="H15" s="27" t="s">
        <v>77</v>
      </c>
      <c r="I15" s="27" t="s">
        <v>112</v>
      </c>
    </row>
    <row r="16">
      <c r="A16" s="19" t="s">
        <v>523</v>
      </c>
      <c r="B16" s="12" t="s">
        <v>525</v>
      </c>
      <c r="C16" s="12" t="s">
        <v>345</v>
      </c>
      <c r="D16" s="12" t="s">
        <v>346</v>
      </c>
      <c r="E16" s="20" t="str">
        <f t="array" ref="E16">INDEX('Keyword Master Database'!$E$2:$E$227,MATCH(C16,'Keyword Master Database'!$A$2:$A$227,0))</f>
        <v>Commercial</v>
      </c>
      <c r="F16" s="20" t="str">
        <f t="array" ref="F16">INDEX('Keyword Master Database'!$F$2:$F$227,MATCH(C16,'Keyword Master Database'!$A$2:$A$227,0))</f>
        <v>MOFU</v>
      </c>
      <c r="G16" s="20" t="s">
        <v>432</v>
      </c>
      <c r="H16" s="20" t="s">
        <v>386</v>
      </c>
      <c r="I16" s="20" t="s">
        <v>173</v>
      </c>
    </row>
    <row r="17">
      <c r="A17" s="28" t="s">
        <v>531</v>
      </c>
      <c r="B17" s="25" t="s">
        <v>351</v>
      </c>
      <c r="C17" s="25" t="s">
        <v>352</v>
      </c>
      <c r="D17" s="25" t="s">
        <v>353</v>
      </c>
      <c r="E17" s="27" t="str">
        <f t="array" ref="E17">INDEX('Keyword Master Database'!$E$2:$E$227,MATCH(C17,'Keyword Master Database'!$A$2:$A$227,0))</f>
        <v>Transactional</v>
      </c>
      <c r="F17" s="27" t="str">
        <f t="array" ref="F17">INDEX('Keyword Master Database'!$F$2:$F$227,MATCH(C17,'Keyword Master Database'!$A$2:$A$227,0))</f>
        <v>BOFU</v>
      </c>
      <c r="G17" s="27" t="s">
        <v>432</v>
      </c>
      <c r="H17" s="27" t="s">
        <v>386</v>
      </c>
      <c r="I17" s="27" t="s">
        <v>112</v>
      </c>
    </row>
    <row r="18">
      <c r="A18" s="19" t="s">
        <v>364</v>
      </c>
      <c r="B18" s="12" t="s">
        <v>538</v>
      </c>
      <c r="C18" s="12" t="s">
        <v>360</v>
      </c>
      <c r="D18" s="12" t="s">
        <v>361</v>
      </c>
      <c r="E18" s="20" t="str">
        <f t="array" ref="E18">INDEX('Keyword Master Database'!$E$2:$E$227,MATCH(C18,'Keyword Master Database'!$A$2:$A$227,0))</f>
        <v>Transactional</v>
      </c>
      <c r="F18" s="20" t="str">
        <f t="array" ref="F18">INDEX('Keyword Master Database'!$F$2:$F$227,MATCH(C18,'Keyword Master Database'!$A$2:$A$227,0))</f>
        <v>BOFU</v>
      </c>
      <c r="G18" s="20" t="s">
        <v>410</v>
      </c>
      <c r="H18" s="20" t="s">
        <v>77</v>
      </c>
      <c r="I18" s="20" t="s">
        <v>173</v>
      </c>
    </row>
    <row r="19">
      <c r="A19" s="28" t="s">
        <v>549</v>
      </c>
      <c r="B19" s="25" t="s">
        <v>550</v>
      </c>
      <c r="C19" s="25" t="s">
        <v>366</v>
      </c>
      <c r="D19" s="25" t="s">
        <v>367</v>
      </c>
      <c r="E19" s="27" t="str">
        <f t="array" ref="E19">INDEX('Keyword Master Database'!$E$2:$E$227,MATCH(C19,'Keyword Master Database'!$A$2:$A$227,0))</f>
        <v>Informational</v>
      </c>
      <c r="F19" s="27" t="str">
        <f t="array" ref="F19">INDEX('Keyword Master Database'!$F$2:$F$227,MATCH(C19,'Keyword Master Database'!$A$2:$A$227,0))</f>
        <v>TOFU</v>
      </c>
      <c r="G19" s="27" t="s">
        <v>432</v>
      </c>
      <c r="H19" s="27" t="s">
        <v>386</v>
      </c>
      <c r="I19" s="27" t="s">
        <v>173</v>
      </c>
    </row>
    <row r="20">
      <c r="A20" s="19" t="s">
        <v>378</v>
      </c>
      <c r="B20" s="12" t="s">
        <v>373</v>
      </c>
      <c r="C20" s="12" t="s">
        <v>374</v>
      </c>
      <c r="D20" s="12" t="s">
        <v>375</v>
      </c>
      <c r="E20" s="20" t="str">
        <f t="array" ref="E20">INDEX('Keyword Master Database'!$E$2:$E$227,MATCH(C20,'Keyword Master Database'!$A$2:$A$227,0))</f>
        <v>Transactional</v>
      </c>
      <c r="F20" s="20" t="str">
        <f t="array" ref="F20">INDEX('Keyword Master Database'!$F$2:$F$227,MATCH(C20,'Keyword Master Database'!$A$2:$A$227,0))</f>
        <v>BOFU</v>
      </c>
      <c r="G20" s="20" t="s">
        <v>410</v>
      </c>
      <c r="H20" s="20" t="s">
        <v>77</v>
      </c>
      <c r="I20" s="20" t="s">
        <v>173</v>
      </c>
    </row>
    <row r="21" ht="15.75" customHeight="1">
      <c r="A21" s="28" t="s">
        <v>390</v>
      </c>
      <c r="B21" s="25" t="s">
        <v>563</v>
      </c>
      <c r="C21" s="25" t="s">
        <v>383</v>
      </c>
      <c r="D21" s="25" t="s">
        <v>384</v>
      </c>
      <c r="E21" s="27" t="str">
        <f t="array" ref="E21">INDEX('Keyword Master Database'!$E$2:$E$227,MATCH(C21,'Keyword Master Database'!$A$2:$A$227,0))</f>
        <v>Transactional</v>
      </c>
      <c r="F21" s="27" t="str">
        <f t="array" ref="F21">INDEX('Keyword Master Database'!$F$2:$F$227,MATCH(C21,'Keyword Master Database'!$A$2:$A$227,0))</f>
        <v>BOFU</v>
      </c>
      <c r="G21" s="27" t="s">
        <v>410</v>
      </c>
      <c r="H21" s="27" t="s">
        <v>77</v>
      </c>
      <c r="I21" s="27" t="s">
        <v>112</v>
      </c>
    </row>
    <row r="22" ht="15.75" customHeight="1">
      <c r="A22" s="19" t="s">
        <v>572</v>
      </c>
      <c r="B22" s="12" t="s">
        <v>573</v>
      </c>
      <c r="C22" s="12" t="s">
        <v>393</v>
      </c>
      <c r="D22" s="12" t="s">
        <v>394</v>
      </c>
      <c r="E22" s="20" t="str">
        <f t="array" ref="E22">INDEX('Keyword Master Database'!$E$2:$E$227,MATCH(C22,'Keyword Master Database'!$A$2:$A$227,0))</f>
        <v>Informational</v>
      </c>
      <c r="F22" s="20" t="str">
        <f t="array" ref="F22">INDEX('Keyword Master Database'!$F$2:$F$227,MATCH(C22,'Keyword Master Database'!$A$2:$A$227,0))</f>
        <v>TOFU</v>
      </c>
      <c r="G22" s="20" t="s">
        <v>432</v>
      </c>
      <c r="H22" s="20" t="s">
        <v>386</v>
      </c>
      <c r="I22" s="20" t="s">
        <v>173</v>
      </c>
    </row>
    <row r="23" ht="15.75" customHeight="1">
      <c r="A23" s="28" t="s">
        <v>595</v>
      </c>
      <c r="B23" s="25" t="s">
        <v>596</v>
      </c>
      <c r="C23" s="25" t="s">
        <v>406</v>
      </c>
      <c r="D23" s="25" t="s">
        <v>597</v>
      </c>
      <c r="E23" s="27" t="str">
        <f t="array" ref="E23">INDEX('Keyword Master Database'!$E$2:$E$227,MATCH(C23,'Keyword Master Database'!$A$2:$A$227,0))</f>
        <v>Transactional</v>
      </c>
      <c r="F23" s="27" t="str">
        <f t="array" ref="F23">INDEX('Keyword Master Database'!$F$2:$F$227,MATCH(C23,'Keyword Master Database'!$A$2:$A$227,0))</f>
        <v>BOFU</v>
      </c>
      <c r="G23" s="27" t="s">
        <v>432</v>
      </c>
      <c r="H23" s="27" t="s">
        <v>386</v>
      </c>
      <c r="I23" s="27" t="s">
        <v>112</v>
      </c>
    </row>
    <row r="24" ht="15.75" customHeight="1">
      <c r="A24" s="19" t="s">
        <v>419</v>
      </c>
      <c r="B24" s="12" t="s">
        <v>599</v>
      </c>
      <c r="C24" s="12" t="s">
        <v>416</v>
      </c>
      <c r="D24" s="12" t="s">
        <v>602</v>
      </c>
      <c r="E24" s="20" t="str">
        <f t="array" ref="E24">INDEX('Keyword Master Database'!$E$2:$E$227,MATCH(C24,'Keyword Master Database'!$A$2:$A$227,0))</f>
        <v>Transactional</v>
      </c>
      <c r="F24" s="20" t="str">
        <f t="array" ref="F24">INDEX('Keyword Master Database'!$F$2:$F$227,MATCH(C24,'Keyword Master Database'!$A$2:$A$227,0))</f>
        <v>BOFU</v>
      </c>
      <c r="G24" s="20" t="s">
        <v>410</v>
      </c>
      <c r="H24" s="20" t="s">
        <v>77</v>
      </c>
      <c r="I24" s="20" t="s">
        <v>112</v>
      </c>
    </row>
    <row r="25" ht="15.75" customHeight="1">
      <c r="A25" s="28" t="s">
        <v>433</v>
      </c>
      <c r="B25" s="25" t="s">
        <v>604</v>
      </c>
      <c r="C25" s="25" t="s">
        <v>424</v>
      </c>
      <c r="D25" s="25" t="s">
        <v>425</v>
      </c>
      <c r="E25" s="27" t="str">
        <f t="array" ref="E25">INDEX('Keyword Master Database'!$E$2:$E$227,MATCH(C25,'Keyword Master Database'!$A$2:$A$227,0))</f>
        <v>Commercial</v>
      </c>
      <c r="F25" s="27" t="str">
        <f t="array" ref="F25">INDEX('Keyword Master Database'!$F$2:$F$227,MATCH(C25,'Keyword Master Database'!$A$2:$A$227,0))</f>
        <v>MOFU</v>
      </c>
      <c r="G25" s="27" t="s">
        <v>410</v>
      </c>
      <c r="H25" s="27" t="s">
        <v>77</v>
      </c>
      <c r="I25" s="27" t="s">
        <v>173</v>
      </c>
    </row>
    <row r="26" ht="15.75" customHeight="1">
      <c r="A26" s="19" t="s">
        <v>448</v>
      </c>
      <c r="B26" s="12" t="s">
        <v>605</v>
      </c>
      <c r="C26" s="12" t="s">
        <v>441</v>
      </c>
      <c r="D26" s="12" t="s">
        <v>442</v>
      </c>
      <c r="E26" s="20" t="str">
        <f t="array" ref="E26">INDEX('Keyword Master Database'!$E$2:$E$227,MATCH(C26,'Keyword Master Database'!$A$2:$A$227,0))</f>
        <v>Transactional</v>
      </c>
      <c r="F26" s="20" t="str">
        <f t="array" ref="F26">INDEX('Keyword Master Database'!$F$2:$F$227,MATCH(C26,'Keyword Master Database'!$A$2:$A$227,0))</f>
        <v>BOFU</v>
      </c>
      <c r="G26" s="20" t="s">
        <v>410</v>
      </c>
      <c r="H26" s="20" t="s">
        <v>77</v>
      </c>
      <c r="I26" s="20" t="s">
        <v>173</v>
      </c>
    </row>
    <row r="27" ht="15.75" customHeight="1">
      <c r="A27" s="28" t="s">
        <v>608</v>
      </c>
      <c r="B27" s="25" t="s">
        <v>609</v>
      </c>
      <c r="C27" s="25" t="s">
        <v>458</v>
      </c>
      <c r="D27" s="25" t="s">
        <v>459</v>
      </c>
      <c r="E27" s="27" t="str">
        <f t="array" ref="E27">INDEX('Keyword Master Database'!$E$2:$E$227,MATCH(C27,'Keyword Master Database'!$A$2:$A$227,0))</f>
        <v>Commercial</v>
      </c>
      <c r="F27" s="27" t="str">
        <f t="array" ref="F27">INDEX('Keyword Master Database'!$F$2:$F$227,MATCH(C27,'Keyword Master Database'!$A$2:$A$227,0))</f>
        <v>MOFU</v>
      </c>
      <c r="G27" s="27" t="s">
        <v>432</v>
      </c>
      <c r="H27" s="27" t="s">
        <v>386</v>
      </c>
      <c r="I27" s="27" t="s">
        <v>173</v>
      </c>
    </row>
    <row r="28" ht="15.75" customHeight="1">
      <c r="A28" s="19" t="s">
        <v>474</v>
      </c>
      <c r="B28" s="12" t="s">
        <v>614</v>
      </c>
      <c r="C28" s="12" t="s">
        <v>469</v>
      </c>
      <c r="D28" s="12" t="s">
        <v>470</v>
      </c>
      <c r="E28" s="20" t="str">
        <f t="array" ref="E28">INDEX('Keyword Master Database'!$E$2:$E$227,MATCH(C28,'Keyword Master Database'!$A$2:$A$227,0))</f>
        <v>Transactional</v>
      </c>
      <c r="F28" s="20" t="str">
        <f t="array" ref="F28">INDEX('Keyword Master Database'!$F$2:$F$227,MATCH(C28,'Keyword Master Database'!$A$2:$A$227,0))</f>
        <v>BOFU</v>
      </c>
      <c r="G28" s="20" t="s">
        <v>410</v>
      </c>
      <c r="H28" s="20" t="s">
        <v>77</v>
      </c>
      <c r="I28" s="20" t="s">
        <v>173</v>
      </c>
    </row>
    <row r="29" ht="15.75" customHeight="1">
      <c r="A29" s="28" t="s">
        <v>622</v>
      </c>
      <c r="B29" s="25" t="s">
        <v>623</v>
      </c>
      <c r="C29" s="25" t="s">
        <v>477</v>
      </c>
      <c r="D29" s="25" t="s">
        <v>478</v>
      </c>
      <c r="E29" s="27" t="str">
        <f t="array" ref="E29">INDEX('Keyword Master Database'!$E$2:$E$227,MATCH(C29,'Keyword Master Database'!$A$2:$A$227,0))</f>
        <v>Informational</v>
      </c>
      <c r="F29" s="27" t="str">
        <f t="array" ref="F29">INDEX('Keyword Master Database'!$F$2:$F$227,MATCH(C29,'Keyword Master Database'!$A$2:$A$227,0))</f>
        <v>TOFU</v>
      </c>
      <c r="G29" s="27" t="s">
        <v>432</v>
      </c>
      <c r="H29" s="27" t="s">
        <v>386</v>
      </c>
      <c r="I29" s="27" t="s">
        <v>173</v>
      </c>
    </row>
    <row r="30" ht="15.75" customHeight="1">
      <c r="A30" s="19" t="s">
        <v>498</v>
      </c>
      <c r="B30" s="12" t="s">
        <v>628</v>
      </c>
      <c r="C30" s="12" t="s">
        <v>495</v>
      </c>
      <c r="D30" s="12" t="s">
        <v>496</v>
      </c>
      <c r="E30" s="20" t="str">
        <f t="array" ref="E30">INDEX('Keyword Master Database'!$E$2:$E$227,MATCH(C30,'Keyword Master Database'!$A$2:$A$227,0))</f>
        <v>Transactional</v>
      </c>
      <c r="F30" s="20" t="str">
        <f t="array" ref="F30">INDEX('Keyword Master Database'!$F$2:$F$227,MATCH(C30,'Keyword Master Database'!$A$2:$A$227,0))</f>
        <v>BOFU</v>
      </c>
      <c r="G30" s="20" t="s">
        <v>410</v>
      </c>
      <c r="H30" s="20" t="s">
        <v>77</v>
      </c>
      <c r="I30" s="20" t="s">
        <v>173</v>
      </c>
    </row>
    <row r="31" ht="15.75" customHeight="1">
      <c r="A31" s="28" t="s">
        <v>631</v>
      </c>
      <c r="B31" s="25" t="s">
        <v>632</v>
      </c>
      <c r="C31" s="25" t="s">
        <v>501</v>
      </c>
      <c r="D31" s="25" t="s">
        <v>503</v>
      </c>
      <c r="E31" s="27" t="str">
        <f t="array" ref="E31">INDEX('Keyword Master Database'!$E$2:$E$227,MATCH(C31,'Keyword Master Database'!$A$2:$A$227,0))</f>
        <v>Commercial</v>
      </c>
      <c r="F31" s="27" t="str">
        <f t="array" ref="F31">INDEX('Keyword Master Database'!$F$2:$F$227,MATCH(C31,'Keyword Master Database'!$A$2:$A$227,0))</f>
        <v>MOFU</v>
      </c>
      <c r="G31" s="27" t="s">
        <v>432</v>
      </c>
      <c r="H31" s="27" t="s">
        <v>386</v>
      </c>
      <c r="I31" s="27" t="s">
        <v>173</v>
      </c>
    </row>
    <row r="32" ht="15.75" customHeight="1">
      <c r="A32" s="19" t="s">
        <v>522</v>
      </c>
      <c r="B32" s="12" t="s">
        <v>635</v>
      </c>
      <c r="C32" s="12" t="s">
        <v>515</v>
      </c>
      <c r="D32" s="12" t="s">
        <v>516</v>
      </c>
      <c r="E32" s="20" t="str">
        <f t="array" ref="E32">INDEX('Keyword Master Database'!$E$2:$E$227,MATCH(C32,'Keyword Master Database'!$A$2:$A$227,0))</f>
        <v>Transactional</v>
      </c>
      <c r="F32" s="20" t="str">
        <f t="array" ref="F32">INDEX('Keyword Master Database'!$F$2:$F$227,MATCH(C32,'Keyword Master Database'!$A$2:$A$227,0))</f>
        <v>BOFU</v>
      </c>
      <c r="G32" s="20" t="s">
        <v>410</v>
      </c>
      <c r="H32" s="20" t="s">
        <v>77</v>
      </c>
      <c r="I32" s="20" t="s">
        <v>173</v>
      </c>
    </row>
    <row r="33" ht="15.75" customHeight="1">
      <c r="A33" s="28" t="s">
        <v>530</v>
      </c>
      <c r="B33" s="25" t="s">
        <v>640</v>
      </c>
      <c r="C33" s="25" t="s">
        <v>526</v>
      </c>
      <c r="D33" s="25" t="s">
        <v>641</v>
      </c>
      <c r="E33" s="27" t="str">
        <f t="array" ref="E33">INDEX('Keyword Master Database'!$E$2:$E$227,MATCH(C33,'Keyword Master Database'!$A$2:$A$227,0))</f>
        <v>Transactional</v>
      </c>
      <c r="F33" s="27" t="str">
        <f t="array" ref="F33">INDEX('Keyword Master Database'!$F$2:$F$227,MATCH(C33,'Keyword Master Database'!$A$2:$A$227,0))</f>
        <v>BOFU</v>
      </c>
      <c r="G33" s="27" t="s">
        <v>410</v>
      </c>
      <c r="H33" s="27" t="s">
        <v>77</v>
      </c>
      <c r="I33" s="27" t="s">
        <v>173</v>
      </c>
    </row>
    <row r="34" ht="15.75" customHeight="1">
      <c r="A34" s="19" t="s">
        <v>642</v>
      </c>
      <c r="B34" s="12" t="s">
        <v>643</v>
      </c>
      <c r="C34" s="12" t="s">
        <v>533</v>
      </c>
      <c r="D34" s="12" t="s">
        <v>534</v>
      </c>
      <c r="E34" s="20" t="str">
        <f t="array" ref="E34">INDEX('Keyword Master Database'!$E$2:$E$227,MATCH(C34,'Keyword Master Database'!$A$2:$A$227,0))</f>
        <v>Commercial</v>
      </c>
      <c r="F34" s="20" t="str">
        <f t="array" ref="F34">INDEX('Keyword Master Database'!$F$2:$F$227,MATCH(C34,'Keyword Master Database'!$A$2:$A$227,0))</f>
        <v>MOFU</v>
      </c>
      <c r="G34" s="20" t="s">
        <v>432</v>
      </c>
      <c r="H34" s="20" t="s">
        <v>386</v>
      </c>
      <c r="I34" s="20" t="s">
        <v>173</v>
      </c>
    </row>
    <row r="35" ht="15.75" customHeight="1">
      <c r="A35" s="28" t="s">
        <v>552</v>
      </c>
      <c r="B35" s="25" t="s">
        <v>644</v>
      </c>
      <c r="C35" s="25" t="s">
        <v>541</v>
      </c>
      <c r="D35" s="25" t="s">
        <v>645</v>
      </c>
      <c r="E35" s="27" t="str">
        <f t="array" ref="E35">INDEX('Keyword Master Database'!$E$2:$E$227,MATCH(C35,'Keyword Master Database'!$A$2:$A$227,0))</f>
        <v>Transactional</v>
      </c>
      <c r="F35" s="27" t="str">
        <f t="array" ref="F35">INDEX('Keyword Master Database'!$F$2:$F$227,MATCH(C35,'Keyword Master Database'!$A$2:$A$227,0))</f>
        <v>BOFU</v>
      </c>
      <c r="G35" s="27" t="s">
        <v>410</v>
      </c>
      <c r="H35" s="27" t="s">
        <v>77</v>
      </c>
      <c r="I35" s="27" t="s">
        <v>173</v>
      </c>
    </row>
    <row r="36" ht="15.75" customHeight="1">
      <c r="A36" s="19" t="s">
        <v>647</v>
      </c>
      <c r="B36" s="12" t="s">
        <v>648</v>
      </c>
      <c r="C36" s="12" t="s">
        <v>557</v>
      </c>
      <c r="D36" s="12" t="s">
        <v>558</v>
      </c>
      <c r="E36" s="20" t="str">
        <f t="array" ref="E36">INDEX('Keyword Master Database'!$E$2:$E$227,MATCH(C36,'Keyword Master Database'!$A$2:$A$227,0))</f>
        <v>Transactional</v>
      </c>
      <c r="F36" s="20" t="str">
        <f t="array" ref="F36">INDEX('Keyword Master Database'!$F$2:$F$227,MATCH(C36,'Keyword Master Database'!$A$2:$A$227,0))</f>
        <v>BOFU</v>
      </c>
      <c r="G36" s="20" t="s">
        <v>432</v>
      </c>
      <c r="H36" s="20" t="s">
        <v>386</v>
      </c>
      <c r="I36" s="20" t="s">
        <v>112</v>
      </c>
    </row>
    <row r="37" ht="15.75" customHeight="1">
      <c r="A37" s="28" t="s">
        <v>649</v>
      </c>
      <c r="B37" s="25" t="s">
        <v>650</v>
      </c>
      <c r="C37" s="25" t="s">
        <v>567</v>
      </c>
      <c r="D37" s="25" t="s">
        <v>568</v>
      </c>
      <c r="E37" s="27" t="str">
        <f t="array" ref="E37">INDEX('Keyword Master Database'!$E$2:$E$227,MATCH(C37,'Keyword Master Database'!$A$2:$A$227,0))</f>
        <v>Transactional</v>
      </c>
      <c r="F37" s="27" t="str">
        <f t="array" ref="F37">INDEX('Keyword Master Database'!$F$2:$F$227,MATCH(C37,'Keyword Master Database'!$A$2:$A$227,0))</f>
        <v>BOFU</v>
      </c>
      <c r="G37" s="27" t="s">
        <v>432</v>
      </c>
      <c r="H37" s="27" t="s">
        <v>386</v>
      </c>
      <c r="I37" s="27" t="s">
        <v>173</v>
      </c>
    </row>
    <row r="38" ht="15.75" customHeight="1">
      <c r="A38" s="19" t="s">
        <v>651</v>
      </c>
      <c r="B38" s="12" t="s">
        <v>652</v>
      </c>
      <c r="C38" s="12" t="s">
        <v>575</v>
      </c>
      <c r="D38" s="12" t="s">
        <v>576</v>
      </c>
      <c r="E38" s="20" t="str">
        <f t="array" ref="E38">INDEX('Keyword Master Database'!$E$2:$E$227,MATCH(C38,'Keyword Master Database'!$A$2:$A$227,0))</f>
        <v>Transactional</v>
      </c>
      <c r="F38" s="20" t="str">
        <f t="array" ref="F38">INDEX('Keyword Master Database'!$F$2:$F$227,MATCH(C38,'Keyword Master Database'!$A$2:$A$227,0))</f>
        <v>BOFU</v>
      </c>
      <c r="G38" s="20" t="s">
        <v>432</v>
      </c>
      <c r="H38" s="20" t="s">
        <v>386</v>
      </c>
      <c r="I38" s="20" t="s">
        <v>173</v>
      </c>
    </row>
    <row r="39" ht="15.75" customHeight="1">
      <c r="A39" s="28" t="s">
        <v>654</v>
      </c>
      <c r="B39" s="25" t="s">
        <v>655</v>
      </c>
      <c r="C39" s="25" t="s">
        <v>582</v>
      </c>
      <c r="D39" s="25" t="s">
        <v>583</v>
      </c>
      <c r="E39" s="27" t="str">
        <f t="array" ref="E39">INDEX('Keyword Master Database'!$E$2:$E$227,MATCH(C39,'Keyword Master Database'!$A$2:$A$227,0))</f>
        <v>Transactional</v>
      </c>
      <c r="F39" s="27" t="str">
        <f t="array" ref="F39">INDEX('Keyword Master Database'!$F$2:$F$227,MATCH(C39,'Keyword Master Database'!$A$2:$A$227,0))</f>
        <v>BOFU</v>
      </c>
      <c r="G39" s="27" t="s">
        <v>432</v>
      </c>
      <c r="H39" s="27" t="s">
        <v>386</v>
      </c>
      <c r="I39" s="27" t="s">
        <v>173</v>
      </c>
    </row>
    <row r="40" ht="15.75" customHeight="1">
      <c r="A40" s="19" t="s">
        <v>656</v>
      </c>
      <c r="B40" s="12" t="s">
        <v>657</v>
      </c>
      <c r="C40" s="12" t="s">
        <v>588</v>
      </c>
      <c r="D40" s="12"/>
      <c r="E40" s="20" t="str">
        <f t="array" ref="E40">INDEX('Keyword Master Database'!$E$2:$E$227,MATCH(C40,'Keyword Master Database'!$A$2:$A$227,0))</f>
        <v>Commercial</v>
      </c>
      <c r="F40" s="20" t="str">
        <f t="array" ref="F40">INDEX('Keyword Master Database'!$F$2:$F$227,MATCH(C40,'Keyword Master Database'!$A$2:$A$227,0))</f>
        <v>MOFU</v>
      </c>
      <c r="G40" s="20" t="s">
        <v>432</v>
      </c>
      <c r="H40" s="20" t="s">
        <v>386</v>
      </c>
      <c r="I40" s="20" t="s">
        <v>112</v>
      </c>
    </row>
    <row r="41" ht="15.75" customHeight="1">
      <c r="A41" s="28" t="s">
        <v>659</v>
      </c>
      <c r="B41" s="25" t="s">
        <v>660</v>
      </c>
      <c r="C41" s="25" t="s">
        <v>661</v>
      </c>
      <c r="D41" s="25" t="s">
        <v>662</v>
      </c>
      <c r="E41" s="27" t="s">
        <v>33</v>
      </c>
      <c r="F41" s="27" t="s">
        <v>208</v>
      </c>
      <c r="G41" s="27" t="s">
        <v>410</v>
      </c>
      <c r="H41" s="27" t="s">
        <v>663</v>
      </c>
      <c r="I41" s="27" t="s">
        <v>173</v>
      </c>
    </row>
    <row r="42" ht="15.75" customHeight="1">
      <c r="A42" s="19" t="s">
        <v>664</v>
      </c>
      <c r="B42" s="12" t="s">
        <v>665</v>
      </c>
      <c r="C42" s="12" t="s">
        <v>661</v>
      </c>
      <c r="D42" s="12" t="s">
        <v>589</v>
      </c>
      <c r="E42" s="20" t="s">
        <v>33</v>
      </c>
      <c r="F42" s="20" t="s">
        <v>208</v>
      </c>
      <c r="G42" s="20" t="s">
        <v>410</v>
      </c>
      <c r="H42" s="20" t="s">
        <v>663</v>
      </c>
      <c r="I42" s="20" t="s">
        <v>173</v>
      </c>
    </row>
    <row r="43" ht="15.75" customHeight="1">
      <c r="A43" s="28" t="s">
        <v>666</v>
      </c>
      <c r="B43" s="25" t="s">
        <v>667</v>
      </c>
      <c r="C43" s="25" t="s">
        <v>668</v>
      </c>
      <c r="D43" s="25" t="s">
        <v>215</v>
      </c>
      <c r="E43" s="27" t="s">
        <v>33</v>
      </c>
      <c r="F43" s="27" t="s">
        <v>35</v>
      </c>
      <c r="G43" s="27" t="s">
        <v>410</v>
      </c>
      <c r="H43" s="27" t="s">
        <v>663</v>
      </c>
      <c r="I43" s="27" t="s">
        <v>173</v>
      </c>
    </row>
    <row r="44" ht="15.75" customHeight="1">
      <c r="A44" s="19" t="s">
        <v>669</v>
      </c>
      <c r="B44" s="12" t="s">
        <v>670</v>
      </c>
      <c r="C44" s="12" t="s">
        <v>668</v>
      </c>
      <c r="D44" s="12" t="s">
        <v>363</v>
      </c>
      <c r="E44" s="20" t="s">
        <v>305</v>
      </c>
      <c r="F44" s="20" t="s">
        <v>35</v>
      </c>
      <c r="G44" s="20" t="s">
        <v>410</v>
      </c>
      <c r="H44" s="20" t="s">
        <v>663</v>
      </c>
      <c r="I44" s="20" t="s">
        <v>173</v>
      </c>
    </row>
    <row r="45" ht="15.75" customHeight="1">
      <c r="A45" s="28" t="s">
        <v>672</v>
      </c>
      <c r="B45" s="25" t="s">
        <v>673</v>
      </c>
      <c r="C45" s="25" t="s">
        <v>674</v>
      </c>
      <c r="D45" s="25" t="s">
        <v>589</v>
      </c>
      <c r="E45" s="27" t="s">
        <v>412</v>
      </c>
      <c r="F45" s="27" t="s">
        <v>413</v>
      </c>
      <c r="G45" s="27" t="s">
        <v>410</v>
      </c>
      <c r="H45" s="27" t="s">
        <v>77</v>
      </c>
      <c r="I45" s="27" t="s">
        <v>173</v>
      </c>
    </row>
    <row r="46" ht="15.75" customHeight="1">
      <c r="A46" s="19" t="s">
        <v>676</v>
      </c>
      <c r="B46" s="12" t="s">
        <v>677</v>
      </c>
      <c r="C46" s="12" t="s">
        <v>406</v>
      </c>
      <c r="D46" s="12" t="s">
        <v>679</v>
      </c>
      <c r="E46" s="20" t="s">
        <v>356</v>
      </c>
      <c r="F46" s="20" t="s">
        <v>208</v>
      </c>
      <c r="G46" s="20" t="s">
        <v>410</v>
      </c>
      <c r="H46" s="20" t="s">
        <v>681</v>
      </c>
      <c r="I46" s="20" t="s">
        <v>87</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2:I46">
    <cfRule type="cellIs" dxfId="0" priority="1" operator="equal">
      <formula>"High"</formula>
    </cfRule>
  </conditionalFormatting>
  <conditionalFormatting sqref="I2:I46">
    <cfRule type="cellIs" dxfId="1" priority="2" operator="equal">
      <formula>"Medium"</formula>
    </cfRule>
  </conditionalFormatting>
  <conditionalFormatting sqref="G2:G46">
    <cfRule type="cellIs" dxfId="2" priority="3" operator="equal">
      <formula>"New"</formula>
    </cfRule>
  </conditionalFormatting>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9.0"/>
    <col customWidth="1" min="2" max="2" width="52.86"/>
    <col customWidth="1" min="3" max="3" width="61.43"/>
    <col customWidth="1" min="4" max="4" width="47.29"/>
    <col customWidth="1" min="5" max="5" width="45.71"/>
    <col customWidth="1" min="6" max="26" width="8.71"/>
  </cols>
  <sheetData>
    <row r="1">
      <c r="A1" s="2" t="s">
        <v>675</v>
      </c>
      <c r="B1" s="2" t="s">
        <v>678</v>
      </c>
      <c r="C1" s="2" t="s">
        <v>680</v>
      </c>
      <c r="D1" s="2" t="s">
        <v>54</v>
      </c>
      <c r="E1" s="2" t="s">
        <v>682</v>
      </c>
    </row>
    <row r="2">
      <c r="A2" s="19" t="s">
        <v>683</v>
      </c>
      <c r="B2" s="12" t="s">
        <v>684</v>
      </c>
      <c r="C2" s="12" t="s">
        <v>685</v>
      </c>
      <c r="D2" s="12" t="s">
        <v>686</v>
      </c>
      <c r="E2" s="12" t="s">
        <v>687</v>
      </c>
    </row>
    <row r="3">
      <c r="A3" s="28" t="s">
        <v>688</v>
      </c>
      <c r="B3" s="25" t="s">
        <v>690</v>
      </c>
      <c r="C3" s="25" t="s">
        <v>691</v>
      </c>
      <c r="D3" s="25" t="s">
        <v>692</v>
      </c>
      <c r="E3" s="25" t="s">
        <v>693</v>
      </c>
    </row>
    <row r="4">
      <c r="A4" s="19" t="s">
        <v>694</v>
      </c>
      <c r="B4" s="12" t="s">
        <v>695</v>
      </c>
      <c r="C4" s="12" t="s">
        <v>696</v>
      </c>
      <c r="D4" s="12" t="s">
        <v>697</v>
      </c>
      <c r="E4" s="12" t="s">
        <v>698</v>
      </c>
    </row>
    <row r="5">
      <c r="A5" s="28" t="s">
        <v>699</v>
      </c>
      <c r="B5" s="25" t="s">
        <v>700</v>
      </c>
      <c r="C5" s="25" t="s">
        <v>701</v>
      </c>
      <c r="D5" s="25" t="s">
        <v>702</v>
      </c>
      <c r="E5" s="25" t="s">
        <v>703</v>
      </c>
    </row>
    <row r="6">
      <c r="A6" s="19" t="s">
        <v>380</v>
      </c>
      <c r="B6" s="12" t="s">
        <v>704</v>
      </c>
      <c r="C6" s="12" t="s">
        <v>705</v>
      </c>
      <c r="D6" s="12" t="s">
        <v>706</v>
      </c>
      <c r="E6" s="12" t="s">
        <v>707</v>
      </c>
    </row>
    <row r="7">
      <c r="A7" s="28" t="s">
        <v>640</v>
      </c>
      <c r="B7" s="25" t="s">
        <v>708</v>
      </c>
      <c r="C7" s="25" t="s">
        <v>709</v>
      </c>
      <c r="D7" s="25" t="s">
        <v>710</v>
      </c>
      <c r="E7" s="25" t="s">
        <v>711</v>
      </c>
    </row>
    <row r="8">
      <c r="A8" s="19" t="s">
        <v>712</v>
      </c>
      <c r="B8" s="12" t="s">
        <v>713</v>
      </c>
      <c r="C8" s="12" t="s">
        <v>714</v>
      </c>
      <c r="D8" s="12" t="s">
        <v>715</v>
      </c>
      <c r="E8" s="12" t="s">
        <v>716</v>
      </c>
    </row>
    <row r="9">
      <c r="A9" s="28" t="s">
        <v>717</v>
      </c>
      <c r="B9" s="25" t="s">
        <v>718</v>
      </c>
      <c r="C9" s="25" t="s">
        <v>719</v>
      </c>
      <c r="D9" s="25" t="s">
        <v>720</v>
      </c>
      <c r="E9" s="25" t="s">
        <v>721</v>
      </c>
    </row>
    <row r="10">
      <c r="A10" s="19" t="s">
        <v>587</v>
      </c>
      <c r="B10" s="12" t="s">
        <v>723</v>
      </c>
      <c r="C10" s="12" t="s">
        <v>724</v>
      </c>
      <c r="D10" s="12" t="s">
        <v>725</v>
      </c>
      <c r="E10" s="12" t="s">
        <v>726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9.86"/>
    <col customWidth="1" min="2" max="2" width="32.14"/>
    <col customWidth="1" min="3" max="3" width="57.14"/>
    <col customWidth="1" min="4" max="4" width="47.57"/>
    <col customWidth="1" min="5" max="5" width="61.0"/>
    <col customWidth="1" min="6" max="26" width="8.71"/>
  </cols>
  <sheetData>
    <row r="1" ht="31.5" customHeight="1">
      <c r="A1" s="2" t="s">
        <v>732</v>
      </c>
      <c r="B1" s="2" t="s">
        <v>733</v>
      </c>
      <c r="C1" s="2" t="s">
        <v>734</v>
      </c>
      <c r="D1" s="2" t="s">
        <v>554</v>
      </c>
      <c r="E1" s="2" t="s">
        <v>735</v>
      </c>
    </row>
    <row r="2">
      <c r="A2" s="19" t="s">
        <v>736</v>
      </c>
      <c r="B2" s="12" t="s">
        <v>222</v>
      </c>
      <c r="C2" s="12" t="s">
        <v>737</v>
      </c>
      <c r="D2" s="12" t="s">
        <v>738</v>
      </c>
      <c r="E2" s="12" t="s">
        <v>739</v>
      </c>
    </row>
    <row r="3">
      <c r="A3" s="19" t="s">
        <v>740</v>
      </c>
      <c r="B3" s="12" t="s">
        <v>489</v>
      </c>
      <c r="C3" s="12" t="s">
        <v>741</v>
      </c>
      <c r="D3" s="12" t="s">
        <v>742</v>
      </c>
      <c r="E3" s="12" t="s">
        <v>743</v>
      </c>
    </row>
    <row r="4">
      <c r="A4" s="19" t="s">
        <v>744</v>
      </c>
      <c r="B4" s="12" t="s">
        <v>654</v>
      </c>
      <c r="C4" s="12" t="s">
        <v>745</v>
      </c>
      <c r="D4" s="12" t="s">
        <v>746</v>
      </c>
      <c r="E4" s="12" t="s">
        <v>747</v>
      </c>
    </row>
    <row r="5">
      <c r="A5" s="19" t="s">
        <v>748</v>
      </c>
      <c r="B5" s="12" t="s">
        <v>595</v>
      </c>
      <c r="C5" s="12" t="s">
        <v>749</v>
      </c>
      <c r="D5" s="12" t="s">
        <v>750</v>
      </c>
      <c r="E5" s="12" t="s">
        <v>751</v>
      </c>
    </row>
    <row r="6">
      <c r="A6" s="19" t="s">
        <v>752</v>
      </c>
      <c r="B6" s="12" t="s">
        <v>385</v>
      </c>
      <c r="C6" s="12" t="s">
        <v>753</v>
      </c>
      <c r="D6" s="12" t="s">
        <v>754</v>
      </c>
      <c r="E6" s="12" t="s">
        <v>755</v>
      </c>
    </row>
    <row r="7">
      <c r="A7" s="19" t="s">
        <v>756</v>
      </c>
      <c r="B7" s="12" t="s">
        <v>530</v>
      </c>
      <c r="C7" s="12" t="s">
        <v>642</v>
      </c>
      <c r="D7" s="12" t="s">
        <v>757</v>
      </c>
      <c r="E7" s="12" t="s">
        <v>758</v>
      </c>
    </row>
    <row r="8">
      <c r="A8" s="19" t="s">
        <v>759</v>
      </c>
      <c r="B8" s="12" t="s">
        <v>68</v>
      </c>
      <c r="C8" s="12" t="s">
        <v>760</v>
      </c>
      <c r="D8" s="12" t="s">
        <v>761</v>
      </c>
      <c r="E8" s="12" t="s">
        <v>762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9.71"/>
    <col customWidth="1" min="3" max="3" width="48.86"/>
    <col customWidth="1" min="4" max="4" width="63.86"/>
    <col customWidth="1" min="5" max="26" width="8.71"/>
  </cols>
  <sheetData>
    <row r="1">
      <c r="A1" s="2" t="s">
        <v>766</v>
      </c>
      <c r="B1" s="2" t="s">
        <v>767</v>
      </c>
      <c r="C1" s="2" t="s">
        <v>768</v>
      </c>
      <c r="D1" s="2" t="s">
        <v>554</v>
      </c>
    </row>
    <row r="2">
      <c r="A2" s="19" t="s">
        <v>222</v>
      </c>
      <c r="B2" s="12" t="s">
        <v>465</v>
      </c>
      <c r="C2" s="12" t="s">
        <v>226</v>
      </c>
      <c r="D2" s="12" t="s">
        <v>770</v>
      </c>
    </row>
    <row r="3">
      <c r="A3" s="28" t="s">
        <v>465</v>
      </c>
      <c r="B3" s="25" t="s">
        <v>222</v>
      </c>
      <c r="C3" s="25" t="s">
        <v>219</v>
      </c>
      <c r="D3" s="25" t="s">
        <v>771</v>
      </c>
    </row>
    <row r="4">
      <c r="A4" s="19" t="s">
        <v>222</v>
      </c>
      <c r="B4" s="12" t="s">
        <v>472</v>
      </c>
      <c r="C4" s="12" t="s">
        <v>235</v>
      </c>
      <c r="D4" s="12" t="s">
        <v>770</v>
      </c>
    </row>
    <row r="5">
      <c r="A5" s="28" t="s">
        <v>472</v>
      </c>
      <c r="B5" s="25" t="s">
        <v>222</v>
      </c>
      <c r="C5" s="25" t="s">
        <v>219</v>
      </c>
      <c r="D5" s="25" t="s">
        <v>771</v>
      </c>
    </row>
    <row r="6">
      <c r="A6" s="19" t="s">
        <v>222</v>
      </c>
      <c r="B6" s="12" t="s">
        <v>481</v>
      </c>
      <c r="C6" s="12" t="s">
        <v>244</v>
      </c>
      <c r="D6" s="12" t="s">
        <v>770</v>
      </c>
    </row>
    <row r="7">
      <c r="A7" s="28" t="s">
        <v>481</v>
      </c>
      <c r="B7" s="25" t="s">
        <v>222</v>
      </c>
      <c r="C7" s="25" t="s">
        <v>219</v>
      </c>
      <c r="D7" s="25" t="s">
        <v>771</v>
      </c>
    </row>
    <row r="8">
      <c r="A8" s="19" t="s">
        <v>222</v>
      </c>
      <c r="B8" s="12" t="s">
        <v>512</v>
      </c>
      <c r="C8" s="12" t="s">
        <v>301</v>
      </c>
      <c r="D8" s="12" t="s">
        <v>770</v>
      </c>
    </row>
    <row r="9">
      <c r="A9" s="28" t="s">
        <v>512</v>
      </c>
      <c r="B9" s="25" t="s">
        <v>222</v>
      </c>
      <c r="C9" s="25" t="s">
        <v>219</v>
      </c>
      <c r="D9" s="25" t="s">
        <v>771</v>
      </c>
    </row>
    <row r="10">
      <c r="A10" s="19" t="s">
        <v>222</v>
      </c>
      <c r="B10" s="12" t="s">
        <v>531</v>
      </c>
      <c r="C10" s="12" t="s">
        <v>352</v>
      </c>
      <c r="D10" s="12" t="s">
        <v>770</v>
      </c>
    </row>
    <row r="11">
      <c r="A11" s="28" t="s">
        <v>531</v>
      </c>
      <c r="B11" s="25" t="s">
        <v>222</v>
      </c>
      <c r="C11" s="25" t="s">
        <v>219</v>
      </c>
      <c r="D11" s="25" t="s">
        <v>771</v>
      </c>
    </row>
    <row r="12">
      <c r="A12" s="19" t="s">
        <v>489</v>
      </c>
      <c r="B12" s="12" t="s">
        <v>343</v>
      </c>
      <c r="C12" s="12" t="s">
        <v>339</v>
      </c>
      <c r="D12" s="12" t="s">
        <v>770</v>
      </c>
    </row>
    <row r="13">
      <c r="A13" s="28" t="s">
        <v>343</v>
      </c>
      <c r="B13" s="25" t="s">
        <v>489</v>
      </c>
      <c r="C13" s="25" t="s">
        <v>250</v>
      </c>
      <c r="D13" s="25" t="s">
        <v>771</v>
      </c>
    </row>
    <row r="14">
      <c r="A14" s="19" t="s">
        <v>489</v>
      </c>
      <c r="B14" s="12" t="s">
        <v>378</v>
      </c>
      <c r="C14" s="12" t="s">
        <v>374</v>
      </c>
      <c r="D14" s="12" t="s">
        <v>770</v>
      </c>
    </row>
    <row r="15">
      <c r="A15" s="28" t="s">
        <v>378</v>
      </c>
      <c r="B15" s="25" t="s">
        <v>489</v>
      </c>
      <c r="C15" s="25" t="s">
        <v>250</v>
      </c>
      <c r="D15" s="25" t="s">
        <v>771</v>
      </c>
    </row>
    <row r="16">
      <c r="A16" s="19" t="s">
        <v>489</v>
      </c>
      <c r="B16" s="12" t="s">
        <v>531</v>
      </c>
      <c r="C16" s="12" t="s">
        <v>352</v>
      </c>
      <c r="D16" s="12" t="s">
        <v>770</v>
      </c>
    </row>
    <row r="17">
      <c r="A17" s="28" t="s">
        <v>531</v>
      </c>
      <c r="B17" s="25" t="s">
        <v>489</v>
      </c>
      <c r="C17" s="25" t="s">
        <v>250</v>
      </c>
      <c r="D17" s="25" t="s">
        <v>771</v>
      </c>
    </row>
    <row r="18">
      <c r="A18" s="19" t="s">
        <v>489</v>
      </c>
      <c r="B18" s="12" t="s">
        <v>523</v>
      </c>
      <c r="C18" s="12" t="s">
        <v>345</v>
      </c>
      <c r="D18" s="12" t="s">
        <v>770</v>
      </c>
    </row>
    <row r="19">
      <c r="A19" s="28" t="s">
        <v>523</v>
      </c>
      <c r="B19" s="25" t="s">
        <v>489</v>
      </c>
      <c r="C19" s="25" t="s">
        <v>250</v>
      </c>
      <c r="D19" s="25" t="s">
        <v>771</v>
      </c>
    </row>
    <row r="20">
      <c r="A20" s="19" t="s">
        <v>654</v>
      </c>
      <c r="B20" s="12" t="s">
        <v>364</v>
      </c>
      <c r="C20" s="12" t="s">
        <v>360</v>
      </c>
      <c r="D20" s="12" t="s">
        <v>770</v>
      </c>
    </row>
    <row r="21" ht="15.75" customHeight="1">
      <c r="A21" s="28" t="s">
        <v>364</v>
      </c>
      <c r="B21" s="25" t="s">
        <v>654</v>
      </c>
      <c r="C21" s="25" t="s">
        <v>582</v>
      </c>
      <c r="D21" s="25" t="s">
        <v>771</v>
      </c>
    </row>
    <row r="22" ht="15.75" customHeight="1">
      <c r="A22" s="19" t="s">
        <v>654</v>
      </c>
      <c r="B22" s="12" t="s">
        <v>498</v>
      </c>
      <c r="C22" s="12" t="s">
        <v>495</v>
      </c>
      <c r="D22" s="12" t="s">
        <v>770</v>
      </c>
    </row>
    <row r="23" ht="15.75" customHeight="1">
      <c r="A23" s="28" t="s">
        <v>498</v>
      </c>
      <c r="B23" s="25" t="s">
        <v>654</v>
      </c>
      <c r="C23" s="25" t="s">
        <v>582</v>
      </c>
      <c r="D23" s="25" t="s">
        <v>771</v>
      </c>
    </row>
    <row r="24" ht="15.75" customHeight="1">
      <c r="A24" s="19" t="s">
        <v>654</v>
      </c>
      <c r="B24" s="12" t="s">
        <v>448</v>
      </c>
      <c r="C24" s="12" t="s">
        <v>441</v>
      </c>
      <c r="D24" s="12" t="s">
        <v>770</v>
      </c>
    </row>
    <row r="25" ht="15.75" customHeight="1">
      <c r="A25" s="28" t="s">
        <v>448</v>
      </c>
      <c r="B25" s="25" t="s">
        <v>654</v>
      </c>
      <c r="C25" s="25" t="s">
        <v>582</v>
      </c>
      <c r="D25" s="25" t="s">
        <v>771</v>
      </c>
    </row>
    <row r="26" ht="15.75" customHeight="1">
      <c r="A26" s="19" t="s">
        <v>654</v>
      </c>
      <c r="B26" s="12" t="s">
        <v>474</v>
      </c>
      <c r="C26" s="12" t="s">
        <v>469</v>
      </c>
      <c r="D26" s="12" t="s">
        <v>770</v>
      </c>
    </row>
    <row r="27" ht="15.75" customHeight="1">
      <c r="A27" s="28" t="s">
        <v>474</v>
      </c>
      <c r="B27" s="25" t="s">
        <v>654</v>
      </c>
      <c r="C27" s="25" t="s">
        <v>582</v>
      </c>
      <c r="D27" s="25" t="s">
        <v>771</v>
      </c>
    </row>
    <row r="28" ht="15.75" customHeight="1">
      <c r="A28" s="19" t="s">
        <v>654</v>
      </c>
      <c r="B28" s="12" t="s">
        <v>549</v>
      </c>
      <c r="C28" s="12" t="s">
        <v>366</v>
      </c>
      <c r="D28" s="12" t="s">
        <v>770</v>
      </c>
    </row>
    <row r="29" ht="15.75" customHeight="1">
      <c r="A29" s="28" t="s">
        <v>549</v>
      </c>
      <c r="B29" s="25" t="s">
        <v>654</v>
      </c>
      <c r="C29" s="25" t="s">
        <v>582</v>
      </c>
      <c r="D29" s="25" t="s">
        <v>771</v>
      </c>
    </row>
    <row r="30" ht="15.75" customHeight="1">
      <c r="A30" s="19" t="s">
        <v>654</v>
      </c>
      <c r="B30" s="12" t="s">
        <v>631</v>
      </c>
      <c r="C30" s="12" t="s">
        <v>501</v>
      </c>
      <c r="D30" s="12" t="s">
        <v>770</v>
      </c>
    </row>
    <row r="31" ht="15.75" customHeight="1">
      <c r="A31" s="28" t="s">
        <v>631</v>
      </c>
      <c r="B31" s="25" t="s">
        <v>654</v>
      </c>
      <c r="C31" s="25" t="s">
        <v>582</v>
      </c>
      <c r="D31" s="25" t="s">
        <v>771</v>
      </c>
    </row>
    <row r="32" ht="15.75" customHeight="1">
      <c r="A32" s="19" t="s">
        <v>654</v>
      </c>
      <c r="B32" s="12" t="s">
        <v>608</v>
      </c>
      <c r="C32" s="12" t="s">
        <v>458</v>
      </c>
      <c r="D32" s="12" t="s">
        <v>770</v>
      </c>
    </row>
    <row r="33" ht="15.75" customHeight="1">
      <c r="A33" s="28" t="s">
        <v>608</v>
      </c>
      <c r="B33" s="25" t="s">
        <v>654</v>
      </c>
      <c r="C33" s="25" t="s">
        <v>582</v>
      </c>
      <c r="D33" s="25" t="s">
        <v>771</v>
      </c>
    </row>
    <row r="34" ht="15.75" customHeight="1">
      <c r="A34" s="19" t="s">
        <v>654</v>
      </c>
      <c r="B34" s="12" t="s">
        <v>622</v>
      </c>
      <c r="C34" s="12" t="s">
        <v>477</v>
      </c>
      <c r="D34" s="12" t="s">
        <v>770</v>
      </c>
    </row>
    <row r="35" ht="15.75" customHeight="1">
      <c r="A35" s="28" t="s">
        <v>622</v>
      </c>
      <c r="B35" s="25" t="s">
        <v>654</v>
      </c>
      <c r="C35" s="25" t="s">
        <v>582</v>
      </c>
      <c r="D35" s="25" t="s">
        <v>771</v>
      </c>
    </row>
    <row r="36" ht="15.75" customHeight="1">
      <c r="A36" s="19" t="s">
        <v>595</v>
      </c>
      <c r="B36" s="12" t="s">
        <v>390</v>
      </c>
      <c r="C36" s="12" t="s">
        <v>383</v>
      </c>
      <c r="D36" s="12" t="s">
        <v>770</v>
      </c>
    </row>
    <row r="37" ht="15.75" customHeight="1">
      <c r="A37" s="28" t="s">
        <v>390</v>
      </c>
      <c r="B37" s="25" t="s">
        <v>595</v>
      </c>
      <c r="C37" s="25" t="s">
        <v>406</v>
      </c>
      <c r="D37" s="25" t="s">
        <v>771</v>
      </c>
    </row>
    <row r="38" ht="15.75" customHeight="1">
      <c r="A38" s="19" t="s">
        <v>595</v>
      </c>
      <c r="B38" s="12" t="s">
        <v>419</v>
      </c>
      <c r="C38" s="12" t="s">
        <v>416</v>
      </c>
      <c r="D38" s="12" t="s">
        <v>770</v>
      </c>
    </row>
    <row r="39" ht="15.75" customHeight="1">
      <c r="A39" s="28" t="s">
        <v>419</v>
      </c>
      <c r="B39" s="25" t="s">
        <v>595</v>
      </c>
      <c r="C39" s="25" t="s">
        <v>406</v>
      </c>
      <c r="D39" s="25" t="s">
        <v>771</v>
      </c>
    </row>
    <row r="40" ht="15.75" customHeight="1">
      <c r="A40" s="19" t="s">
        <v>595</v>
      </c>
      <c r="B40" s="12" t="s">
        <v>433</v>
      </c>
      <c r="C40" s="12" t="s">
        <v>424</v>
      </c>
      <c r="D40" s="12" t="s">
        <v>770</v>
      </c>
    </row>
    <row r="41" ht="15.75" customHeight="1">
      <c r="A41" s="28" t="s">
        <v>433</v>
      </c>
      <c r="B41" s="25" t="s">
        <v>595</v>
      </c>
      <c r="C41" s="25" t="s">
        <v>406</v>
      </c>
      <c r="D41" s="25" t="s">
        <v>771</v>
      </c>
    </row>
    <row r="42" ht="15.75" customHeight="1">
      <c r="A42" s="19" t="s">
        <v>595</v>
      </c>
      <c r="B42" s="12" t="s">
        <v>572</v>
      </c>
      <c r="C42" s="12" t="s">
        <v>393</v>
      </c>
      <c r="D42" s="12" t="s">
        <v>770</v>
      </c>
    </row>
    <row r="43" ht="15.75" customHeight="1">
      <c r="A43" s="28" t="s">
        <v>572</v>
      </c>
      <c r="B43" s="25" t="s">
        <v>595</v>
      </c>
      <c r="C43" s="25" t="s">
        <v>406</v>
      </c>
      <c r="D43" s="25" t="s">
        <v>771</v>
      </c>
    </row>
    <row r="44" ht="15.75" customHeight="1">
      <c r="A44" s="19" t="s">
        <v>385</v>
      </c>
      <c r="B44" s="12" t="s">
        <v>429</v>
      </c>
      <c r="C44" s="12" t="s">
        <v>195</v>
      </c>
      <c r="D44" s="12" t="s">
        <v>770</v>
      </c>
    </row>
    <row r="45" ht="15.75" customHeight="1">
      <c r="A45" s="28" t="s">
        <v>429</v>
      </c>
      <c r="B45" s="25" t="s">
        <v>385</v>
      </c>
      <c r="C45" s="25" t="s">
        <v>181</v>
      </c>
      <c r="D45" s="25" t="s">
        <v>771</v>
      </c>
    </row>
    <row r="46" ht="15.75" customHeight="1">
      <c r="A46" s="19" t="s">
        <v>385</v>
      </c>
      <c r="B46" s="12" t="s">
        <v>437</v>
      </c>
      <c r="C46" s="12" t="s">
        <v>203</v>
      </c>
      <c r="D46" s="12" t="s">
        <v>770</v>
      </c>
    </row>
    <row r="47" ht="15.75" customHeight="1">
      <c r="A47" s="28" t="s">
        <v>437</v>
      </c>
      <c r="B47" s="25" t="s">
        <v>385</v>
      </c>
      <c r="C47" s="25" t="s">
        <v>181</v>
      </c>
      <c r="D47" s="25" t="s">
        <v>771</v>
      </c>
    </row>
    <row r="48" ht="15.75" customHeight="1">
      <c r="A48" s="19" t="s">
        <v>385</v>
      </c>
      <c r="B48" s="12" t="s">
        <v>522</v>
      </c>
      <c r="C48" s="12" t="s">
        <v>515</v>
      </c>
      <c r="D48" s="12" t="s">
        <v>770</v>
      </c>
    </row>
    <row r="49" ht="15.75" customHeight="1">
      <c r="A49" s="28" t="s">
        <v>522</v>
      </c>
      <c r="B49" s="25" t="s">
        <v>385</v>
      </c>
      <c r="C49" s="25" t="s">
        <v>181</v>
      </c>
      <c r="D49" s="25" t="s">
        <v>771</v>
      </c>
    </row>
    <row r="50" ht="15.75" customHeight="1">
      <c r="A50" s="19" t="s">
        <v>385</v>
      </c>
      <c r="B50" s="12" t="s">
        <v>446</v>
      </c>
      <c r="C50" s="12" t="s">
        <v>211</v>
      </c>
      <c r="D50" s="12" t="s">
        <v>770</v>
      </c>
    </row>
    <row r="51" ht="15.75" customHeight="1">
      <c r="A51" s="28" t="s">
        <v>446</v>
      </c>
      <c r="B51" s="25" t="s">
        <v>385</v>
      </c>
      <c r="C51" s="25" t="s">
        <v>181</v>
      </c>
      <c r="D51" s="25" t="s">
        <v>771</v>
      </c>
    </row>
    <row r="52" ht="15.75" customHeight="1">
      <c r="A52" s="19" t="s">
        <v>530</v>
      </c>
      <c r="B52" s="12" t="s">
        <v>642</v>
      </c>
      <c r="C52" s="12" t="s">
        <v>533</v>
      </c>
      <c r="D52" s="12" t="s">
        <v>770</v>
      </c>
    </row>
    <row r="53" ht="15.75" customHeight="1">
      <c r="A53" s="28" t="s">
        <v>642</v>
      </c>
      <c r="B53" s="25" t="s">
        <v>530</v>
      </c>
      <c r="C53" s="25" t="s">
        <v>526</v>
      </c>
      <c r="D53" s="25" t="s">
        <v>771</v>
      </c>
    </row>
    <row r="54" ht="15.75" customHeight="1">
      <c r="A54" s="19" t="s">
        <v>68</v>
      </c>
      <c r="B54" s="12" t="s">
        <v>647</v>
      </c>
      <c r="C54" s="12" t="s">
        <v>557</v>
      </c>
      <c r="D54" s="12" t="s">
        <v>770</v>
      </c>
    </row>
    <row r="55" ht="15.75" customHeight="1">
      <c r="A55" s="28" t="s">
        <v>647</v>
      </c>
      <c r="B55" s="25" t="s">
        <v>68</v>
      </c>
      <c r="C55" s="25" t="s">
        <v>792</v>
      </c>
      <c r="D55" s="25" t="s">
        <v>771</v>
      </c>
    </row>
    <row r="56" ht="15.75" customHeight="1">
      <c r="A56" s="19" t="s">
        <v>68</v>
      </c>
      <c r="B56" s="12" t="s">
        <v>649</v>
      </c>
      <c r="C56" s="12" t="s">
        <v>567</v>
      </c>
      <c r="D56" s="12" t="s">
        <v>770</v>
      </c>
    </row>
    <row r="57" ht="15.75" customHeight="1">
      <c r="A57" s="28" t="s">
        <v>649</v>
      </c>
      <c r="B57" s="25" t="s">
        <v>68</v>
      </c>
      <c r="C57" s="25" t="s">
        <v>792</v>
      </c>
      <c r="D57" s="25" t="s">
        <v>771</v>
      </c>
    </row>
    <row r="58" ht="15.75" customHeight="1">
      <c r="A58" s="19" t="s">
        <v>68</v>
      </c>
      <c r="B58" s="12" t="s">
        <v>651</v>
      </c>
      <c r="C58" s="12" t="s">
        <v>575</v>
      </c>
      <c r="D58" s="12" t="s">
        <v>770</v>
      </c>
    </row>
    <row r="59" ht="15.75" customHeight="1">
      <c r="A59" s="28" t="s">
        <v>651</v>
      </c>
      <c r="B59" s="25" t="s">
        <v>68</v>
      </c>
      <c r="C59" s="25" t="s">
        <v>792</v>
      </c>
      <c r="D59" s="25" t="s">
        <v>771</v>
      </c>
    </row>
    <row r="60" ht="15.75" customHeight="1">
      <c r="A60" s="19" t="s">
        <v>68</v>
      </c>
      <c r="B60" s="12" t="s">
        <v>124</v>
      </c>
      <c r="C60" s="12" t="s">
        <v>97</v>
      </c>
      <c r="D60" s="12" t="s">
        <v>770</v>
      </c>
    </row>
    <row r="61" ht="15.75" customHeight="1">
      <c r="A61" s="28" t="s">
        <v>124</v>
      </c>
      <c r="B61" s="25" t="s">
        <v>68</v>
      </c>
      <c r="C61" s="25" t="s">
        <v>792</v>
      </c>
      <c r="D61" s="25" t="s">
        <v>771</v>
      </c>
    </row>
    <row r="62" ht="15.75" customHeight="1">
      <c r="A62" s="19" t="s">
        <v>68</v>
      </c>
      <c r="B62" s="12" t="s">
        <v>156</v>
      </c>
      <c r="C62" s="12" t="s">
        <v>137</v>
      </c>
      <c r="D62" s="12" t="s">
        <v>770</v>
      </c>
    </row>
    <row r="63" ht="15.75" customHeight="1">
      <c r="A63" s="28" t="s">
        <v>156</v>
      </c>
      <c r="B63" s="25" t="s">
        <v>68</v>
      </c>
      <c r="C63" s="25" t="s">
        <v>792</v>
      </c>
      <c r="D63" s="25" t="s">
        <v>771</v>
      </c>
    </row>
    <row r="64" ht="15.75" customHeight="1">
      <c r="A64" s="19" t="s">
        <v>68</v>
      </c>
      <c r="B64" s="12" t="s">
        <v>552</v>
      </c>
      <c r="C64" s="12" t="s">
        <v>541</v>
      </c>
      <c r="D64" s="12" t="s">
        <v>770</v>
      </c>
    </row>
    <row r="65" ht="15.75" customHeight="1">
      <c r="A65" s="28" t="s">
        <v>552</v>
      </c>
      <c r="B65" s="25" t="s">
        <v>68</v>
      </c>
      <c r="C65" s="25" t="s">
        <v>792</v>
      </c>
      <c r="D65" s="25" t="s">
        <v>771</v>
      </c>
    </row>
    <row r="66" ht="15.75" customHeight="1">
      <c r="A66" s="19" t="s">
        <v>68</v>
      </c>
      <c r="B66" s="12" t="s">
        <v>656</v>
      </c>
      <c r="C66" s="12" t="s">
        <v>588</v>
      </c>
      <c r="D66" s="12" t="s">
        <v>770</v>
      </c>
    </row>
    <row r="67" ht="15.75" customHeight="1">
      <c r="A67" s="28" t="s">
        <v>656</v>
      </c>
      <c r="B67" s="25" t="s">
        <v>68</v>
      </c>
      <c r="C67" s="25" t="s">
        <v>792</v>
      </c>
      <c r="D67" s="25" t="s">
        <v>771</v>
      </c>
    </row>
    <row r="68" ht="15.75" customHeight="1">
      <c r="A68" s="19" t="s">
        <v>68</v>
      </c>
      <c r="B68" s="12" t="s">
        <v>669</v>
      </c>
      <c r="C68" s="12" t="s">
        <v>797</v>
      </c>
      <c r="D68" s="12" t="s">
        <v>770</v>
      </c>
    </row>
    <row r="69" ht="15.75" customHeight="1">
      <c r="A69" s="28" t="s">
        <v>669</v>
      </c>
      <c r="B69" s="25" t="s">
        <v>68</v>
      </c>
      <c r="C69" s="25" t="s">
        <v>792</v>
      </c>
      <c r="D69" s="25" t="s">
        <v>771</v>
      </c>
    </row>
    <row r="70" ht="15.75" customHeight="1">
      <c r="A70" s="19" t="s">
        <v>68</v>
      </c>
      <c r="B70" s="12" t="s">
        <v>498</v>
      </c>
      <c r="C70" s="12" t="s">
        <v>495</v>
      </c>
      <c r="D70" s="12" t="s">
        <v>801</v>
      </c>
    </row>
    <row r="71" ht="15.75" customHeight="1">
      <c r="A71" s="28" t="s">
        <v>68</v>
      </c>
      <c r="B71" s="25" t="s">
        <v>419</v>
      </c>
      <c r="C71" s="25" t="s">
        <v>416</v>
      </c>
      <c r="D71" s="25" t="s">
        <v>801</v>
      </c>
    </row>
    <row r="72" ht="15.75" customHeight="1">
      <c r="A72" s="19" t="s">
        <v>68</v>
      </c>
      <c r="B72" s="12" t="s">
        <v>522</v>
      </c>
      <c r="C72" s="12" t="s">
        <v>515</v>
      </c>
      <c r="D72" s="12" t="s">
        <v>801</v>
      </c>
    </row>
    <row r="73" ht="15.75" customHeight="1">
      <c r="A73" s="28" t="s">
        <v>68</v>
      </c>
      <c r="B73" s="25" t="s">
        <v>364</v>
      </c>
      <c r="C73" s="25" t="s">
        <v>360</v>
      </c>
      <c r="D73" s="25" t="s">
        <v>801</v>
      </c>
    </row>
    <row r="74" ht="15.75" customHeight="1">
      <c r="A74" s="19" t="s">
        <v>68</v>
      </c>
      <c r="B74" s="12" t="s">
        <v>378</v>
      </c>
      <c r="C74" s="12" t="s">
        <v>374</v>
      </c>
      <c r="D74" s="12" t="s">
        <v>801</v>
      </c>
    </row>
    <row r="75" ht="15.75" customHeight="1">
      <c r="A75" s="28" t="s">
        <v>68</v>
      </c>
      <c r="B75" s="25" t="s">
        <v>390</v>
      </c>
      <c r="C75" s="25" t="s">
        <v>383</v>
      </c>
      <c r="D75" s="25" t="s">
        <v>801</v>
      </c>
    </row>
    <row r="76" ht="15.75" customHeight="1">
      <c r="A76" s="19" t="s">
        <v>68</v>
      </c>
      <c r="B76" s="12" t="s">
        <v>222</v>
      </c>
      <c r="C76" s="12" t="s">
        <v>219</v>
      </c>
      <c r="D76" s="12" t="s">
        <v>801</v>
      </c>
    </row>
    <row r="77" ht="15.75" customHeight="1">
      <c r="A77" s="28" t="s">
        <v>68</v>
      </c>
      <c r="B77" s="25" t="s">
        <v>343</v>
      </c>
      <c r="C77" s="25" t="s">
        <v>339</v>
      </c>
      <c r="D77" s="25" t="s">
        <v>801</v>
      </c>
    </row>
    <row r="78" ht="15.75" customHeight="1">
      <c r="A78" s="19" t="s">
        <v>68</v>
      </c>
      <c r="B78" s="12" t="s">
        <v>448</v>
      </c>
      <c r="C78" s="12" t="s">
        <v>441</v>
      </c>
      <c r="D78" s="12" t="s">
        <v>801</v>
      </c>
    </row>
    <row r="79" ht="15.75" customHeight="1">
      <c r="A79" s="28" t="s">
        <v>68</v>
      </c>
      <c r="B79" s="25" t="s">
        <v>474</v>
      </c>
      <c r="C79" s="25" t="s">
        <v>469</v>
      </c>
      <c r="D79" s="25" t="s">
        <v>801</v>
      </c>
    </row>
    <row r="80" ht="15.75" customHeight="1">
      <c r="A80" s="19" t="s">
        <v>68</v>
      </c>
      <c r="B80" s="12" t="s">
        <v>530</v>
      </c>
      <c r="C80" s="12" t="s">
        <v>526</v>
      </c>
      <c r="D80" s="12" t="s">
        <v>801</v>
      </c>
    </row>
    <row r="81" ht="15.75" customHeight="1">
      <c r="A81" s="28" t="s">
        <v>222</v>
      </c>
      <c r="B81" s="25" t="s">
        <v>343</v>
      </c>
      <c r="C81" s="25" t="s">
        <v>339</v>
      </c>
      <c r="D81" s="25" t="s">
        <v>807</v>
      </c>
    </row>
    <row r="82" ht="15.75" customHeight="1">
      <c r="A82" s="19" t="s">
        <v>222</v>
      </c>
      <c r="B82" s="12" t="s">
        <v>378</v>
      </c>
      <c r="C82" s="12" t="s">
        <v>374</v>
      </c>
      <c r="D82" s="12" t="s">
        <v>808</v>
      </c>
    </row>
    <row r="83" ht="15.75" customHeight="1">
      <c r="A83" s="28" t="s">
        <v>222</v>
      </c>
      <c r="B83" s="25" t="s">
        <v>552</v>
      </c>
      <c r="C83" s="25" t="s">
        <v>541</v>
      </c>
      <c r="D83" s="25" t="s">
        <v>809</v>
      </c>
    </row>
    <row r="84" ht="15.75" customHeight="1">
      <c r="A84" s="19" t="s">
        <v>465</v>
      </c>
      <c r="B84" s="12" t="s">
        <v>552</v>
      </c>
      <c r="C84" s="12" t="s">
        <v>541</v>
      </c>
      <c r="D84" s="12" t="s">
        <v>814</v>
      </c>
    </row>
    <row r="85" ht="15.75" customHeight="1">
      <c r="A85" s="28" t="s">
        <v>343</v>
      </c>
      <c r="B85" s="25" t="s">
        <v>531</v>
      </c>
      <c r="C85" s="25" t="s">
        <v>352</v>
      </c>
      <c r="D85" s="25" t="s">
        <v>815</v>
      </c>
    </row>
    <row r="86" ht="15.75" customHeight="1">
      <c r="A86" s="19" t="s">
        <v>378</v>
      </c>
      <c r="B86" s="12" t="s">
        <v>222</v>
      </c>
      <c r="C86" s="12" t="s">
        <v>219</v>
      </c>
      <c r="D86" s="12" t="s">
        <v>816</v>
      </c>
    </row>
    <row r="87" ht="15.75" customHeight="1">
      <c r="A87" s="28" t="s">
        <v>364</v>
      </c>
      <c r="B87" s="25" t="s">
        <v>222</v>
      </c>
      <c r="C87" s="25" t="s">
        <v>219</v>
      </c>
      <c r="D87" s="25" t="s">
        <v>817</v>
      </c>
    </row>
    <row r="88" ht="15.75" customHeight="1">
      <c r="A88" s="19" t="s">
        <v>448</v>
      </c>
      <c r="B88" s="12" t="s">
        <v>364</v>
      </c>
      <c r="C88" s="12" t="s">
        <v>360</v>
      </c>
      <c r="D88" s="12" t="s">
        <v>819</v>
      </c>
    </row>
    <row r="89" ht="15.75" customHeight="1">
      <c r="A89" s="28" t="s">
        <v>448</v>
      </c>
      <c r="B89" s="25" t="s">
        <v>474</v>
      </c>
      <c r="C89" s="25" t="s">
        <v>469</v>
      </c>
      <c r="D89" s="25" t="s">
        <v>820</v>
      </c>
    </row>
    <row r="90" ht="15.75" customHeight="1">
      <c r="A90" s="19" t="s">
        <v>474</v>
      </c>
      <c r="B90" s="12" t="s">
        <v>222</v>
      </c>
      <c r="C90" s="12" t="s">
        <v>219</v>
      </c>
      <c r="D90" s="12" t="s">
        <v>821</v>
      </c>
    </row>
    <row r="91" ht="15.75" customHeight="1">
      <c r="A91" s="28" t="s">
        <v>622</v>
      </c>
      <c r="B91" s="25" t="s">
        <v>222</v>
      </c>
      <c r="C91" s="25" t="s">
        <v>219</v>
      </c>
      <c r="D91" s="25" t="s">
        <v>825</v>
      </c>
    </row>
    <row r="92" ht="15.75" customHeight="1">
      <c r="A92" s="19" t="s">
        <v>390</v>
      </c>
      <c r="B92" s="12" t="s">
        <v>419</v>
      </c>
      <c r="C92" s="12" t="s">
        <v>416</v>
      </c>
      <c r="D92" s="12" t="s">
        <v>826</v>
      </c>
    </row>
    <row r="93" ht="15.75" customHeight="1">
      <c r="A93" s="28" t="s">
        <v>419</v>
      </c>
      <c r="B93" s="25" t="s">
        <v>390</v>
      </c>
      <c r="C93" s="25" t="s">
        <v>383</v>
      </c>
      <c r="D93" s="25" t="s">
        <v>827</v>
      </c>
    </row>
    <row r="94" ht="15.75" customHeight="1">
      <c r="A94" s="19" t="s">
        <v>433</v>
      </c>
      <c r="B94" s="12" t="s">
        <v>419</v>
      </c>
      <c r="C94" s="12" t="s">
        <v>416</v>
      </c>
      <c r="D94" s="12" t="s">
        <v>828</v>
      </c>
    </row>
    <row r="95" ht="15.75" customHeight="1">
      <c r="A95" s="28" t="s">
        <v>572</v>
      </c>
      <c r="B95" s="25" t="s">
        <v>390</v>
      </c>
      <c r="C95" s="25" t="s">
        <v>383</v>
      </c>
      <c r="D95" s="25" t="s">
        <v>828</v>
      </c>
    </row>
    <row r="96" ht="15.75" customHeight="1">
      <c r="A96" s="19" t="s">
        <v>530</v>
      </c>
      <c r="B96" s="12" t="s">
        <v>222</v>
      </c>
      <c r="C96" s="12" t="s">
        <v>219</v>
      </c>
      <c r="D96" s="12" t="s">
        <v>829</v>
      </c>
    </row>
    <row r="97" ht="15.75" customHeight="1">
      <c r="A97" s="28" t="s">
        <v>530</v>
      </c>
      <c r="B97" s="25" t="s">
        <v>364</v>
      </c>
      <c r="C97" s="25" t="s">
        <v>360</v>
      </c>
      <c r="D97" s="25" t="s">
        <v>830</v>
      </c>
    </row>
    <row r="98" ht="15.75" customHeight="1">
      <c r="A98" s="19" t="s">
        <v>530</v>
      </c>
      <c r="B98" s="12" t="s">
        <v>343</v>
      </c>
      <c r="C98" s="12" t="s">
        <v>339</v>
      </c>
      <c r="D98" s="12" t="s">
        <v>831</v>
      </c>
    </row>
    <row r="99" ht="15.75" customHeight="1">
      <c r="A99" s="28" t="s">
        <v>530</v>
      </c>
      <c r="B99" s="25" t="s">
        <v>552</v>
      </c>
      <c r="C99" s="25" t="s">
        <v>541</v>
      </c>
      <c r="D99" s="25" t="s">
        <v>832</v>
      </c>
    </row>
    <row r="100" ht="15.75" customHeight="1">
      <c r="A100" s="19" t="s">
        <v>656</v>
      </c>
      <c r="B100" s="12" t="s">
        <v>222</v>
      </c>
      <c r="C100" s="12" t="s">
        <v>219</v>
      </c>
      <c r="D100" s="12" t="s">
        <v>836</v>
      </c>
    </row>
    <row r="101" ht="15.75" customHeight="1">
      <c r="A101" s="28" t="s">
        <v>656</v>
      </c>
      <c r="B101" s="25" t="s">
        <v>465</v>
      </c>
      <c r="C101" s="25" t="s">
        <v>226</v>
      </c>
      <c r="D101" s="25" t="s">
        <v>838</v>
      </c>
    </row>
    <row r="102" ht="15.75" customHeight="1">
      <c r="A102" s="19" t="s">
        <v>656</v>
      </c>
      <c r="B102" s="12" t="s">
        <v>552</v>
      </c>
      <c r="C102" s="12" t="s">
        <v>541</v>
      </c>
      <c r="D102" s="12" t="s">
        <v>839</v>
      </c>
    </row>
    <row r="103" ht="15.75" customHeight="1">
      <c r="A103" s="28" t="s">
        <v>656</v>
      </c>
      <c r="B103" s="25" t="s">
        <v>385</v>
      </c>
      <c r="C103" s="25" t="s">
        <v>181</v>
      </c>
      <c r="D103" s="25" t="s">
        <v>841</v>
      </c>
    </row>
    <row r="104" ht="15.75" customHeight="1">
      <c r="A104" s="19" t="s">
        <v>647</v>
      </c>
      <c r="B104" s="12" t="s">
        <v>222</v>
      </c>
      <c r="C104" s="12" t="s">
        <v>219</v>
      </c>
      <c r="D104" s="12" t="s">
        <v>842</v>
      </c>
    </row>
    <row r="105" ht="15.75" customHeight="1">
      <c r="A105" s="28" t="s">
        <v>647</v>
      </c>
      <c r="B105" s="25" t="s">
        <v>385</v>
      </c>
      <c r="C105" s="25" t="s">
        <v>181</v>
      </c>
      <c r="D105" s="25" t="s">
        <v>843</v>
      </c>
    </row>
    <row r="106" ht="15.75" customHeight="1">
      <c r="A106" s="19" t="s">
        <v>649</v>
      </c>
      <c r="B106" s="12" t="s">
        <v>385</v>
      </c>
      <c r="C106" s="12" t="s">
        <v>181</v>
      </c>
      <c r="D106" s="12" t="s">
        <v>843</v>
      </c>
    </row>
    <row r="107" ht="15.75" customHeight="1">
      <c r="A107" s="28" t="s">
        <v>651</v>
      </c>
      <c r="B107" s="25" t="s">
        <v>222</v>
      </c>
      <c r="C107" s="25" t="s">
        <v>219</v>
      </c>
      <c r="D107" s="25" t="s">
        <v>842</v>
      </c>
    </row>
    <row r="108" ht="15.75" customHeight="1">
      <c r="A108" s="19" t="s">
        <v>124</v>
      </c>
      <c r="B108" s="12" t="s">
        <v>222</v>
      </c>
      <c r="C108" s="12" t="s">
        <v>219</v>
      </c>
      <c r="D108" s="12" t="s">
        <v>846</v>
      </c>
    </row>
    <row r="109" ht="15.75" customHeight="1">
      <c r="A109" s="28" t="s">
        <v>156</v>
      </c>
      <c r="B109" s="25" t="s">
        <v>595</v>
      </c>
      <c r="C109" s="25" t="s">
        <v>406</v>
      </c>
      <c r="D109" s="25" t="s">
        <v>846</v>
      </c>
    </row>
    <row r="110" ht="15.75" customHeight="1">
      <c r="A110" s="19" t="s">
        <v>437</v>
      </c>
      <c r="B110" s="12" t="s">
        <v>522</v>
      </c>
      <c r="C110" s="12" t="s">
        <v>515</v>
      </c>
      <c r="D110" s="12" t="s">
        <v>851</v>
      </c>
    </row>
    <row r="111" ht="15.75" customHeight="1">
      <c r="A111" s="28" t="s">
        <v>522</v>
      </c>
      <c r="B111" s="25" t="s">
        <v>437</v>
      </c>
      <c r="C111" s="25" t="s">
        <v>203</v>
      </c>
      <c r="D111" s="25" t="s">
        <v>851</v>
      </c>
    </row>
    <row r="112" ht="15.75" customHeight="1">
      <c r="A112" s="19" t="s">
        <v>446</v>
      </c>
      <c r="B112" s="12" t="s">
        <v>448</v>
      </c>
      <c r="C112" s="12" t="s">
        <v>441</v>
      </c>
      <c r="D112" s="12" t="s">
        <v>852</v>
      </c>
    </row>
    <row r="113" ht="15.75" customHeight="1">
      <c r="A113" s="28" t="s">
        <v>446</v>
      </c>
      <c r="B113" s="25" t="s">
        <v>474</v>
      </c>
      <c r="C113" s="25" t="s">
        <v>469</v>
      </c>
      <c r="D113" s="25" t="s">
        <v>852</v>
      </c>
    </row>
    <row r="114" ht="15.75" customHeight="1">
      <c r="A114" s="19" t="s">
        <v>222</v>
      </c>
      <c r="B114" s="12" t="s">
        <v>669</v>
      </c>
      <c r="C114" s="12" t="s">
        <v>797</v>
      </c>
      <c r="D114" s="12" t="s">
        <v>853</v>
      </c>
    </row>
    <row r="115" ht="15.75" customHeight="1">
      <c r="A115" s="28" t="s">
        <v>343</v>
      </c>
      <c r="B115" s="25" t="s">
        <v>669</v>
      </c>
      <c r="C115" s="25" t="s">
        <v>797</v>
      </c>
      <c r="D115" s="25" t="s">
        <v>853</v>
      </c>
    </row>
    <row r="116" ht="15.75" customHeight="1">
      <c r="A116" s="19" t="s">
        <v>390</v>
      </c>
      <c r="B116" s="12" t="s">
        <v>669</v>
      </c>
      <c r="C116" s="12" t="s">
        <v>797</v>
      </c>
      <c r="D116" s="12" t="s">
        <v>853</v>
      </c>
    </row>
    <row r="117" ht="15.75" customHeight="1">
      <c r="A117" s="28" t="s">
        <v>364</v>
      </c>
      <c r="B117" s="25" t="s">
        <v>669</v>
      </c>
      <c r="C117" s="25" t="s">
        <v>797</v>
      </c>
      <c r="D117" s="25" t="s">
        <v>853</v>
      </c>
    </row>
    <row r="118" ht="15.75" customHeight="1">
      <c r="A118" s="19" t="s">
        <v>530</v>
      </c>
      <c r="B118" s="12" t="s">
        <v>669</v>
      </c>
      <c r="C118" s="12" t="s">
        <v>797</v>
      </c>
      <c r="D118" s="12" t="s">
        <v>853</v>
      </c>
    </row>
    <row r="119" ht="15.75" customHeight="1">
      <c r="A119" s="28" t="s">
        <v>446</v>
      </c>
      <c r="B119" s="25" t="s">
        <v>669</v>
      </c>
      <c r="C119" s="25" t="s">
        <v>797</v>
      </c>
      <c r="D119" s="25" t="s">
        <v>853</v>
      </c>
    </row>
    <row r="120" ht="15.75" customHeight="1">
      <c r="A120" s="19" t="s">
        <v>595</v>
      </c>
      <c r="B120" s="12" t="s">
        <v>669</v>
      </c>
      <c r="C120" s="12" t="s">
        <v>797</v>
      </c>
      <c r="D120" s="12" t="s">
        <v>853</v>
      </c>
    </row>
    <row r="121" ht="15.75" customHeight="1">
      <c r="A121" s="28" t="s">
        <v>385</v>
      </c>
      <c r="B121" s="25" t="s">
        <v>669</v>
      </c>
      <c r="C121" s="25" t="s">
        <v>797</v>
      </c>
      <c r="D121" s="25" t="s">
        <v>853</v>
      </c>
    </row>
    <row r="122" ht="15.75" customHeight="1">
      <c r="A122" s="19" t="s">
        <v>465</v>
      </c>
      <c r="B122" s="12" t="s">
        <v>669</v>
      </c>
      <c r="C122" s="12" t="s">
        <v>797</v>
      </c>
      <c r="D122" s="12" t="s">
        <v>853</v>
      </c>
    </row>
    <row r="123" ht="15.75" customHeight="1">
      <c r="A123" s="28" t="s">
        <v>676</v>
      </c>
      <c r="B123" s="25" t="s">
        <v>595</v>
      </c>
      <c r="C123" s="25" t="s">
        <v>406</v>
      </c>
      <c r="D123" s="25" t="s">
        <v>865</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7.57"/>
    <col customWidth="1" min="3" max="3" width="22.57"/>
    <col customWidth="1" min="4" max="4" width="60.43"/>
    <col customWidth="1" min="5" max="5" width="38.43"/>
    <col customWidth="1" min="6" max="6" width="13.29"/>
    <col customWidth="1" min="7" max="7" width="7.29"/>
    <col customWidth="1" min="8" max="8" width="49.71"/>
    <col customWidth="1" min="9" max="9" width="26.29"/>
    <col customWidth="1" min="10" max="26" width="8.71"/>
  </cols>
  <sheetData>
    <row r="1">
      <c r="A1" s="2" t="s">
        <v>769</v>
      </c>
      <c r="B1" s="2" t="s">
        <v>83</v>
      </c>
      <c r="C1" s="2" t="s">
        <v>772</v>
      </c>
      <c r="D1" s="2" t="s">
        <v>773</v>
      </c>
      <c r="E1" s="2" t="s">
        <v>774</v>
      </c>
      <c r="F1" s="2" t="s">
        <v>5</v>
      </c>
      <c r="G1" s="2" t="s">
        <v>6</v>
      </c>
      <c r="H1" s="2" t="s">
        <v>257</v>
      </c>
      <c r="I1" s="2" t="s">
        <v>775</v>
      </c>
    </row>
    <row r="2">
      <c r="A2" s="20" t="s">
        <v>776</v>
      </c>
      <c r="B2" s="20" t="str">
        <f t="array" ref="B2">INDEX('Keyword Master Database'!$W$2:$W$227,MATCH(E2,'Keyword Master Database'!$A$2:$A$227,0))</f>
        <v>High</v>
      </c>
      <c r="C2" s="12" t="s">
        <v>777</v>
      </c>
      <c r="D2" s="19" t="s">
        <v>778</v>
      </c>
      <c r="E2" s="12" t="s">
        <v>160</v>
      </c>
      <c r="F2" s="20" t="str">
        <f t="array" ref="F2">INDEX('Keyword Master Database'!$E$2:$E$227,MATCH(E2,'Keyword Master Database'!$A$2:$A$227,0))</f>
        <v>Transactional</v>
      </c>
      <c r="G2" s="20" t="str">
        <f t="array" ref="G2">INDEX('Keyword Master Database'!$F$2:$F$227,MATCH(E2,'Keyword Master Database'!$A$2:$A$227,0))</f>
        <v>BOFU</v>
      </c>
      <c r="H2" s="12" t="s">
        <v>68</v>
      </c>
      <c r="I2" s="12" t="s">
        <v>780</v>
      </c>
    </row>
    <row r="3">
      <c r="A3" s="27" t="s">
        <v>776</v>
      </c>
      <c r="B3" s="27" t="str">
        <f t="array" ref="B3">INDEX('Keyword Master Database'!$W$2:$W$227,MATCH(E3,'Keyword Master Database'!$A$2:$A$227,0))</f>
        <v>High</v>
      </c>
      <c r="C3" s="25" t="s">
        <v>787</v>
      </c>
      <c r="D3" s="28" t="s">
        <v>788</v>
      </c>
      <c r="E3" s="25" t="s">
        <v>219</v>
      </c>
      <c r="F3" s="27" t="str">
        <f t="array" ref="F3">INDEX('Keyword Master Database'!$E$2:$E$227,MATCH(E3,'Keyword Master Database'!$A$2:$A$227,0))</f>
        <v>Transactional</v>
      </c>
      <c r="G3" s="27" t="str">
        <f t="array" ref="G3">INDEX('Keyword Master Database'!$F$2:$F$227,MATCH(E3,'Keyword Master Database'!$A$2:$A$227,0))</f>
        <v>BOFU</v>
      </c>
      <c r="H3" s="25" t="s">
        <v>222</v>
      </c>
      <c r="I3" s="25" t="s">
        <v>793</v>
      </c>
    </row>
    <row r="4">
      <c r="A4" s="20" t="s">
        <v>776</v>
      </c>
      <c r="B4" s="20" t="str">
        <f t="array" ref="B4">INDEX('Keyword Master Database'!$W$2:$W$227,MATCH(E4,'Keyword Master Database'!$A$2:$A$227,0))</f>
        <v>High</v>
      </c>
      <c r="C4" s="12" t="s">
        <v>787</v>
      </c>
      <c r="D4" s="19" t="s">
        <v>795</v>
      </c>
      <c r="E4" s="12" t="s">
        <v>526</v>
      </c>
      <c r="F4" s="20" t="str">
        <f t="array" ref="F4">INDEX('Keyword Master Database'!$E$2:$E$227,MATCH(E4,'Keyword Master Database'!$A$2:$A$227,0))</f>
        <v>Transactional</v>
      </c>
      <c r="G4" s="20" t="str">
        <f t="array" ref="G4">INDEX('Keyword Master Database'!$F$2:$F$227,MATCH(E4,'Keyword Master Database'!$A$2:$A$227,0))</f>
        <v>BOFU</v>
      </c>
      <c r="H4" s="12" t="s">
        <v>530</v>
      </c>
      <c r="I4" s="12" t="s">
        <v>793</v>
      </c>
    </row>
    <row r="5">
      <c r="A5" s="27" t="s">
        <v>776</v>
      </c>
      <c r="B5" s="27" t="str">
        <f t="array" ref="B5">INDEX('Keyword Master Database'!$W$2:$W$227,MATCH(E5,'Keyword Master Database'!$A$2:$A$227,0))</f>
        <v>Critical</v>
      </c>
      <c r="C5" s="25" t="s">
        <v>787</v>
      </c>
      <c r="D5" s="28" t="s">
        <v>806</v>
      </c>
      <c r="E5" s="25" t="s">
        <v>383</v>
      </c>
      <c r="F5" s="27" t="str">
        <f t="array" ref="F5">INDEX('Keyword Master Database'!$E$2:$E$227,MATCH(E5,'Keyword Master Database'!$A$2:$A$227,0))</f>
        <v>Transactional</v>
      </c>
      <c r="G5" s="27" t="str">
        <f t="array" ref="G5">INDEX('Keyword Master Database'!$F$2:$F$227,MATCH(E5,'Keyword Master Database'!$A$2:$A$227,0))</f>
        <v>BOFU</v>
      </c>
      <c r="H5" s="25" t="s">
        <v>390</v>
      </c>
      <c r="I5" s="25" t="s">
        <v>793</v>
      </c>
    </row>
    <row r="6">
      <c r="A6" s="20" t="s">
        <v>776</v>
      </c>
      <c r="B6" s="20" t="str">
        <f t="array" ref="B6">INDEX('Keyword Master Database'!$W$2:$W$227,MATCH(E6,'Keyword Master Database'!$A$2:$A$227,0))</f>
        <v>High</v>
      </c>
      <c r="C6" s="12" t="s">
        <v>787</v>
      </c>
      <c r="D6" s="19" t="s">
        <v>818</v>
      </c>
      <c r="E6" s="12" t="s">
        <v>339</v>
      </c>
      <c r="F6" s="20" t="str">
        <f t="array" ref="F6">INDEX('Keyword Master Database'!$E$2:$E$227,MATCH(E6,'Keyword Master Database'!$A$2:$A$227,0))</f>
        <v>Transactional</v>
      </c>
      <c r="G6" s="20" t="str">
        <f t="array" ref="G6">INDEX('Keyword Master Database'!$F$2:$F$227,MATCH(E6,'Keyword Master Database'!$A$2:$A$227,0))</f>
        <v>BOFU</v>
      </c>
      <c r="H6" s="12" t="s">
        <v>343</v>
      </c>
      <c r="I6" s="12" t="s">
        <v>793</v>
      </c>
    </row>
    <row r="7">
      <c r="A7" s="27" t="s">
        <v>776</v>
      </c>
      <c r="B7" s="27" t="str">
        <f t="array" ref="B7">INDEX('Keyword Master Database'!$W$2:$W$227,MATCH(E7,'Keyword Master Database'!$A$2:$A$227,0))</f>
        <v>High</v>
      </c>
      <c r="C7" s="25" t="s">
        <v>787</v>
      </c>
      <c r="D7" s="28" t="s">
        <v>840</v>
      </c>
      <c r="E7" s="25" t="s">
        <v>360</v>
      </c>
      <c r="F7" s="27" t="str">
        <f t="array" ref="F7">INDEX('Keyword Master Database'!$E$2:$E$227,MATCH(E7,'Keyword Master Database'!$A$2:$A$227,0))</f>
        <v>Transactional</v>
      </c>
      <c r="G7" s="27" t="str">
        <f t="array" ref="G7">INDEX('Keyword Master Database'!$F$2:$F$227,MATCH(E7,'Keyword Master Database'!$A$2:$A$227,0))</f>
        <v>BOFU</v>
      </c>
      <c r="H7" s="25" t="s">
        <v>364</v>
      </c>
      <c r="I7" s="25" t="s">
        <v>793</v>
      </c>
    </row>
    <row r="8">
      <c r="A8" s="20" t="s">
        <v>776</v>
      </c>
      <c r="B8" s="20" t="str">
        <f t="array" ref="B8">INDEX('Keyword Master Database'!$W$2:$W$227,MATCH(E8,'Keyword Master Database'!$A$2:$A$227,0))</f>
        <v>High</v>
      </c>
      <c r="C8" s="12" t="s">
        <v>787</v>
      </c>
      <c r="D8" s="19" t="s">
        <v>854</v>
      </c>
      <c r="E8" s="12" t="s">
        <v>441</v>
      </c>
      <c r="F8" s="20" t="str">
        <f t="array" ref="F8">INDEX('Keyword Master Database'!$E$2:$E$227,MATCH(E8,'Keyword Master Database'!$A$2:$A$227,0))</f>
        <v>Transactional</v>
      </c>
      <c r="G8" s="20" t="str">
        <f t="array" ref="G8">INDEX('Keyword Master Database'!$F$2:$F$227,MATCH(E8,'Keyword Master Database'!$A$2:$A$227,0))</f>
        <v>BOFU</v>
      </c>
      <c r="H8" s="12" t="s">
        <v>448</v>
      </c>
      <c r="I8" s="12" t="s">
        <v>793</v>
      </c>
    </row>
    <row r="9">
      <c r="A9" s="27" t="s">
        <v>776</v>
      </c>
      <c r="B9" s="27" t="str">
        <f t="array" ref="B9">INDEX('Keyword Master Database'!$W$2:$W$227,MATCH(E9,'Keyword Master Database'!$A$2:$A$227,0))</f>
        <v>High</v>
      </c>
      <c r="C9" s="25" t="s">
        <v>787</v>
      </c>
      <c r="D9" s="28" t="s">
        <v>864</v>
      </c>
      <c r="E9" s="25" t="s">
        <v>416</v>
      </c>
      <c r="F9" s="27" t="str">
        <f t="array" ref="F9">INDEX('Keyword Master Database'!$E$2:$E$227,MATCH(E9,'Keyword Master Database'!$A$2:$A$227,0))</f>
        <v>Transactional</v>
      </c>
      <c r="G9" s="27" t="str">
        <f t="array" ref="G9">INDEX('Keyword Master Database'!$F$2:$F$227,MATCH(E9,'Keyword Master Database'!$A$2:$A$227,0))</f>
        <v>BOFU</v>
      </c>
      <c r="H9" s="25" t="s">
        <v>419</v>
      </c>
      <c r="I9" s="25" t="s">
        <v>793</v>
      </c>
    </row>
    <row r="10">
      <c r="A10" s="20" t="s">
        <v>776</v>
      </c>
      <c r="B10" s="20" t="str">
        <f t="array" ref="B10">INDEX('Keyword Master Database'!$W$2:$W$227,MATCH(E10,'Keyword Master Database'!$A$2:$A$227,0))</f>
        <v>High</v>
      </c>
      <c r="C10" s="12" t="s">
        <v>869</v>
      </c>
      <c r="D10" s="19" t="s">
        <v>870</v>
      </c>
      <c r="E10" s="12" t="s">
        <v>541</v>
      </c>
      <c r="F10" s="20" t="str">
        <f t="array" ref="F10">INDEX('Keyword Master Database'!$E$2:$E$227,MATCH(E10,'Keyword Master Database'!$A$2:$A$227,0))</f>
        <v>Transactional</v>
      </c>
      <c r="G10" s="20" t="str">
        <f t="array" ref="G10">INDEX('Keyword Master Database'!$F$2:$F$227,MATCH(E10,'Keyword Master Database'!$A$2:$A$227,0))</f>
        <v>BOFU</v>
      </c>
      <c r="H10" s="12" t="s">
        <v>552</v>
      </c>
      <c r="I10" s="12" t="s">
        <v>780</v>
      </c>
    </row>
    <row r="11">
      <c r="A11" s="27" t="s">
        <v>776</v>
      </c>
      <c r="B11" s="27" t="str">
        <f t="array" ref="B11">INDEX('Keyword Master Database'!$W$2:$W$227,MATCH(E11,'Keyword Master Database'!$A$2:$A$227,0))</f>
        <v>Medium</v>
      </c>
      <c r="C11" s="25" t="s">
        <v>878</v>
      </c>
      <c r="D11" s="28" t="s">
        <v>879</v>
      </c>
      <c r="E11" s="25" t="s">
        <v>97</v>
      </c>
      <c r="F11" s="27" t="str">
        <f t="array" ref="F11">INDEX('Keyword Master Database'!$E$2:$E$227,MATCH(E11,'Keyword Master Database'!$A$2:$A$227,0))</f>
        <v>Navigational</v>
      </c>
      <c r="G11" s="27" t="str">
        <f t="array" ref="G11">INDEX('Keyword Master Database'!$F$2:$F$227,MATCH(E11,'Keyword Master Database'!$A$2:$A$227,0))</f>
        <v>MOFU</v>
      </c>
      <c r="H11" s="25" t="s">
        <v>124</v>
      </c>
      <c r="I11" s="25" t="s">
        <v>884</v>
      </c>
    </row>
    <row r="12">
      <c r="A12" s="20" t="s">
        <v>776</v>
      </c>
      <c r="B12" s="20" t="str">
        <f t="array" ref="B12">INDEX('Keyword Master Database'!$W$2:$W$227,MATCH(E12,'Keyword Master Database'!$A$2:$A$227,0))</f>
        <v>Medium</v>
      </c>
      <c r="C12" s="12" t="s">
        <v>878</v>
      </c>
      <c r="D12" s="19" t="s">
        <v>879</v>
      </c>
      <c r="E12" s="12" t="s">
        <v>137</v>
      </c>
      <c r="F12" s="20" t="str">
        <f t="array" ref="F12">INDEX('Keyword Master Database'!$E$2:$E$227,MATCH(E12,'Keyword Master Database'!$A$2:$A$227,0))</f>
        <v>Navigational</v>
      </c>
      <c r="G12" s="20" t="str">
        <f t="array" ref="G12">INDEX('Keyword Master Database'!$F$2:$F$227,MATCH(E12,'Keyword Master Database'!$A$2:$A$227,0))</f>
        <v>MOFU</v>
      </c>
      <c r="H12" s="12" t="s">
        <v>156</v>
      </c>
      <c r="I12" s="12" t="s">
        <v>884</v>
      </c>
    </row>
    <row r="13">
      <c r="A13" s="27" t="s">
        <v>893</v>
      </c>
      <c r="B13" s="27" t="str">
        <f t="array" ref="B13">INDEX('Keyword Master Database'!$W$2:$W$227,MATCH(E13,'Keyword Master Database'!$A$2:$A$227,0))</f>
        <v>Critical</v>
      </c>
      <c r="C13" s="25" t="s">
        <v>895</v>
      </c>
      <c r="D13" s="28" t="s">
        <v>896</v>
      </c>
      <c r="E13" s="25" t="s">
        <v>226</v>
      </c>
      <c r="F13" s="27" t="str">
        <f t="array" ref="F13">INDEX('Keyword Master Database'!$E$2:$E$227,MATCH(E13,'Keyword Master Database'!$A$2:$A$227,0))</f>
        <v>Transactional</v>
      </c>
      <c r="G13" s="27" t="str">
        <f t="array" ref="G13">INDEX('Keyword Master Database'!$F$2:$F$227,MATCH(E13,'Keyword Master Database'!$A$2:$A$227,0))</f>
        <v>BOFU</v>
      </c>
      <c r="H13" s="25" t="s">
        <v>465</v>
      </c>
      <c r="I13" s="25" t="s">
        <v>780</v>
      </c>
    </row>
    <row r="14">
      <c r="A14" s="20" t="s">
        <v>893</v>
      </c>
      <c r="B14" s="20" t="str">
        <f t="array" ref="B14">INDEX('Keyword Master Database'!$W$2:$W$227,MATCH(E14,'Keyword Master Database'!$A$2:$A$227,0))</f>
        <v>High</v>
      </c>
      <c r="C14" s="12" t="s">
        <v>898</v>
      </c>
      <c r="D14" s="19" t="s">
        <v>899</v>
      </c>
      <c r="E14" s="12" t="s">
        <v>181</v>
      </c>
      <c r="F14" s="20" t="str">
        <f t="array" ref="F14">INDEX('Keyword Master Database'!$E$2:$E$227,MATCH(E14,'Keyword Master Database'!$A$2:$A$227,0))</f>
        <v>Transactional</v>
      </c>
      <c r="G14" s="20" t="str">
        <f t="array" ref="G14">INDEX('Keyword Master Database'!$F$2:$F$227,MATCH(E14,'Keyword Master Database'!$A$2:$A$227,0))</f>
        <v>BOFU</v>
      </c>
      <c r="H14" s="12" t="s">
        <v>385</v>
      </c>
      <c r="I14" s="12" t="s">
        <v>780</v>
      </c>
    </row>
    <row r="15">
      <c r="A15" s="27" t="s">
        <v>893</v>
      </c>
      <c r="B15" s="27" t="str">
        <f t="array" ref="B15">INDEX('Keyword Master Database'!$W$2:$W$227,MATCH(E15,'Keyword Master Database'!$A$2:$A$227,0))</f>
        <v>High</v>
      </c>
      <c r="C15" s="25" t="s">
        <v>898</v>
      </c>
      <c r="D15" s="28" t="s">
        <v>902</v>
      </c>
      <c r="E15" s="25" t="s">
        <v>406</v>
      </c>
      <c r="F15" s="27" t="str">
        <f t="array" ref="F15">INDEX('Keyword Master Database'!$E$2:$E$227,MATCH(E15,'Keyword Master Database'!$A$2:$A$227,0))</f>
        <v>Transactional</v>
      </c>
      <c r="G15" s="27" t="str">
        <f t="array" ref="G15">INDEX('Keyword Master Database'!$F$2:$F$227,MATCH(E15,'Keyword Master Database'!$A$2:$A$227,0))</f>
        <v>BOFU</v>
      </c>
      <c r="H15" s="25" t="s">
        <v>595</v>
      </c>
      <c r="I15" s="25" t="s">
        <v>793</v>
      </c>
    </row>
    <row r="16">
      <c r="A16" s="20" t="s">
        <v>893</v>
      </c>
      <c r="B16" s="20" t="str">
        <f t="array" ref="B16">INDEX('Keyword Master Database'!$W$2:$W$227,MATCH(E16,'Keyword Master Database'!$A$2:$A$227,0))</f>
        <v>Critical</v>
      </c>
      <c r="C16" s="12" t="s">
        <v>895</v>
      </c>
      <c r="D16" s="19" t="s">
        <v>904</v>
      </c>
      <c r="E16" s="12" t="s">
        <v>352</v>
      </c>
      <c r="F16" s="20" t="str">
        <f t="array" ref="F16">INDEX('Keyword Master Database'!$E$2:$E$227,MATCH(E16,'Keyword Master Database'!$A$2:$A$227,0))</f>
        <v>Transactional</v>
      </c>
      <c r="G16" s="20" t="str">
        <f t="array" ref="G16">INDEX('Keyword Master Database'!$F$2:$F$227,MATCH(E16,'Keyword Master Database'!$A$2:$A$227,0))</f>
        <v>BOFU</v>
      </c>
      <c r="H16" s="12" t="s">
        <v>531</v>
      </c>
      <c r="I16" s="12" t="s">
        <v>780</v>
      </c>
    </row>
    <row r="17">
      <c r="A17" s="27" t="s">
        <v>893</v>
      </c>
      <c r="B17" s="27" t="str">
        <f t="array" ref="B17">INDEX('Keyword Master Database'!$W$2:$W$227,MATCH(E17,'Keyword Master Database'!$A$2:$A$227,0))</f>
        <v>High</v>
      </c>
      <c r="C17" s="25" t="s">
        <v>895</v>
      </c>
      <c r="D17" s="28" t="s">
        <v>906</v>
      </c>
      <c r="E17" s="25" t="s">
        <v>211</v>
      </c>
      <c r="F17" s="27" t="str">
        <f t="array" ref="F17">INDEX('Keyword Master Database'!$E$2:$E$227,MATCH(E17,'Keyword Master Database'!$A$2:$A$227,0))</f>
        <v>Transactional</v>
      </c>
      <c r="G17" s="27" t="str">
        <f t="array" ref="G17">INDEX('Keyword Master Database'!$F$2:$F$227,MATCH(E17,'Keyword Master Database'!$A$2:$A$227,0))</f>
        <v>BOFU</v>
      </c>
      <c r="H17" s="25" t="s">
        <v>446</v>
      </c>
      <c r="I17" s="25" t="s">
        <v>780</v>
      </c>
    </row>
    <row r="18">
      <c r="A18" s="20" t="s">
        <v>893</v>
      </c>
      <c r="B18" s="20" t="str">
        <f t="array" ref="B18">INDEX('Keyword Master Database'!$W$2:$W$227,MATCH(E18,'Keyword Master Database'!$A$2:$A$227,0))</f>
        <v>High</v>
      </c>
      <c r="C18" s="12" t="s">
        <v>787</v>
      </c>
      <c r="D18" s="19" t="s">
        <v>907</v>
      </c>
      <c r="E18" s="12" t="s">
        <v>374</v>
      </c>
      <c r="F18" s="20" t="str">
        <f t="array" ref="F18">INDEX('Keyword Master Database'!$E$2:$E$227,MATCH(E18,'Keyword Master Database'!$A$2:$A$227,0))</f>
        <v>Transactional</v>
      </c>
      <c r="G18" s="20" t="str">
        <f t="array" ref="G18">INDEX('Keyword Master Database'!$F$2:$F$227,MATCH(E18,'Keyword Master Database'!$A$2:$A$227,0))</f>
        <v>BOFU</v>
      </c>
      <c r="H18" s="12" t="s">
        <v>378</v>
      </c>
      <c r="I18" s="12" t="s">
        <v>793</v>
      </c>
    </row>
    <row r="19">
      <c r="A19" s="27" t="s">
        <v>893</v>
      </c>
      <c r="B19" s="27" t="str">
        <f t="array" ref="B19">INDEX('Keyword Master Database'!$W$2:$W$227,MATCH(E19,'Keyword Master Database'!$A$2:$A$227,0))</f>
        <v>High</v>
      </c>
      <c r="C19" s="25" t="s">
        <v>787</v>
      </c>
      <c r="D19" s="28" t="s">
        <v>910</v>
      </c>
      <c r="E19" s="25" t="s">
        <v>469</v>
      </c>
      <c r="F19" s="27" t="str">
        <f t="array" ref="F19">INDEX('Keyword Master Database'!$E$2:$E$227,MATCH(E19,'Keyword Master Database'!$A$2:$A$227,0))</f>
        <v>Transactional</v>
      </c>
      <c r="G19" s="27" t="str">
        <f t="array" ref="G19">INDEX('Keyword Master Database'!$F$2:$F$227,MATCH(E19,'Keyword Master Database'!$A$2:$A$227,0))</f>
        <v>BOFU</v>
      </c>
      <c r="H19" s="25" t="s">
        <v>474</v>
      </c>
      <c r="I19" s="25" t="s">
        <v>793</v>
      </c>
    </row>
    <row r="20">
      <c r="A20" s="20" t="s">
        <v>893</v>
      </c>
      <c r="B20" s="20" t="str">
        <f t="array" ref="B20">INDEX('Keyword Master Database'!$W$2:$W$227,MATCH(E20,'Keyword Master Database'!$A$2:$A$227,0))</f>
        <v>High</v>
      </c>
      <c r="C20" s="12" t="s">
        <v>787</v>
      </c>
      <c r="D20" s="19" t="s">
        <v>913</v>
      </c>
      <c r="E20" s="12" t="s">
        <v>495</v>
      </c>
      <c r="F20" s="20" t="str">
        <f t="array" ref="F20">INDEX('Keyword Master Database'!$E$2:$E$227,MATCH(E20,'Keyword Master Database'!$A$2:$A$227,0))</f>
        <v>Transactional</v>
      </c>
      <c r="G20" s="20" t="str">
        <f t="array" ref="G20">INDEX('Keyword Master Database'!$F$2:$F$227,MATCH(E20,'Keyword Master Database'!$A$2:$A$227,0))</f>
        <v>BOFU</v>
      </c>
      <c r="H20" s="12" t="s">
        <v>498</v>
      </c>
      <c r="I20" s="12" t="s">
        <v>793</v>
      </c>
    </row>
    <row r="21" ht="15.75" customHeight="1">
      <c r="A21" s="27" t="s">
        <v>893</v>
      </c>
      <c r="B21" s="27" t="str">
        <f t="array" ref="B21">INDEX('Keyword Master Database'!$W$2:$W$227,MATCH(E21,'Keyword Master Database'!$A$2:$A$227,0))</f>
        <v>High</v>
      </c>
      <c r="C21" s="25" t="s">
        <v>787</v>
      </c>
      <c r="D21" s="28" t="s">
        <v>914</v>
      </c>
      <c r="E21" s="25" t="s">
        <v>515</v>
      </c>
      <c r="F21" s="27" t="str">
        <f t="array" ref="F21">INDEX('Keyword Master Database'!$E$2:$E$227,MATCH(E21,'Keyword Master Database'!$A$2:$A$227,0))</f>
        <v>Transactional</v>
      </c>
      <c r="G21" s="27" t="str">
        <f t="array" ref="G21">INDEX('Keyword Master Database'!$F$2:$F$227,MATCH(E21,'Keyword Master Database'!$A$2:$A$227,0))</f>
        <v>BOFU</v>
      </c>
      <c r="H21" s="25" t="s">
        <v>522</v>
      </c>
      <c r="I21" s="25" t="s">
        <v>793</v>
      </c>
    </row>
    <row r="22" ht="15.75" customHeight="1">
      <c r="A22" s="20" t="s">
        <v>916</v>
      </c>
      <c r="B22" s="20" t="str">
        <f t="array" ref="B22">INDEX('Keyword Master Database'!$W$2:$W$227,MATCH(E22,'Keyword Master Database'!$A$2:$A$227,0))</f>
        <v>High</v>
      </c>
      <c r="C22" s="12" t="s">
        <v>917</v>
      </c>
      <c r="D22" s="19" t="s">
        <v>918</v>
      </c>
      <c r="E22" s="12" t="s">
        <v>250</v>
      </c>
      <c r="F22" s="20" t="str">
        <f t="array" ref="F22">INDEX('Keyword Master Database'!$E$2:$E$227,MATCH(E22,'Keyword Master Database'!$A$2:$A$227,0))</f>
        <v>Commercial</v>
      </c>
      <c r="G22" s="20" t="str">
        <f t="array" ref="G22">INDEX('Keyword Master Database'!$F$2:$F$227,MATCH(E22,'Keyword Master Database'!$A$2:$A$227,0))</f>
        <v>MOFU</v>
      </c>
      <c r="H22" s="12" t="s">
        <v>489</v>
      </c>
      <c r="I22" s="12" t="s">
        <v>884</v>
      </c>
    </row>
    <row r="23" ht="15.75" customHeight="1">
      <c r="A23" s="27" t="s">
        <v>916</v>
      </c>
      <c r="B23" s="27" t="str">
        <f t="array" ref="B23">INDEX('Keyword Master Database'!$W$2:$W$227,MATCH(E23,'Keyword Master Database'!$A$2:$A$227,0))</f>
        <v>Low</v>
      </c>
      <c r="C23" s="25" t="s">
        <v>921</v>
      </c>
      <c r="D23" s="28" t="s">
        <v>473</v>
      </c>
      <c r="E23" s="25" t="s">
        <v>235</v>
      </c>
      <c r="F23" s="27" t="str">
        <f t="array" ref="F23">INDEX('Keyword Master Database'!$E$2:$E$227,MATCH(E23,'Keyword Master Database'!$A$2:$A$227,0))</f>
        <v>Informational</v>
      </c>
      <c r="G23" s="27" t="str">
        <f t="array" ref="G23">INDEX('Keyword Master Database'!$F$2:$F$227,MATCH(E23,'Keyword Master Database'!$A$2:$A$227,0))</f>
        <v>TOFU</v>
      </c>
      <c r="H23" s="25" t="s">
        <v>472</v>
      </c>
      <c r="I23" s="25" t="s">
        <v>922</v>
      </c>
    </row>
    <row r="24" ht="15.75" customHeight="1">
      <c r="A24" s="20" t="s">
        <v>916</v>
      </c>
      <c r="B24" s="20" t="str">
        <f t="array" ref="B24">INDEX('Keyword Master Database'!$W$2:$W$227,MATCH(E24,'Keyword Master Database'!$A$2:$A$227,0))</f>
        <v>Medium</v>
      </c>
      <c r="C24" s="12" t="s">
        <v>923</v>
      </c>
      <c r="D24" s="19" t="s">
        <v>924</v>
      </c>
      <c r="E24" s="12" t="s">
        <v>301</v>
      </c>
      <c r="F24" s="20" t="str">
        <f t="array" ref="F24">INDEX('Keyword Master Database'!$E$2:$E$227,MATCH(E24,'Keyword Master Database'!$A$2:$A$227,0))</f>
        <v>Commercial</v>
      </c>
      <c r="G24" s="20" t="str">
        <f t="array" ref="G24">INDEX('Keyword Master Database'!$F$2:$F$227,MATCH(E24,'Keyword Master Database'!$A$2:$A$227,0))</f>
        <v>MOFU</v>
      </c>
      <c r="H24" s="12" t="s">
        <v>512</v>
      </c>
      <c r="I24" s="12" t="s">
        <v>884</v>
      </c>
    </row>
    <row r="25" ht="15.75" customHeight="1">
      <c r="A25" s="27" t="s">
        <v>916</v>
      </c>
      <c r="B25" s="27" t="str">
        <f t="array" ref="B25">INDEX('Keyword Master Database'!$W$2:$W$227,MATCH(E25,'Keyword Master Database'!$A$2:$A$227,0))</f>
        <v>High</v>
      </c>
      <c r="C25" s="25" t="s">
        <v>895</v>
      </c>
      <c r="D25" s="28" t="s">
        <v>927</v>
      </c>
      <c r="E25" s="25" t="s">
        <v>195</v>
      </c>
      <c r="F25" s="27" t="str">
        <f t="array" ref="F25">INDEX('Keyword Master Database'!$E$2:$E$227,MATCH(E25,'Keyword Master Database'!$A$2:$A$227,0))</f>
        <v>Transactional</v>
      </c>
      <c r="G25" s="27" t="str">
        <f t="array" ref="G25">INDEX('Keyword Master Database'!$F$2:$F$227,MATCH(E25,'Keyword Master Database'!$A$2:$A$227,0))</f>
        <v>BOFU</v>
      </c>
      <c r="H25" s="25" t="s">
        <v>429</v>
      </c>
      <c r="I25" s="25" t="s">
        <v>780</v>
      </c>
    </row>
    <row r="26" ht="15.75" customHeight="1">
      <c r="A26" s="20" t="s">
        <v>916</v>
      </c>
      <c r="B26" s="20" t="str">
        <f t="array" ref="B26">INDEX('Keyword Master Database'!$W$2:$W$227,MATCH(E26,'Keyword Master Database'!$A$2:$A$227,0))</f>
        <v>High</v>
      </c>
      <c r="C26" s="12" t="s">
        <v>895</v>
      </c>
      <c r="D26" s="19" t="s">
        <v>929</v>
      </c>
      <c r="E26" s="12" t="s">
        <v>203</v>
      </c>
      <c r="F26" s="20" t="str">
        <f t="array" ref="F26">INDEX('Keyword Master Database'!$E$2:$E$227,MATCH(E26,'Keyword Master Database'!$A$2:$A$227,0))</f>
        <v>Transactional</v>
      </c>
      <c r="G26" s="20" t="str">
        <f t="array" ref="G26">INDEX('Keyword Master Database'!$F$2:$F$227,MATCH(E26,'Keyword Master Database'!$A$2:$A$227,0))</f>
        <v>BOFU</v>
      </c>
      <c r="H26" s="12" t="s">
        <v>437</v>
      </c>
      <c r="I26" s="12" t="s">
        <v>780</v>
      </c>
    </row>
    <row r="27" ht="15.75" customHeight="1">
      <c r="A27" s="27" t="s">
        <v>916</v>
      </c>
      <c r="B27" s="27" t="str">
        <f t="array" ref="B27">INDEX('Keyword Master Database'!$W$2:$W$227,MATCH(E27,'Keyword Master Database'!$A$2:$A$227,0))</f>
        <v>High</v>
      </c>
      <c r="C27" s="25" t="s">
        <v>898</v>
      </c>
      <c r="D27" s="28" t="s">
        <v>931</v>
      </c>
      <c r="E27" s="25" t="s">
        <v>582</v>
      </c>
      <c r="F27" s="27" t="str">
        <f t="array" ref="F27">INDEX('Keyword Master Database'!$E$2:$E$227,MATCH(E27,'Keyword Master Database'!$A$2:$A$227,0))</f>
        <v>Transactional</v>
      </c>
      <c r="G27" s="27" t="str">
        <f t="array" ref="G27">INDEX('Keyword Master Database'!$F$2:$F$227,MATCH(E27,'Keyword Master Database'!$A$2:$A$227,0))</f>
        <v>BOFU</v>
      </c>
      <c r="H27" s="25" t="s">
        <v>654</v>
      </c>
      <c r="I27" s="25" t="s">
        <v>884</v>
      </c>
    </row>
    <row r="28" ht="15.75" customHeight="1">
      <c r="A28" s="20" t="s">
        <v>916</v>
      </c>
      <c r="B28" s="20" t="str">
        <f t="array" ref="B28">INDEX('Keyword Master Database'!$W$2:$W$227,MATCH(E28,'Keyword Master Database'!$A$2:$A$227,0))</f>
        <v>High</v>
      </c>
      <c r="C28" s="12" t="s">
        <v>932</v>
      </c>
      <c r="D28" s="19" t="s">
        <v>933</v>
      </c>
      <c r="E28" s="12" t="s">
        <v>557</v>
      </c>
      <c r="F28" s="20" t="str">
        <f t="array" ref="F28">INDEX('Keyword Master Database'!$E$2:$E$227,MATCH(E28,'Keyword Master Database'!$A$2:$A$227,0))</f>
        <v>Transactional</v>
      </c>
      <c r="G28" s="20" t="str">
        <f t="array" ref="G28">INDEX('Keyword Master Database'!$F$2:$F$227,MATCH(E28,'Keyword Master Database'!$A$2:$A$227,0))</f>
        <v>BOFU</v>
      </c>
      <c r="H28" s="12" t="s">
        <v>647</v>
      </c>
      <c r="I28" s="12" t="s">
        <v>780</v>
      </c>
    </row>
    <row r="29" ht="15.75" customHeight="1">
      <c r="A29" s="27" t="s">
        <v>936</v>
      </c>
      <c r="B29" s="27" t="str">
        <f t="array" ref="B29">INDEX('Keyword Master Database'!$W$2:$W$227,MATCH(E29,'Keyword Master Database'!$A$2:$A$227,0))</f>
        <v>Low</v>
      </c>
      <c r="C29" s="25" t="s">
        <v>921</v>
      </c>
      <c r="D29" s="28" t="s">
        <v>937</v>
      </c>
      <c r="E29" s="25" t="s">
        <v>244</v>
      </c>
      <c r="F29" s="27" t="str">
        <f t="array" ref="F29">INDEX('Keyword Master Database'!$E$2:$E$227,MATCH(E29,'Keyword Master Database'!$A$2:$A$227,0))</f>
        <v>Informational</v>
      </c>
      <c r="G29" s="27" t="str">
        <f t="array" ref="G29">INDEX('Keyword Master Database'!$F$2:$F$227,MATCH(E29,'Keyword Master Database'!$A$2:$A$227,0))</f>
        <v>TOFU</v>
      </c>
      <c r="H29" s="25" t="s">
        <v>481</v>
      </c>
      <c r="I29" s="25" t="s">
        <v>922</v>
      </c>
    </row>
    <row r="30" ht="15.75" customHeight="1">
      <c r="A30" s="20" t="s">
        <v>936</v>
      </c>
      <c r="B30" s="20" t="str">
        <f t="array" ref="B30">INDEX('Keyword Master Database'!$W$2:$W$227,MATCH(E30,'Keyword Master Database'!$A$2:$A$227,0))</f>
        <v>Low</v>
      </c>
      <c r="C30" s="12" t="s">
        <v>921</v>
      </c>
      <c r="D30" s="19" t="s">
        <v>939</v>
      </c>
      <c r="E30" s="12" t="s">
        <v>366</v>
      </c>
      <c r="F30" s="20" t="str">
        <f t="array" ref="F30">INDEX('Keyword Master Database'!$E$2:$E$227,MATCH(E30,'Keyword Master Database'!$A$2:$A$227,0))</f>
        <v>Informational</v>
      </c>
      <c r="G30" s="20" t="str">
        <f t="array" ref="G30">INDEX('Keyword Master Database'!$F$2:$F$227,MATCH(E30,'Keyword Master Database'!$A$2:$A$227,0))</f>
        <v>TOFU</v>
      </c>
      <c r="H30" s="12" t="s">
        <v>549</v>
      </c>
      <c r="I30" s="12" t="s">
        <v>922</v>
      </c>
    </row>
    <row r="31" ht="15.75" customHeight="1">
      <c r="A31" s="27" t="s">
        <v>936</v>
      </c>
      <c r="B31" s="27" t="str">
        <f t="array" ref="B31">INDEX('Keyword Master Database'!$W$2:$W$227,MATCH(E31,'Keyword Master Database'!$A$2:$A$227,0))</f>
        <v>Low</v>
      </c>
      <c r="C31" s="25" t="s">
        <v>921</v>
      </c>
      <c r="D31" s="28" t="s">
        <v>941</v>
      </c>
      <c r="E31" s="25" t="s">
        <v>393</v>
      </c>
      <c r="F31" s="27" t="str">
        <f t="array" ref="F31">INDEX('Keyword Master Database'!$E$2:$E$227,MATCH(E31,'Keyword Master Database'!$A$2:$A$227,0))</f>
        <v>Informational</v>
      </c>
      <c r="G31" s="27" t="str">
        <f t="array" ref="G31">INDEX('Keyword Master Database'!$F$2:$F$227,MATCH(E31,'Keyword Master Database'!$A$2:$A$227,0))</f>
        <v>TOFU</v>
      </c>
      <c r="H31" s="25" t="s">
        <v>572</v>
      </c>
      <c r="I31" s="25" t="s">
        <v>922</v>
      </c>
    </row>
    <row r="32" ht="15.75" customHeight="1">
      <c r="A32" s="20" t="s">
        <v>936</v>
      </c>
      <c r="B32" s="20" t="str">
        <f t="array" ref="B32">INDEX('Keyword Master Database'!$W$2:$W$227,MATCH(E32,'Keyword Master Database'!$A$2:$A$227,0))</f>
        <v>Low</v>
      </c>
      <c r="C32" s="12" t="s">
        <v>947</v>
      </c>
      <c r="D32" s="19" t="s">
        <v>948</v>
      </c>
      <c r="E32" s="12" t="s">
        <v>424</v>
      </c>
      <c r="F32" s="20" t="str">
        <f t="array" ref="F32">INDEX('Keyword Master Database'!$E$2:$E$227,MATCH(E32,'Keyword Master Database'!$A$2:$A$227,0))</f>
        <v>Commercial</v>
      </c>
      <c r="G32" s="20" t="str">
        <f t="array" ref="G32">INDEX('Keyword Master Database'!$F$2:$F$227,MATCH(E32,'Keyword Master Database'!$A$2:$A$227,0))</f>
        <v>MOFU</v>
      </c>
      <c r="H32" s="12" t="s">
        <v>433</v>
      </c>
      <c r="I32" s="12" t="s">
        <v>922</v>
      </c>
    </row>
    <row r="33" ht="15.75" customHeight="1">
      <c r="A33" s="27" t="s">
        <v>936</v>
      </c>
      <c r="B33" s="27" t="str">
        <f t="array" ref="B33">INDEX('Keyword Master Database'!$W$2:$W$227,MATCH(E33,'Keyword Master Database'!$A$2:$A$227,0))</f>
        <v>Medium</v>
      </c>
      <c r="C33" s="25" t="s">
        <v>923</v>
      </c>
      <c r="D33" s="28" t="s">
        <v>951</v>
      </c>
      <c r="E33" s="25" t="s">
        <v>458</v>
      </c>
      <c r="F33" s="27" t="str">
        <f t="array" ref="F33">INDEX('Keyword Master Database'!$E$2:$E$227,MATCH(E33,'Keyword Master Database'!$A$2:$A$227,0))</f>
        <v>Commercial</v>
      </c>
      <c r="G33" s="27" t="str">
        <f t="array" ref="G33">INDEX('Keyword Master Database'!$F$2:$F$227,MATCH(E33,'Keyword Master Database'!$A$2:$A$227,0))</f>
        <v>MOFU</v>
      </c>
      <c r="H33" s="25" t="s">
        <v>608</v>
      </c>
      <c r="I33" s="25" t="s">
        <v>922</v>
      </c>
    </row>
    <row r="34" ht="15.75" customHeight="1">
      <c r="A34" s="20" t="s">
        <v>936</v>
      </c>
      <c r="B34" s="20" t="str">
        <f t="array" ref="B34">INDEX('Keyword Master Database'!$W$2:$W$227,MATCH(E34,'Keyword Master Database'!$A$2:$A$227,0))</f>
        <v>High</v>
      </c>
      <c r="C34" s="12" t="s">
        <v>932</v>
      </c>
      <c r="D34" s="19" t="s">
        <v>650</v>
      </c>
      <c r="E34" s="12" t="s">
        <v>567</v>
      </c>
      <c r="F34" s="20" t="str">
        <f t="array" ref="F34">INDEX('Keyword Master Database'!$E$2:$E$227,MATCH(E34,'Keyword Master Database'!$A$2:$A$227,0))</f>
        <v>Transactional</v>
      </c>
      <c r="G34" s="20" t="str">
        <f t="array" ref="G34">INDEX('Keyword Master Database'!$F$2:$F$227,MATCH(E34,'Keyword Master Database'!$A$2:$A$227,0))</f>
        <v>BOFU</v>
      </c>
      <c r="H34" s="12" t="s">
        <v>649</v>
      </c>
      <c r="I34" s="12" t="s">
        <v>780</v>
      </c>
    </row>
    <row r="35" ht="15.75" customHeight="1">
      <c r="A35" s="27" t="s">
        <v>955</v>
      </c>
      <c r="B35" s="27" t="str">
        <f t="array" ref="B35">INDEX('Keyword Master Database'!$W$2:$W$227,MATCH(E35,'Keyword Master Database'!$A$2:$A$227,0))</f>
        <v>Low</v>
      </c>
      <c r="C35" s="25" t="s">
        <v>921</v>
      </c>
      <c r="D35" s="28" t="s">
        <v>956</v>
      </c>
      <c r="E35" s="25" t="s">
        <v>533</v>
      </c>
      <c r="F35" s="27" t="str">
        <f t="array" ref="F35">INDEX('Keyword Master Database'!$E$2:$E$227,MATCH(E35,'Keyword Master Database'!$A$2:$A$227,0))</f>
        <v>Commercial</v>
      </c>
      <c r="G35" s="27" t="str">
        <f t="array" ref="G35">INDEX('Keyword Master Database'!$F$2:$F$227,MATCH(E35,'Keyword Master Database'!$A$2:$A$227,0))</f>
        <v>MOFU</v>
      </c>
      <c r="H35" s="25" t="s">
        <v>642</v>
      </c>
      <c r="I35" s="25" t="s">
        <v>884</v>
      </c>
    </row>
    <row r="36" ht="15.75" customHeight="1">
      <c r="A36" s="20" t="s">
        <v>955</v>
      </c>
      <c r="B36" s="20" t="str">
        <f t="array" ref="B36">INDEX('Keyword Master Database'!$W$2:$W$227,MATCH(E36,'Keyword Master Database'!$A$2:$A$227,0))</f>
        <v>High</v>
      </c>
      <c r="C36" s="12" t="s">
        <v>958</v>
      </c>
      <c r="D36" s="19" t="s">
        <v>959</v>
      </c>
      <c r="E36" s="12" t="s">
        <v>588</v>
      </c>
      <c r="F36" s="20" t="str">
        <f t="array" ref="F36">INDEX('Keyword Master Database'!$E$2:$E$227,MATCH(E36,'Keyword Master Database'!$A$2:$A$227,0))</f>
        <v>Commercial</v>
      </c>
      <c r="G36" s="20" t="str">
        <f t="array" ref="G36">INDEX('Keyword Master Database'!$F$2:$F$227,MATCH(E36,'Keyword Master Database'!$A$2:$A$227,0))</f>
        <v>MOFU</v>
      </c>
      <c r="H36" s="12" t="s">
        <v>656</v>
      </c>
      <c r="I36" s="12" t="s">
        <v>960</v>
      </c>
    </row>
    <row r="37" ht="15.75" customHeight="1">
      <c r="A37" s="27" t="s">
        <v>955</v>
      </c>
      <c r="B37" s="27" t="str">
        <f t="array" ref="B37">INDEX('Keyword Master Database'!$W$2:$W$227,MATCH(E37,'Keyword Master Database'!$A$2:$A$227,0))</f>
        <v>Low</v>
      </c>
      <c r="C37" s="25" t="s">
        <v>921</v>
      </c>
      <c r="D37" s="28" t="s">
        <v>961</v>
      </c>
      <c r="E37" s="25" t="s">
        <v>345</v>
      </c>
      <c r="F37" s="27" t="str">
        <f t="array" ref="F37">INDEX('Keyword Master Database'!$E$2:$E$227,MATCH(E37,'Keyword Master Database'!$A$2:$A$227,0))</f>
        <v>Commercial</v>
      </c>
      <c r="G37" s="27" t="str">
        <f t="array" ref="G37">INDEX('Keyword Master Database'!$F$2:$F$227,MATCH(E37,'Keyword Master Database'!$A$2:$A$227,0))</f>
        <v>MOFU</v>
      </c>
      <c r="H37" s="25" t="s">
        <v>523</v>
      </c>
      <c r="I37" s="25" t="s">
        <v>922</v>
      </c>
    </row>
    <row r="38" ht="15.75" customHeight="1">
      <c r="A38" s="20" t="s">
        <v>964</v>
      </c>
      <c r="B38" s="20" t="str">
        <f t="array" ref="B38">INDEX('Keyword Master Database'!$W$2:$W$227,MATCH(E38,'Keyword Master Database'!$A$2:$A$227,0))</f>
        <v>Medium</v>
      </c>
      <c r="C38" s="12" t="s">
        <v>921</v>
      </c>
      <c r="D38" s="19" t="s">
        <v>632</v>
      </c>
      <c r="E38" s="12" t="s">
        <v>501</v>
      </c>
      <c r="F38" s="20" t="str">
        <f t="array" ref="F38">INDEX('Keyword Master Database'!$E$2:$E$227,MATCH(E38,'Keyword Master Database'!$A$2:$A$227,0))</f>
        <v>Commercial</v>
      </c>
      <c r="G38" s="20" t="str">
        <f t="array" ref="G38">INDEX('Keyword Master Database'!$F$2:$F$227,MATCH(E38,'Keyword Master Database'!$A$2:$A$227,0))</f>
        <v>MOFU</v>
      </c>
      <c r="H38" s="12" t="s">
        <v>631</v>
      </c>
      <c r="I38" s="12" t="s">
        <v>922</v>
      </c>
    </row>
    <row r="39" ht="15.75" customHeight="1">
      <c r="A39" s="27" t="s">
        <v>964</v>
      </c>
      <c r="B39" s="27" t="str">
        <f t="array" ref="B39">INDEX('Keyword Master Database'!$W$2:$W$227,MATCH(E39,'Keyword Master Database'!$A$2:$A$227,0))</f>
        <v>Low</v>
      </c>
      <c r="C39" s="25" t="s">
        <v>921</v>
      </c>
      <c r="D39" s="28" t="s">
        <v>967</v>
      </c>
      <c r="E39" s="25" t="s">
        <v>477</v>
      </c>
      <c r="F39" s="27" t="str">
        <f t="array" ref="F39">INDEX('Keyword Master Database'!$E$2:$E$227,MATCH(E39,'Keyword Master Database'!$A$2:$A$227,0))</f>
        <v>Informational</v>
      </c>
      <c r="G39" s="27" t="str">
        <f t="array" ref="G39">INDEX('Keyword Master Database'!$F$2:$F$227,MATCH(E39,'Keyword Master Database'!$A$2:$A$227,0))</f>
        <v>TOFU</v>
      </c>
      <c r="H39" s="25" t="s">
        <v>622</v>
      </c>
      <c r="I39" s="25" t="s">
        <v>922</v>
      </c>
    </row>
    <row r="40" ht="15.75" customHeight="1">
      <c r="A40" s="20" t="s">
        <v>964</v>
      </c>
      <c r="B40" s="20" t="str">
        <f t="array" ref="B40">INDEX('Keyword Master Database'!$W$2:$W$227,MATCH(E40,'Keyword Master Database'!$A$2:$A$227,0))</f>
        <v>Medium</v>
      </c>
      <c r="C40" s="12" t="s">
        <v>932</v>
      </c>
      <c r="D40" s="19" t="s">
        <v>652</v>
      </c>
      <c r="E40" s="12" t="s">
        <v>575</v>
      </c>
      <c r="F40" s="20" t="str">
        <f t="array" ref="F40">INDEX('Keyword Master Database'!$E$2:$E$227,MATCH(E40,'Keyword Master Database'!$A$2:$A$227,0))</f>
        <v>Transactional</v>
      </c>
      <c r="G40" s="20" t="str">
        <f t="array" ref="G40">INDEX('Keyword Master Database'!$F$2:$F$227,MATCH(E40,'Keyword Master Database'!$A$2:$A$227,0))</f>
        <v>BOFU</v>
      </c>
      <c r="H40" s="12" t="s">
        <v>651</v>
      </c>
      <c r="I40" s="12" t="s">
        <v>780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40">
    <cfRule type="cellIs" dxfId="3" priority="1" operator="equal">
      <formula>"Critical"</formula>
    </cfRule>
  </conditionalFormatting>
  <conditionalFormatting sqref="B2:B40">
    <cfRule type="cellIs" dxfId="4" priority="2" operator="equal">
      <formula>"High"</formula>
    </cfRule>
  </conditionalFormatting>
  <conditionalFormatting sqref="B2:B40">
    <cfRule type="cellIs" dxfId="5" priority="3" operator="equal">
      <formula>"Medium"</formula>
    </cfRule>
  </conditionalFormatting>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1F3A"/>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8.86"/>
    <col customWidth="1" min="2" max="2" width="12.0"/>
    <col customWidth="1" min="3" max="3" width="7.29"/>
    <col customWidth="1" min="4" max="4" width="45.43"/>
    <col customWidth="1" min="5" max="5" width="60.57"/>
    <col customWidth="1" min="6" max="6" width="62.0"/>
    <col customWidth="1" min="7" max="26" width="8.71"/>
  </cols>
  <sheetData>
    <row r="1">
      <c r="A1" s="2" t="s">
        <v>1</v>
      </c>
      <c r="B1" s="2" t="s">
        <v>55</v>
      </c>
      <c r="C1" s="2" t="s">
        <v>6</v>
      </c>
      <c r="D1" s="2" t="s">
        <v>262</v>
      </c>
      <c r="E1" s="2" t="s">
        <v>779</v>
      </c>
      <c r="F1" s="2" t="s">
        <v>26</v>
      </c>
    </row>
    <row r="2">
      <c r="A2" s="19" t="s">
        <v>29</v>
      </c>
      <c r="B2" s="20" t="str">
        <f t="array" ref="B2">INDEX('Keyword Master Database'!$E$2:$E$227,MATCH(A2,'Keyword Master Database'!$A$2:$A$227,0))</f>
        <v>Navigational</v>
      </c>
      <c r="C2" s="20" t="str">
        <f t="array" ref="C2">INDEX('Keyword Master Database'!$F$2:$F$227,MATCH(A2,'Keyword Master Database'!$A$2:$A$227,0))</f>
        <v>BOFU</v>
      </c>
      <c r="D2" s="12" t="s">
        <v>783</v>
      </c>
      <c r="E2" s="12" t="s">
        <v>784</v>
      </c>
      <c r="F2" s="12" t="s">
        <v>785</v>
      </c>
    </row>
    <row r="3">
      <c r="A3" s="28" t="s">
        <v>786</v>
      </c>
      <c r="B3" s="27" t="str">
        <f t="array" ref="B3">INDEX('Keyword Master Database'!$E$2:$E$227,MATCH(A3,'Keyword Master Database'!$A$2:$A$227,0))</f>
        <v>Transactional</v>
      </c>
      <c r="C3" s="27" t="str">
        <f t="array" ref="C3">INDEX('Keyword Master Database'!$F$2:$F$227,MATCH(A3,'Keyword Master Database'!$A$2:$A$227,0))</f>
        <v>BOFU</v>
      </c>
      <c r="D3" s="25" t="s">
        <v>789</v>
      </c>
      <c r="E3" s="25" t="s">
        <v>790</v>
      </c>
      <c r="F3" s="25" t="s">
        <v>791</v>
      </c>
    </row>
    <row r="4">
      <c r="A4" s="19" t="s">
        <v>658</v>
      </c>
      <c r="B4" s="20" t="str">
        <f t="array" ref="B4">INDEX('Keyword Master Database'!$E$2:$E$227,MATCH(A4,'Keyword Master Database'!$A$2:$A$227,0))</f>
        <v>Transactional</v>
      </c>
      <c r="C4" s="20" t="str">
        <f t="array" ref="C4">INDEX('Keyword Master Database'!$F$2:$F$227,MATCH(A4,'Keyword Master Database'!$A$2:$A$227,0))</f>
        <v>BOFU</v>
      </c>
      <c r="D4" s="12" t="s">
        <v>796</v>
      </c>
      <c r="E4" s="12" t="s">
        <v>798</v>
      </c>
      <c r="F4" s="12" t="s">
        <v>799</v>
      </c>
    </row>
    <row r="5">
      <c r="A5" s="28" t="s">
        <v>352</v>
      </c>
      <c r="B5" s="27" t="str">
        <f t="array" ref="B5">INDEX('Keyword Master Database'!$E$2:$E$227,MATCH(A5,'Keyword Master Database'!$A$2:$A$227,0))</f>
        <v>Transactional</v>
      </c>
      <c r="C5" s="27" t="str">
        <f t="array" ref="C5">INDEX('Keyword Master Database'!$F$2:$F$227,MATCH(A5,'Keyword Master Database'!$A$2:$A$227,0))</f>
        <v>BOFU</v>
      </c>
      <c r="D5" s="25" t="s">
        <v>802</v>
      </c>
      <c r="E5" s="25" t="s">
        <v>803</v>
      </c>
      <c r="F5" s="25" t="s">
        <v>804</v>
      </c>
    </row>
    <row r="6">
      <c r="A6" s="19" t="s">
        <v>805</v>
      </c>
      <c r="B6" s="20" t="str">
        <f t="array" ref="B6">INDEX('Keyword Master Database'!$E$2:$E$227,MATCH(A6,'Keyword Master Database'!$A$2:$A$227,0))</f>
        <v>Transactional</v>
      </c>
      <c r="C6" s="20" t="str">
        <f t="array" ref="C6">INDEX('Keyword Master Database'!$F$2:$F$227,MATCH(A6,'Keyword Master Database'!$A$2:$A$227,0))</f>
        <v>BOFU</v>
      </c>
      <c r="D6" s="12" t="s">
        <v>810</v>
      </c>
      <c r="E6" s="12" t="s">
        <v>812</v>
      </c>
      <c r="F6" s="12" t="s">
        <v>813</v>
      </c>
    </row>
    <row r="7">
      <c r="A7" s="28" t="s">
        <v>557</v>
      </c>
      <c r="B7" s="27" t="str">
        <f t="array" ref="B7">INDEX('Keyword Master Database'!$E$2:$E$227,MATCH(A7,'Keyword Master Database'!$A$2:$A$227,0))</f>
        <v>Transactional</v>
      </c>
      <c r="C7" s="27" t="str">
        <f t="array" ref="C7">INDEX('Keyword Master Database'!$F$2:$F$227,MATCH(A7,'Keyword Master Database'!$A$2:$A$227,0))</f>
        <v>BOFU</v>
      </c>
      <c r="D7" s="25" t="s">
        <v>822</v>
      </c>
      <c r="E7" s="25" t="s">
        <v>823</v>
      </c>
      <c r="F7" s="25" t="s">
        <v>824</v>
      </c>
    </row>
    <row r="8">
      <c r="A8" s="19" t="s">
        <v>567</v>
      </c>
      <c r="B8" s="20" t="str">
        <f t="array" ref="B8">INDEX('Keyword Master Database'!$E$2:$E$227,MATCH(A8,'Keyword Master Database'!$A$2:$A$227,0))</f>
        <v>Transactional</v>
      </c>
      <c r="C8" s="20" t="str">
        <f t="array" ref="C8">INDEX('Keyword Master Database'!$F$2:$F$227,MATCH(A8,'Keyword Master Database'!$A$2:$A$227,0))</f>
        <v>BOFU</v>
      </c>
      <c r="D8" s="12" t="s">
        <v>834</v>
      </c>
      <c r="E8" s="12" t="s">
        <v>835</v>
      </c>
      <c r="F8" s="12" t="s">
        <v>837</v>
      </c>
    </row>
    <row r="9">
      <c r="A9" s="28" t="s">
        <v>301</v>
      </c>
      <c r="B9" s="27" t="str">
        <f t="array" ref="B9">INDEX('Keyword Master Database'!$E$2:$E$227,MATCH(A9,'Keyword Master Database'!$A$2:$A$227,0))</f>
        <v>Commercial</v>
      </c>
      <c r="C9" s="27" t="str">
        <f t="array" ref="C9">INDEX('Keyword Master Database'!$F$2:$F$227,MATCH(A9,'Keyword Master Database'!$A$2:$A$227,0))</f>
        <v>MOFU</v>
      </c>
      <c r="D9" s="25" t="s">
        <v>847</v>
      </c>
      <c r="E9" s="25" t="s">
        <v>848</v>
      </c>
      <c r="F9" s="25" t="s">
        <v>849</v>
      </c>
    </row>
    <row r="10">
      <c r="A10" s="19" t="s">
        <v>850</v>
      </c>
      <c r="B10" s="20" t="str">
        <f t="array" ref="B10">INDEX('Keyword Master Database'!$E$2:$E$227,MATCH(A10,'Keyword Master Database'!$A$2:$A$227,0))</f>
        <v>Transactional</v>
      </c>
      <c r="C10" s="20" t="str">
        <f t="array" ref="C10">INDEX('Keyword Master Database'!$F$2:$F$227,MATCH(A10,'Keyword Master Database'!$A$2:$A$227,0))</f>
        <v>BOFU</v>
      </c>
      <c r="D10" s="12" t="s">
        <v>856</v>
      </c>
      <c r="E10" s="12" t="s">
        <v>857</v>
      </c>
      <c r="F10" s="12" t="s">
        <v>858</v>
      </c>
    </row>
    <row r="11">
      <c r="A11" s="28" t="s">
        <v>588</v>
      </c>
      <c r="B11" s="27" t="str">
        <f t="array" ref="B11">INDEX('Keyword Master Database'!$E$2:$E$227,MATCH(A11,'Keyword Master Database'!$A$2:$A$227,0))</f>
        <v>Commercial</v>
      </c>
      <c r="C11" s="27" t="str">
        <f t="array" ref="C11">INDEX('Keyword Master Database'!$F$2:$F$227,MATCH(A11,'Keyword Master Database'!$A$2:$A$227,0))</f>
        <v>MOFU</v>
      </c>
      <c r="D11" s="25" t="s">
        <v>859</v>
      </c>
      <c r="E11" s="25" t="s">
        <v>860</v>
      </c>
      <c r="F11" s="25" t="s">
        <v>861</v>
      </c>
    </row>
    <row r="12">
      <c r="A12" s="19" t="s">
        <v>862</v>
      </c>
      <c r="B12" s="20" t="str">
        <f t="array" ref="B12">INDEX('Keyword Master Database'!$E$2:$E$227,MATCH(A12,'Keyword Master Database'!$A$2:$A$227,0))</f>
        <v>Transactional</v>
      </c>
      <c r="C12" s="20" t="str">
        <f t="array" ref="C12">INDEX('Keyword Master Database'!$F$2:$F$227,MATCH(A12,'Keyword Master Database'!$A$2:$A$227,0))</f>
        <v>BOFU</v>
      </c>
      <c r="D12" s="12" t="s">
        <v>866</v>
      </c>
      <c r="E12" s="12" t="s">
        <v>867</v>
      </c>
      <c r="F12" s="12" t="s">
        <v>868</v>
      </c>
    </row>
    <row r="13">
      <c r="A13" s="28" t="s">
        <v>515</v>
      </c>
      <c r="B13" s="27" t="str">
        <f t="array" ref="B13">INDEX('Keyword Master Database'!$E$2:$E$227,MATCH(A13,'Keyword Master Database'!$A$2:$A$227,0))</f>
        <v>Transactional</v>
      </c>
      <c r="C13" s="27" t="str">
        <f t="array" ref="C13">INDEX('Keyword Master Database'!$F$2:$F$227,MATCH(A13,'Keyword Master Database'!$A$2:$A$227,0))</f>
        <v>BOFU</v>
      </c>
      <c r="D13" s="25" t="s">
        <v>871</v>
      </c>
      <c r="E13" s="25" t="s">
        <v>872</v>
      </c>
      <c r="F13" s="25" t="s">
        <v>873</v>
      </c>
    </row>
    <row r="14">
      <c r="A14" s="19" t="s">
        <v>526</v>
      </c>
      <c r="B14" s="20" t="str">
        <f t="array" ref="B14">INDEX('Keyword Master Database'!$E$2:$E$227,MATCH(A14,'Keyword Master Database'!$A$2:$A$227,0))</f>
        <v>Transactional</v>
      </c>
      <c r="C14" s="20" t="str">
        <f t="array" ref="C14">INDEX('Keyword Master Database'!$F$2:$F$227,MATCH(A14,'Keyword Master Database'!$A$2:$A$227,0))</f>
        <v>BOFU</v>
      </c>
      <c r="D14" s="12" t="s">
        <v>875</v>
      </c>
      <c r="E14" s="12" t="s">
        <v>876</v>
      </c>
      <c r="F14" s="12" t="s">
        <v>877</v>
      </c>
    </row>
    <row r="15">
      <c r="A15" s="28" t="s">
        <v>235</v>
      </c>
      <c r="B15" s="27" t="str">
        <f t="array" ref="B15">INDEX('Keyword Master Database'!$E$2:$E$227,MATCH(A15,'Keyword Master Database'!$A$2:$A$227,0))</f>
        <v>Informational</v>
      </c>
      <c r="C15" s="27" t="str">
        <f t="array" ref="C15">INDEX('Keyword Master Database'!$F$2:$F$227,MATCH(A15,'Keyword Master Database'!$A$2:$A$227,0))</f>
        <v>TOFU</v>
      </c>
      <c r="D15" s="25" t="s">
        <v>881</v>
      </c>
      <c r="E15" s="25" t="s">
        <v>882</v>
      </c>
      <c r="F15" s="25" t="s">
        <v>883</v>
      </c>
    </row>
    <row r="16">
      <c r="A16" s="19" t="s">
        <v>541</v>
      </c>
      <c r="B16" s="20" t="str">
        <f t="array" ref="B16">INDEX('Keyword Master Database'!$E$2:$E$227,MATCH(A16,'Keyword Master Database'!$A$2:$A$227,0))</f>
        <v>Transactional</v>
      </c>
      <c r="C16" s="20" t="str">
        <f t="array" ref="C16">INDEX('Keyword Master Database'!$F$2:$F$227,MATCH(A16,'Keyword Master Database'!$A$2:$A$227,0))</f>
        <v>BOFU</v>
      </c>
      <c r="D16" s="12" t="s">
        <v>886</v>
      </c>
      <c r="E16" s="12" t="s">
        <v>887</v>
      </c>
      <c r="F16" s="12" t="s">
        <v>888</v>
      </c>
    </row>
    <row r="17">
      <c r="A17" s="28" t="s">
        <v>889</v>
      </c>
      <c r="B17" s="27" t="str">
        <f t="array" ref="B17">INDEX('Keyword Master Database'!$E$2:$E$227,MATCH(A17,'Keyword Master Database'!$A$2:$A$227,0))</f>
        <v>Transactional</v>
      </c>
      <c r="C17" s="27" t="str">
        <f t="array" ref="C17">INDEX('Keyword Master Database'!$F$2:$F$227,MATCH(A17,'Keyword Master Database'!$A$2:$A$227,0))</f>
        <v>BOFU</v>
      </c>
      <c r="D17" s="25" t="s">
        <v>891</v>
      </c>
      <c r="E17" s="25" t="s">
        <v>892</v>
      </c>
      <c r="F17" s="25" t="s">
        <v>894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