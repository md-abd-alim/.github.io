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Business Analysis" sheetId="2" r:id="rId6"/>
    <sheet state="visible" name="Keyword Master Database" sheetId="3" r:id="rId7"/>
    <sheet state="visible" name="Keyword Clusters" sheetId="4" r:id="rId8"/>
    <sheet state="visible" name="Competitor Analysis" sheetId="5" r:id="rId9"/>
    <sheet state="visible" name="Keyword Mapping" sheetId="6" r:id="rId10"/>
    <sheet state="visible" name="Topical Authority Map" sheetId="7" r:id="rId11"/>
    <sheet state="visible" name="SEO Silo Architecture" sheetId="8" r:id="rId12"/>
    <sheet state="visible" name="Internal Linking Blueprint" sheetId="9" r:id="rId13"/>
    <sheet state="visible" name="Content Roadmap" sheetId="10" r:id="rId14"/>
    <sheet state="visible" name="Quick Wins" sheetId="11" r:id="rId15"/>
    <sheet state="visible" name="Scoring Model" sheetId="12" r:id="rId16"/>
  </sheets>
  <definedNames/>
  <calcPr/>
</workbook>
</file>

<file path=xl/sharedStrings.xml><?xml version="1.0" encoding="utf-8"?>
<sst xmlns="http://schemas.openxmlformats.org/spreadsheetml/2006/main" count="7068" uniqueCount="1190">
  <si>
    <t>BUSINESS ANALYSIS</t>
  </si>
  <si>
    <t>Keyword</t>
  </si>
  <si>
    <t>Cluster Name</t>
  </si>
  <si>
    <t>Keyword Type</t>
  </si>
  <si>
    <t>Parent Topic</t>
  </si>
  <si>
    <t>Cluster</t>
  </si>
  <si>
    <t>Primary Keyword</t>
  </si>
  <si>
    <t>Search Intent</t>
  </si>
  <si>
    <t>Funnel Stage</t>
  </si>
  <si>
    <t>Secondary Keywords</t>
  </si>
  <si>
    <t>BUSINESS PROFILE</t>
  </si>
  <si>
    <t>Primary/Secondary</t>
  </si>
  <si>
    <t>Questions</t>
  </si>
  <si>
    <t>Search Volume</t>
  </si>
  <si>
    <t>Volume Source</t>
  </si>
  <si>
    <t>Entities</t>
  </si>
  <si>
    <t xml:space="preserve"> KD</t>
  </si>
  <si>
    <t>Intent</t>
  </si>
  <si>
    <t>KD Source</t>
  </si>
  <si>
    <t>Estimated CPC</t>
  </si>
  <si>
    <t>Recommended Page</t>
  </si>
  <si>
    <t>CPC Source</t>
  </si>
  <si>
    <t>Page Type</t>
  </si>
  <si>
    <t>SERP Competition</t>
  </si>
  <si>
    <t>Ranking Competitors</t>
  </si>
  <si>
    <t>Business Name</t>
  </si>
  <si>
    <t># Keywords (formula)</t>
  </si>
  <si>
    <t>Business Value Score (1-5)</t>
  </si>
  <si>
    <t>Search Demand Score (1-5)</t>
  </si>
  <si>
    <t>Ranking Opportunity Score (1-5)</t>
  </si>
  <si>
    <t>Intent Strength Score (1-5)</t>
  </si>
  <si>
    <t>Dental Implants</t>
  </si>
  <si>
    <t>Conversion Potential Score (1-5)</t>
  </si>
  <si>
    <t>Topical Importance Score (1-5)</t>
  </si>
  <si>
    <t>Dental Faith Aesthetic &amp; Family Dentistry</t>
  </si>
  <si>
    <t>SEO Priority Score</t>
  </si>
  <si>
    <t>Priority Level</t>
  </si>
  <si>
    <t>Website</t>
  </si>
  <si>
    <t>Target URL</t>
  </si>
  <si>
    <t>https://dentalfaith.com/</t>
  </si>
  <si>
    <t>Recommended Action</t>
  </si>
  <si>
    <t>Industry</t>
  </si>
  <si>
    <t>Notes</t>
  </si>
  <si>
    <t>Dental Clinic (general, cosmetic and family dentistry)</t>
  </si>
  <si>
    <t>Country</t>
  </si>
  <si>
    <t>dental implants nashville</t>
  </si>
  <si>
    <t>United States</t>
  </si>
  <si>
    <t>Location</t>
  </si>
  <si>
    <t>390 Harding Pl #101, Nashville, TN 37211, United States</t>
  </si>
  <si>
    <t>Services</t>
  </si>
  <si>
    <t>Preventive Dentistry; Dental Cleanings; Periodontal Therapy; Oral Cancer Screening; Cosmetic Dentistry; Dental Crowns; Dental Bridges; Dental Veneers; Teeth Whitening; Orthodontics; Restorative Dentistry; Dental Fillings; Partials &amp; Dentures; Root Canals; Dental Implants; Emergency Dentistry (Broken Tooth, Cracked Tooth, Gum Bleeding, Toothache); Dental Extraction; Technology (Dental X-rays, Digital Dental Impressions, Intraoral Pictures)</t>
  </si>
  <si>
    <t>Products</t>
  </si>
  <si>
    <t>Not applicable (service-based practice)</t>
  </si>
  <si>
    <t>dental implants nashville tn; dental implants near me; dental implants cost nashville; same day dental implants nashville; dental implant dentist near me; best dental implants in nashville</t>
  </si>
  <si>
    <t>Primary SEO Focus</t>
  </si>
  <si>
    <t>Local SEO + AI SEO</t>
  </si>
  <si>
    <t>Local - Service</t>
  </si>
  <si>
    <t>what are dental implants; how long do dental implants last; dental implant procedure step by step; are dental implants worth it</t>
  </si>
  <si>
    <t>BUSINESS &amp; SEO GOALS</t>
  </si>
  <si>
    <t>Titanium post, abutment, crown, bone graft, osseointegration, missing tooth replacement, CBCT scan</t>
  </si>
  <si>
    <t>Transactional</t>
  </si>
  <si>
    <t>BOFU</t>
  </si>
  <si>
    <t>Primary</t>
  </si>
  <si>
    <t>/services/dental-implants/</t>
  </si>
  <si>
    <t>Service Page</t>
  </si>
  <si>
    <t>Goal 1</t>
  </si>
  <si>
    <t>Generate more local leads (calls, bookings, direction requests)</t>
  </si>
  <si>
    <t>Goal 2</t>
  </si>
  <si>
    <t>Increase organic traffic</t>
  </si>
  <si>
    <t>Goal 3</t>
  </si>
  <si>
    <t>Improve rankings for service-page, Commercial and Transactional intent keywords</t>
  </si>
  <si>
    <t>SEO Market Estimate</t>
  </si>
  <si>
    <t>Goal 4</t>
  </si>
  <si>
    <t>Build topical authority across every service silo</t>
  </si>
  <si>
    <t>SERP Competition Analysis</t>
  </si>
  <si>
    <t>WEBSITE &amp; CURRENT-STATE ANALYSIS</t>
  </si>
  <si>
    <t>Current intent profile</t>
  </si>
  <si>
    <t>Commercial Intent Analysis</t>
  </si>
  <si>
    <t>Informational 69.0% (about 2K keywords, 158 traffic) | Navigational 9.1% (263, 174) | Commercial 19.2% (554, 76) | Transactional 2.6% (75, 14). Visibility skews heavily informational and branded; commercial/transactional demand is barely captured. This is the core opportunity.</t>
  </si>
  <si>
    <t>Website analysis method</t>
  </si>
  <si>
    <t>The live homepage could not be rendered by the crawler (compressed response), so on-page review was limited. Findings use the service list provided, public listings and SERP research. Run a Screaming Frog crawl to confirm titles, H1s, schema and URLs before implementation.</t>
  </si>
  <si>
    <t>Existing SEO strengths</t>
  </si>
  <si>
    <t>Broad service menu that maps cleanly to a hub-and-spoke architecture; combined aesthetic + family positioning; technology differentiators (digital x-rays, impressions, intraoral pictures); public mention as a family dentist in Nashville on a dental community site.</t>
  </si>
  <si>
    <t>Missing keyword opportunities</t>
  </si>
  <si>
    <t>Neighborhood/ZIP terms (37211, Nolensville Pike, Antioch); same-day/walk-in and open-Saturday intent; insurance/financing terms; kids/family; Spanish-language local queries; comparison queries (implants vs dentures, veneers vs crowns).</t>
  </si>
  <si>
    <t>Content gaps</t>
  </si>
  <si>
    <t>Problem-based emergency content (toothache at night, cracked tooth symptoms), cost-guidance pages, FAQ sections per service, technology explainers, comparison articles, review/proof pages.</t>
  </si>
  <si>
    <t>Commercial opportunities</t>
  </si>
  <si>
    <t>Implants, emergency, root canal, veneers/cosmetic and Invisalign/braces carry the highest CPCs ($8-$15+), signalling the strongest lead value. Prioritize those service pages and their local variants.</t>
  </si>
  <si>
    <t>Internal linking opportunities</t>
  </si>
  <si>
    <t>Connect emergency pages to root canal/crown/extraction treatment pages; link technology pages to the services they support; every educational article should link to its service page and the booking CTA.</t>
  </si>
  <si>
    <t>Page optimization opportunities</t>
  </si>
  <si>
    <t>Add LocalBusiness/Dentist + FAQ schema, click-to-call CTAs, NAP consistency, service-specific H1/title patterns, before/after galleries, clinician E-E-A-T (credentials, reviews) and AI-search-ready Q&amp;A blocks.</t>
  </si>
  <si>
    <t>TARGET INTENT MIX vs CURRENT</t>
  </si>
  <si>
    <t>Current share (screenshot) | Planned share in this workbook</t>
  </si>
  <si>
    <t>Informational</t>
  </si>
  <si>
    <t>Dental Implants - Education</t>
  </si>
  <si>
    <t>Local-pack practices; Yelp; Healthgrades; Nashville dental groups</t>
  </si>
  <si>
    <t>what are dental implants</t>
  </si>
  <si>
    <t>missing tooth replacement options; dental implant recovery time; dental implant procedure step by step; are dental implants worth it; how long do dental implants last</t>
  </si>
  <si>
    <t>TOFU</t>
  </si>
  <si>
    <t>/blog/dental-implants-guide/</t>
  </si>
  <si>
    <t>Blog / Guide</t>
  </si>
  <si>
    <t>Emergency Dentistry</t>
  </si>
  <si>
    <t>emergency dentist nashville</t>
  </si>
  <si>
    <t>emergency dentist near me; emergency dentist nashville tn; 24 hour emergency dentist nashville; emergency dentist open now nashville; emergency dentist cost nashville; emergency dentist for kids nashville</t>
  </si>
  <si>
    <t>what counts as a dental emergency</t>
  </si>
  <si>
    <t>Dental emergency, same-day appointment, toothache, abscess, trauma, after-hours care</t>
  </si>
  <si>
    <t>/services/emergency-dentistry/</t>
  </si>
  <si>
    <t>Service Hub Page</t>
  </si>
  <si>
    <t>Navigational</t>
  </si>
  <si>
    <t>Emergency Dentistry - Education</t>
  </si>
  <si>
    <t>-</t>
  </si>
  <si>
    <t>/blog/emergency-dentistry-guide/</t>
  </si>
  <si>
    <t>Cosmetic Dentistry</t>
  </si>
  <si>
    <t>cosmetic dentist nashville</t>
  </si>
  <si>
    <t>cosmetic dentist near me; cosmetic dentist nashville tn; smile makeover nashville; cosmetic dentist cost nashville; how much does cosmetic dentistry cost; cosmetic dentistry before and after</t>
  </si>
  <si>
    <t>See paired Education cluster</t>
  </si>
  <si>
    <t>Smile makeover, veneers, whitening, bonding, smile design, aesthetic dentist</t>
  </si>
  <si>
    <t>/services/cosmetic-dentistry/</t>
  </si>
  <si>
    <t>Commercial</t>
  </si>
  <si>
    <t>Dental Veneers</t>
  </si>
  <si>
    <t>dental veneers nashville</t>
  </si>
  <si>
    <t>dental veneers near me; dental veneers cost nashville; porcelain veneers nashville; dental veneers nashville tn; veneers before and after; best dental veneers in nashville</t>
  </si>
  <si>
    <t>what are dental veneers; how long do veneers last; are veneers worth it</t>
  </si>
  <si>
    <t>Porcelain veneers, composite veneers, enamel, smile design, shade matching</t>
  </si>
  <si>
    <t>/services/dental-veneers/</t>
  </si>
  <si>
    <t>Dental Veneers - Education</t>
  </si>
  <si>
    <t>what are dental veneers</t>
  </si>
  <si>
    <t>how long do veneers last; are veneers worth it</t>
  </si>
  <si>
    <t>/blog/dental-veneers-guide/</t>
  </si>
  <si>
    <t>Teeth Whitening</t>
  </si>
  <si>
    <t>teeth whitening nashville</t>
  </si>
  <si>
    <t>professional teeth whitening nashville; teeth whitening nashville tn; teeth whitening near me; teeth whitening cost nashville; best teeth whitening in nashville</t>
  </si>
  <si>
    <t>is professional teeth whitening worth it; how long does teeth whitening last; teeth whitening sensitivity how to prevent</t>
  </si>
  <si>
    <t>In-office whitening, take-home trays, peroxide, enamel sensitivity, stains</t>
  </si>
  <si>
    <t>/services/teeth-whitening/</t>
  </si>
  <si>
    <t>Teeth Whitening - Education</t>
  </si>
  <si>
    <t>is professional teeth whitening worth it</t>
  </si>
  <si>
    <t>teeth whitening sensitivity how to prevent; how long does teeth whitening last</t>
  </si>
  <si>
    <t>/blog/teeth-whitening-guide/</t>
  </si>
  <si>
    <t>Optimize</t>
  </si>
  <si>
    <t>Money keyword: local pack + organic; add click-to-call, booking CTA, schema.</t>
  </si>
  <si>
    <t>dental implants nashville tn</t>
  </si>
  <si>
    <t>Orthodontics</t>
  </si>
  <si>
    <t>orthodontics nashville</t>
  </si>
  <si>
    <t>braces nashville; invisalign nashville; clear aligners nashville; adult braces nashville; orthodontics near me; orthodontics nashville tn</t>
  </si>
  <si>
    <t>how long do braces take</t>
  </si>
  <si>
    <t>Braces, clear aligners, retainers, bite alignment, adult orthodontics</t>
  </si>
  <si>
    <t>/services/orthodontics/</t>
  </si>
  <si>
    <t>Secondary</t>
  </si>
  <si>
    <t>Orthodontics - Education</t>
  </si>
  <si>
    <t>/blog/orthodontics-guide/</t>
  </si>
  <si>
    <t>Dental Crowns</t>
  </si>
  <si>
    <t>dental crowns nashville</t>
  </si>
  <si>
    <t>dental crowns nashville tn; same day crowns nashville; dental crowns near me; dental crowns cost nashville; best dental crowns in nashville</t>
  </si>
  <si>
    <t>what are dental crowns; how long do dental crowns last; dental crown procedure; loose dental crown what to do</t>
  </si>
  <si>
    <t>Porcelain crown, ceramic crown, cap, tooth prep, digital impression</t>
  </si>
  <si>
    <t>/services/dental-crowns/</t>
  </si>
  <si>
    <t>Dental Crowns - Education</t>
  </si>
  <si>
    <t>what are dental crowns</t>
  </si>
  <si>
    <t>loose dental crown what to do; how long do dental crowns last; dental crown procedure</t>
  </si>
  <si>
    <t>/blog/dental-crowns-guide/</t>
  </si>
  <si>
    <t>Dental Bridges</t>
  </si>
  <si>
    <t>dental bridges nashville</t>
  </si>
  <si>
    <t>dental bridges near me; dental bridges nashville tn; dental bridges cost nashville</t>
  </si>
  <si>
    <t>what is a dental bridge; how long does a dental bridge last; dental bridge procedure</t>
  </si>
  <si>
    <t>Pontic, abutment teeth, fixed bridge, Maryland bridge, missing teeth</t>
  </si>
  <si>
    <t>/services/dental-bridges/</t>
  </si>
  <si>
    <t>Dental Bridges - Education</t>
  </si>
  <si>
    <t>what is a dental bridge</t>
  </si>
  <si>
    <t>how long does a dental bridge last; dental bridge procedure</t>
  </si>
  <si>
    <t>dental implants near me</t>
  </si>
  <si>
    <t>Local - Near Me</t>
  </si>
  <si>
    <t>/blog/dental-bridges-guide/</t>
  </si>
  <si>
    <t>Partials &amp; Dentures</t>
  </si>
  <si>
    <t>dentures nashville</t>
  </si>
  <si>
    <t>denture repair nashville; dentures nashville tn; partial dentures nashville; dentures near me; dentures cost nashville; how much do partial dentures cost</t>
  </si>
  <si>
    <t>how to care for dentures</t>
  </si>
  <si>
    <t>Full dentures, partial dentures, relines, denture repair, denture adhesive</t>
  </si>
  <si>
    <t>/services/partials-dentures/</t>
  </si>
  <si>
    <t>Partials &amp; Dentures - Education</t>
  </si>
  <si>
    <t>/blog/partials-dentures-guide/</t>
  </si>
  <si>
    <t>Root Canals</t>
  </si>
  <si>
    <t>root canal nashville</t>
  </si>
  <si>
    <t>root canal near me; root canal nashville tn; root canal treatment nashville; root canal cost nashville; best root canal in nashville</t>
  </si>
  <si>
    <t>what is a root canal; does a root canal hurt; signs you need a root canal; tooth abscess symptoms</t>
  </si>
  <si>
    <t>Endodontics, pulp, abscess, infection, crown after root canal, tooth saving</t>
  </si>
  <si>
    <t>/services/root-canals/</t>
  </si>
  <si>
    <t>best dental implants in nashville</t>
  </si>
  <si>
    <t>Local - Commercial</t>
  </si>
  <si>
    <t>MOFU</t>
  </si>
  <si>
    <t>Root Canals - Education</t>
  </si>
  <si>
    <t>what is a root canal</t>
  </si>
  <si>
    <t>signs you need a root canal; tooth abscess symptoms; does a root canal hurt</t>
  </si>
  <si>
    <t>/blog/root-canals-guide/</t>
  </si>
  <si>
    <t>Dental Fillings</t>
  </si>
  <si>
    <t>dental fillings nashville</t>
  </si>
  <si>
    <t>dental fillings near me; tooth colored fillings nashville; dental fillings nashville tn; dental fillings cost nashville</t>
  </si>
  <si>
    <t>how long do fillings last; lost filling what to do</t>
  </si>
  <si>
    <t>Composite resin, tooth-colored fillings, cavities, amalgam, decay</t>
  </si>
  <si>
    <t>/services/dental-fillings/</t>
  </si>
  <si>
    <t>Competitor</t>
  </si>
  <si>
    <t>URL</t>
  </si>
  <si>
    <t>Ranking Topics</t>
  </si>
  <si>
    <t>Strong Pages</t>
  </si>
  <si>
    <t>Weakness</t>
  </si>
  <si>
    <t>Content Gap</t>
  </si>
  <si>
    <t>Opportunity</t>
  </si>
  <si>
    <t>Competitor 1: Dentistas en USA</t>
  </si>
  <si>
    <t>Dental Fillings - Education</t>
  </si>
  <si>
    <t>how long do fillings last</t>
  </si>
  <si>
    <t>lost filling what to do</t>
  </si>
  <si>
    <t>https://dentistasenusa.com/</t>
  </si>
  <si>
    <t>Spanish-language dentist discovery (dentistas en [city], dentista cerca de mi) - estimated</t>
  </si>
  <si>
    <t>City/state dentist listing pages and homepage - estimated</t>
  </si>
  <si>
    <t>Directory-style content; weak practice-level trust signals (reviews, clinicians, before/after) - estimated</t>
  </si>
  <si>
    <t>Neighborhood-level and service-specific Spanish content for Nashville</t>
  </si>
  <si>
    <t>/blog/dental-fillings-guide/</t>
  </si>
  <si>
    <t>Own the Nashville Spanish SERP with a practice-specific bilingual hub plus GBP and Spanish-language citations</t>
  </si>
  <si>
    <t>Competitor 2: Siroco Dental</t>
  </si>
  <si>
    <t>https://www.sirocodental.com/</t>
  </si>
  <si>
    <t>General, cosmetic and family dentistry service topics - estimated</t>
  </si>
  <si>
    <t>Homepage and core service pages - estimated</t>
  </si>
  <si>
    <t>Page depth, FAQ schema and location-page coverage need validation</t>
  </si>
  <si>
    <t>Problem-based emergency content and technology explainers</t>
  </si>
  <si>
    <t>Out-build on emergency, same-day and technology content; add FAQ + LocalBusiness schema</t>
  </si>
  <si>
    <t>Competitor 3: Buen Pastor Dental</t>
  </si>
  <si>
    <t>https://buenpastordental.com/</t>
  </si>
  <si>
    <t>Spanish-speaking patient audience and affordable-care topics - estimated</t>
  </si>
  <si>
    <t>Dental Extractions</t>
  </si>
  <si>
    <t>Homepage and service pages - estimated</t>
  </si>
  <si>
    <t>tooth extraction nashville</t>
  </si>
  <si>
    <t>Likely thin informational content and limited topical depth - estimated</t>
  </si>
  <si>
    <t>wisdom tooth extraction nashville; tooth extraction near me; tooth extraction nashville tn; tooth extraction cost nashville; how much does a tooth extraction cost</t>
  </si>
  <si>
    <t>Educational cluster content (implants, root canal, gum disease) and comparison pages</t>
  </si>
  <si>
    <t>tooth extraction aftercare; dry socket symptoms</t>
  </si>
  <si>
    <t>Publish comparison + cost-guidance content and affordable/financing pages to capture MOFU demand</t>
  </si>
  <si>
    <t>Simple extraction, wisdom teeth, socket, dry socket, aftercare, bone graft</t>
  </si>
  <si>
    <t>Competitor 4: Hay Dentistas</t>
  </si>
  <si>
    <t>https://haydentistas.com/</t>
  </si>
  <si>
    <t>/services/dental-extractions/</t>
  </si>
  <si>
    <t>Spanish dentist directory and service keywords - estimated</t>
  </si>
  <si>
    <t>Homepage and city pages - estimated</t>
  </si>
  <si>
    <t>Directory model; limited clinical authority and proof - estimated</t>
  </si>
  <si>
    <t>Nashville-specific neighborhood pages and procedure guides</t>
  </si>
  <si>
    <t>Differentiate with clinician-led content, reviews and local landing pages</t>
  </si>
  <si>
    <t>Local Competitor: Nashville Family Dentistry</t>
  </si>
  <si>
    <t>(site not provided)</t>
  </si>
  <si>
    <t>Consideration stage: add proof (reviews, before/after, FAQs, pricing guidance).</t>
  </si>
  <si>
    <t>Family dentistry in ZIP 37211 (5802 Nolensville Pike) - public listing</t>
  </si>
  <si>
    <t>Strong review base on third-party listings (about 926 reviews on one health directory)</t>
  </si>
  <si>
    <t>Unknown; audit site architecture and service-page depth</t>
  </si>
  <si>
    <t>dental implants cost nashville</t>
  </si>
  <si>
    <t>Technology, emergency and cosmetic cluster depth - to validate</t>
  </si>
  <si>
    <t>Match review velocity; win cosmetic + emergency + Spanish queries it may not target</t>
  </si>
  <si>
    <t>Local - Cost</t>
  </si>
  <si>
    <t>Local Competitor: East Side Smiles</t>
  </si>
  <si>
    <t>https://eastsidesmiles.net/</t>
  </si>
  <si>
    <t>Dental Extractions - Education</t>
  </si>
  <si>
    <t>General + cosmetic dentistry, East Nashville focus - public listing</t>
  </si>
  <si>
    <t>tooth extraction aftercare</t>
  </si>
  <si>
    <t>Strong Google rating and review count on listings (about 4.9 stars, 478 reviews)</t>
  </si>
  <si>
    <t>dry socket symptoms</t>
  </si>
  <si>
    <t>East Nashville-centric; less coverage of South Nashville/37211</t>
  </si>
  <si>
    <t>South Nashville and Antioch hyper-local pages</t>
  </si>
  <si>
    <t>Capture southern Nashville neighborhoods with dedicated location pages</t>
  </si>
  <si>
    <t>Local Competitor: Brentwood Aesthetic &amp; Family Dentists</t>
  </si>
  <si>
    <t>Smile design and custom veneers; aesthetic + family positioning - public SERP snippet</t>
  </si>
  <si>
    <t>Cosmetic/veneer positioning and local awards messaging</t>
  </si>
  <si>
    <t>Brentwood-centric; premium positioning</t>
  </si>
  <si>
    <t>/blog/dental-extractions-guide/</t>
  </si>
  <si>
    <t>Affordable cosmetic options and Nashville-proper local pages</t>
  </si>
  <si>
    <t>Compete on aesthetic + family positioning in Nashville proper with veneers and whitening content</t>
  </si>
  <si>
    <t>Dental Cleanings</t>
  </si>
  <si>
    <t>dental cleaning nashville</t>
  </si>
  <si>
    <t>dental cleaning near me; teeth cleaning nashville; dental cleaning nashville tn; deep teeth cleaning nashville; dental cleaning cost nashville; dental cleaning without insurance</t>
  </si>
  <si>
    <t>how often should you get a dental cleaning</t>
  </si>
  <si>
    <t>Prophylaxis, plaque, tartar, fluoride, hygienist, six-month checkup</t>
  </si>
  <si>
    <t>/services/dental-cleanings/</t>
  </si>
  <si>
    <t>National - Informational</t>
  </si>
  <si>
    <t>Dental Cleanings - Education</t>
  </si>
  <si>
    <t>Cleveland Clinic; Healthline; Mayo Clinic; Colgate</t>
  </si>
  <si>
    <t>/blog/dental-cleanings-guide/</t>
  </si>
  <si>
    <t>Periodontal Therapy</t>
  </si>
  <si>
    <t>gum disease treatment nashville</t>
  </si>
  <si>
    <t>gum disease treatment near me; scaling and root planing nashville; gum disease treatment nashville tn; periodontal therapy nashville; gum disease treatment cost nashville</t>
  </si>
  <si>
    <t>stages of gum disease; can gum disease be reversed</t>
  </si>
  <si>
    <t>Gingivitis, periodontitis, scaling and root planing, gum pockets, deep cleaning</t>
  </si>
  <si>
    <t>/services/periodontal-therapy/</t>
  </si>
  <si>
    <t>Periodontal Therapy - Education</t>
  </si>
  <si>
    <t>stages of gum disease</t>
  </si>
  <si>
    <t>can gum disease be reversed</t>
  </si>
  <si>
    <t>Create</t>
  </si>
  <si>
    <t>Topical authority + TOFU traffic; link to the related service page with a booking CTA.</t>
  </si>
  <si>
    <t>same day dental implants nashville</t>
  </si>
  <si>
    <t>/blog/periodontal-therapy-guide/</t>
  </si>
  <si>
    <t>Oral Cancer Screening</t>
  </si>
  <si>
    <t>oral cancer screening nashville</t>
  </si>
  <si>
    <t>oral cancer screening near me; oral cancer screening nashville tn</t>
  </si>
  <si>
    <t>what is an oral cancer screening; oral cancer signs; what to expect at an oral cancer screening</t>
  </si>
  <si>
    <t>Soft tissue exam, leukoplakia, early detection, tobacco risk, HPV</t>
  </si>
  <si>
    <t>/services/oral-cancer-screening/</t>
  </si>
  <si>
    <t>Verify service/insurance/hours before publishing. Money keyword: local pack + organic; add click-to-call, booking CTA, schema.</t>
  </si>
  <si>
    <t>dental implant dentist near me</t>
  </si>
  <si>
    <t>Oral Cancer Screening - Education</t>
  </si>
  <si>
    <t>what is an oral cancer screening</t>
  </si>
  <si>
    <t>oral cancer signs; what to expect at an oral cancer screening</t>
  </si>
  <si>
    <t>/blog/oral-cancer-screening-guide/</t>
  </si>
  <si>
    <t>Preventive Dentistry</t>
  </si>
  <si>
    <t>preventive dentistry nashville</t>
  </si>
  <si>
    <t>preventive dental care nashville; dental checkup nashville; preventive dentistry nashville tn; preventive dentistry near me</t>
  </si>
  <si>
    <t>what is preventive dentistry; how often should you see a dentist; how to prevent cavities</t>
  </si>
  <si>
    <t>Checkups, sealants, fluoride, cleanings, x-rays, cavity prevention</t>
  </si>
  <si>
    <t>/services/preventive-dentistry/</t>
  </si>
  <si>
    <t>how long do dental implants last</t>
  </si>
  <si>
    <t>Preventive Dentistry - Education</t>
  </si>
  <si>
    <t>what is preventive dentistry</t>
  </si>
  <si>
    <t>how often should you see a dentist; how to prevent cavities</t>
  </si>
  <si>
    <t>/blog/preventive-dentistry-guide/</t>
  </si>
  <si>
    <t>Restorative Dentistry</t>
  </si>
  <si>
    <t>restorative dentistry nashville</t>
  </si>
  <si>
    <t>restorative dentistry nashville tn; restorative dentistry near me; full mouth restoration nashville; restorative vs cosmetic dentistry</t>
  </si>
  <si>
    <t>what is restorative dentistry</t>
  </si>
  <si>
    <t>Fillings, crowns, bridges, implants, dentures, function and bite restoration</t>
  </si>
  <si>
    <t>/services/restorative-dentistry/</t>
  </si>
  <si>
    <t>Restorative Dentistry - Education</t>
  </si>
  <si>
    <t>/blog/restorative-dentistry-guide/</t>
  </si>
  <si>
    <t>dental implant procedure step by step</t>
  </si>
  <si>
    <t>Digital Dental X-Rays</t>
  </si>
  <si>
    <t>digital dental x-rays nashville</t>
  </si>
  <si>
    <t>what are digital dental x-rays; are dental x-rays safe; how often should you get dental x-rays</t>
  </si>
  <si>
    <t>Bitewing, panoramic, radiation dose, sensors, early cavity detection</t>
  </si>
  <si>
    <t>/technology/digital-dental-x-rays/</t>
  </si>
  <si>
    <t>Digital Dental X-Rays - Education</t>
  </si>
  <si>
    <t>what are digital dental x-rays</t>
  </si>
  <si>
    <t>are dental x-rays safe; how often should you get dental x-rays</t>
  </si>
  <si>
    <t>/blog/digital-dental-x-rays-guide/</t>
  </si>
  <si>
    <t>are dental implants worth it</t>
  </si>
  <si>
    <t>Digital Dental Impressions</t>
  </si>
  <si>
    <t>digital dental impressions nashville</t>
  </si>
  <si>
    <t>digital impressions vs traditional impressions</t>
  </si>
  <si>
    <t>what are digital dental impressions; digital dental impressions benefits</t>
  </si>
  <si>
    <t>Intraoral scanner, 3D scan, CAD/CAM, aligners, crowns</t>
  </si>
  <si>
    <t>/technology/digital-dental-impressions/</t>
  </si>
  <si>
    <t>Digital Dental Impressions - Education</t>
  </si>
  <si>
    <t>what are digital dental impressions</t>
  </si>
  <si>
    <t>digital dental impressions benefits</t>
  </si>
  <si>
    <t>/blog/digital-dental-impressions-guide/</t>
  </si>
  <si>
    <t>Intraoral Pictures</t>
  </si>
  <si>
    <t>intraoral camera dentist nashville</t>
  </si>
  <si>
    <t>intraoral pictures dentist; what is an intraoral camera used for</t>
  </si>
  <si>
    <t>Intraoral camera, patient education, treatment visualization</t>
  </si>
  <si>
    <t>dental implant recovery time</t>
  </si>
  <si>
    <t>/technology/intraoral-pictures/</t>
  </si>
  <si>
    <t>Intraoral Pictures - Education</t>
  </si>
  <si>
    <t>intraoral pictures dentist</t>
  </si>
  <si>
    <t>what is an intraoral camera used for</t>
  </si>
  <si>
    <t>/blog/intraoral-pictures-guide/</t>
  </si>
  <si>
    <t>Page Name</t>
  </si>
  <si>
    <t>Existing/New</t>
  </si>
  <si>
    <t>Action</t>
  </si>
  <si>
    <t>Cannibalization Risk</t>
  </si>
  <si>
    <t>Toothache</t>
  </si>
  <si>
    <t>Keywords Mapped (formula)</t>
  </si>
  <si>
    <t>toothache dentist nashville</t>
  </si>
  <si>
    <t>toothache dentist near me</t>
  </si>
  <si>
    <t>how to relieve toothache pain; toothache at night; tooth pain when chewing; toothache that won't go away</t>
  </si>
  <si>
    <t>Tooth pain, abscess, sensitivity, cavity, infection, pain relief</t>
  </si>
  <si>
    <t>/services/emergency-dentistry/toothache/</t>
  </si>
  <si>
    <t>missing tooth replacement options</t>
  </si>
  <si>
    <t>National - Problem-Based</t>
  </si>
  <si>
    <t>dental implants nashville tn; dental implants near me; dental implants cost nashville; same day dental implants nashville</t>
  </si>
  <si>
    <t>Toothache - Education</t>
  </si>
  <si>
    <t>how to relieve toothache pain</t>
  </si>
  <si>
    <t>Existing</t>
  </si>
  <si>
    <t>toothache at night; tooth pain when chewing; toothache that won't go away</t>
  </si>
  <si>
    <t>Low</t>
  </si>
  <si>
    <t>/blog/toothache-guide/</t>
  </si>
  <si>
    <t>Broken Tooth</t>
  </si>
  <si>
    <t>broken tooth repair nashville</t>
  </si>
  <si>
    <t>broken tooth repair near me; chipped tooth repair nashville; broken tooth repair cost nashville; chipped tooth repair cost</t>
  </si>
  <si>
    <t>broken tooth what to do; knocked out tooth what to do</t>
  </si>
  <si>
    <t>Chipped tooth, fractured tooth, bonding, crown, dental trauma</t>
  </si>
  <si>
    <t>/services/emergency-dentistry/broken-tooth/</t>
  </si>
  <si>
    <t>Dental Implants: Complete Guide</t>
  </si>
  <si>
    <t>Broken Tooth - Education</t>
  </si>
  <si>
    <t>broken tooth what to do</t>
  </si>
  <si>
    <t>knocked out tooth what to do</t>
  </si>
  <si>
    <t>what are dental implants; dental implant recovery time; dental implant procedure step by step; are dental implants worth it</t>
  </si>
  <si>
    <t>/blog/broken-tooth-guide/</t>
  </si>
  <si>
    <t>New</t>
  </si>
  <si>
    <t>Cracked Tooth</t>
  </si>
  <si>
    <t>cracked tooth treatment nashville</t>
  </si>
  <si>
    <t>cracked tooth treatment near me</t>
  </si>
  <si>
    <t>cracked tooth symptoms; can a cracked tooth heal itself</t>
  </si>
  <si>
    <t>Cracked tooth syndrome, craze lines, fracture, crown, root canal</t>
  </si>
  <si>
    <t>/services/emergency-dentistry/cracked-tooth/</t>
  </si>
  <si>
    <t>emergency dentist near me; emergency dentist nashville tn; 24 hour emergency dentist nashville; emergency dentist open now nashville</t>
  </si>
  <si>
    <t>Cracked Tooth - Education</t>
  </si>
  <si>
    <t>cracked tooth symptoms</t>
  </si>
  <si>
    <t>can a cracked tooth heal itself</t>
  </si>
  <si>
    <t>/blog/cracked-tooth-guide/</t>
  </si>
  <si>
    <t>Medium</t>
  </si>
  <si>
    <t>emergency dentist nashville tn</t>
  </si>
  <si>
    <t>Gum Bleeding</t>
  </si>
  <si>
    <t>bleeding gums dentist nashville</t>
  </si>
  <si>
    <t>bleeding gums dentist near me</t>
  </si>
  <si>
    <t>bleeding gums when brushing; why do my gums bleed; swollen gums treatment</t>
  </si>
  <si>
    <t>Gingivitis, gum inflammation, plaque, brushing, periodontal disease</t>
  </si>
  <si>
    <t>/services/emergency-dentistry/bleeding-gums/</t>
  </si>
  <si>
    <t>Gum Bleeding - Education</t>
  </si>
  <si>
    <t>bleeding gums when brushing</t>
  </si>
  <si>
    <t>why do my gums bleed; swollen gums treatment</t>
  </si>
  <si>
    <t>/blog/bleeding-gums-guide/</t>
  </si>
  <si>
    <t>Emergency Dentistry: Complete Guide</t>
  </si>
  <si>
    <t>Technology Hub</t>
  </si>
  <si>
    <t>digital dentistry nashville</t>
  </si>
  <si>
    <t>what is digital dentistry; digital dentistry benefits</t>
  </si>
  <si>
    <t>Digital x-rays, intraoral scanner, 3D imaging, CAD/CAM, patient comfort</t>
  </si>
  <si>
    <t>/technology/</t>
  </si>
  <si>
    <t>cosmetic dentist near me</t>
  </si>
  <si>
    <t>cosmetic dentist nashville; cosmetic dentist nashville tn; smile makeover nashville; cosmetic dentist cost nashville</t>
  </si>
  <si>
    <t>emergency dentist near me</t>
  </si>
  <si>
    <t>Technology Hub - Education</t>
  </si>
  <si>
    <t>what is digital dentistry</t>
  </si>
  <si>
    <t>digital dentistry benefits</t>
  </si>
  <si>
    <t>/blog/technology-guide/</t>
  </si>
  <si>
    <t>dental veneers near me</t>
  </si>
  <si>
    <t>dental veneers nashville; dental veneers cost nashville; porcelain veneers nashville; dental veneers nashville tn</t>
  </si>
  <si>
    <t>Core Local Dentist</t>
  </si>
  <si>
    <t>dentist nashville</t>
  </si>
  <si>
    <t>dentist nashville tn; dentist office nashville tn; general dentist nashville; dentist near me; dentist near me open now; best dentist in nashville</t>
  </si>
  <si>
    <t>Nashville, 37211, Harding Pl, general dentist, aesthetic dentist, family dentist, new patients</t>
  </si>
  <si>
    <t>Dental Veneers: Complete Guide</t>
  </si>
  <si>
    <t>/</t>
  </si>
  <si>
    <t>how long do veneers last</t>
  </si>
  <si>
    <t>Homepage</t>
  </si>
  <si>
    <t>are veneers worth it; what are dental veneers</t>
  </si>
  <si>
    <t>New Patient Dentist</t>
  </si>
  <si>
    <t>professional teeth whitening nashville; teeth whitening nashville tn; teeth whitening near me; teeth whitening cost nashville</t>
  </si>
  <si>
    <t>dentist accepting new patients nashville</t>
  </si>
  <si>
    <t>best emergency dentist in nashville</t>
  </si>
  <si>
    <t>new patient dentist nashville; new patient dental exam and x-rays nashville</t>
  </si>
  <si>
    <t>New patient exam, x-rays, intake forms, insurance, first visit</t>
  </si>
  <si>
    <t>/new-patients/</t>
  </si>
  <si>
    <t>Conversion / Support Page</t>
  </si>
  <si>
    <t>Teeth Whitening: Complete Guide</t>
  </si>
  <si>
    <t>teeth whitening sensitivity how to prevent</t>
  </si>
  <si>
    <t>how long does teeth whitening last; is professional teeth whitening worth it</t>
  </si>
  <si>
    <t>Same-Day &amp; Walk-In Dentist</t>
  </si>
  <si>
    <t>walk in dentist nashville</t>
  </si>
  <si>
    <t>dentist open saturday nashville; same day dentist appointment nashville; dentist open sunday nashville; dentist open late nashville</t>
  </si>
  <si>
    <t>Walk-in, same-day appointment, Saturday hours, evening hours, urgent care</t>
  </si>
  <si>
    <t>/same-day-dentist-nashville/</t>
  </si>
  <si>
    <t>braces nashville</t>
  </si>
  <si>
    <t>invisalign nashville; clear aligners nashville; adult braces nashville; orthodontics near me</t>
  </si>
  <si>
    <t>Family Dentistry</t>
  </si>
  <si>
    <t>family dentist nashville</t>
  </si>
  <si>
    <t>family dentist near me; dentist for the whole family near me; family dentistry nashville tn; best family dentist in nashville</t>
  </si>
  <si>
    <t>Family dentist, all ages, kids, adults, seniors, preventive care, one-stop dental care</t>
  </si>
  <si>
    <t>Orthodontics: Complete Guide</t>
  </si>
  <si>
    <t>/family-dentistry/</t>
  </si>
  <si>
    <t>emergency dentist cost nashville</t>
  </si>
  <si>
    <t>dental crowns nashville tn; same day crowns nashville; dental crowns near me; dental crowns cost nashville</t>
  </si>
  <si>
    <t>Dental Crowns: Complete Guide</t>
  </si>
  <si>
    <t>loose dental crown what to do</t>
  </si>
  <si>
    <t>how long do dental crowns last; what are dental crowns; dental crown procedure</t>
  </si>
  <si>
    <t>Children's Dentistry</t>
  </si>
  <si>
    <t>children's dentist nashville</t>
  </si>
  <si>
    <t>dentist for kids near me; pediatric dentist nashville; kid friendly dentist nashville</t>
  </si>
  <si>
    <t>Kids dentist, first dental visit, sealants, fluoride, kid-friendly office</t>
  </si>
  <si>
    <t>/childrens-dentistry/</t>
  </si>
  <si>
    <t>24 hour emergency dentist nashville</t>
  </si>
  <si>
    <t>dental bridges near me</t>
  </si>
  <si>
    <t>dental bridges nashville; dental bridges nashville tn; dental bridges cost nashville</t>
  </si>
  <si>
    <t>Dental Anxiety &amp; Sedation</t>
  </si>
  <si>
    <t>dental anxiety dentist nashville</t>
  </si>
  <si>
    <t>sedation dentistry nashville</t>
  </si>
  <si>
    <t>Dental anxiety, sedation, nitrous oxide, comfort dentistry, gentle dentist</t>
  </si>
  <si>
    <t>/dental-anxiety-sedation/</t>
  </si>
  <si>
    <t>Dental Bridges: Complete Guide</t>
  </si>
  <si>
    <t>South Nashville / 37211</t>
  </si>
  <si>
    <t>dentist south nashville</t>
  </si>
  <si>
    <t>dentist 37211; dentist woodbine nashville; dentist near 37211; dentist oak hill nashville; dentist nolensville pike; dentist harding place nashville</t>
  </si>
  <si>
    <t>37211, Nolensville Pike, Harding Pl, Woodbine, Oak Hill, Berry Hill, Glencliff</t>
  </si>
  <si>
    <t>/locations/south-nashville-dentist/</t>
  </si>
  <si>
    <t>Location Landing Page</t>
  </si>
  <si>
    <t>denture repair nashville</t>
  </si>
  <si>
    <t>dentures nashville; dentures nashville tn; partial dentures nashville; dentures near me</t>
  </si>
  <si>
    <t>Antioch Dentist</t>
  </si>
  <si>
    <t>dentist antioch tn</t>
  </si>
  <si>
    <t>dentist near antioch tn; family dentist antioch tn; emergency dentist antioch tn</t>
  </si>
  <si>
    <t>emergency dentist open now nashville</t>
  </si>
  <si>
    <t>Partials &amp; Dentures: Complete Guide</t>
  </si>
  <si>
    <t>Antioch TN, Hickory Hollow, Bell Road, Murfreesboro Pike</t>
  </si>
  <si>
    <t>/locations/antioch-dentist/</t>
  </si>
  <si>
    <t>Nolensville Dentist</t>
  </si>
  <si>
    <t>dentist nolensville tn</t>
  </si>
  <si>
    <t>family dentist nolensville tn</t>
  </si>
  <si>
    <t>root canal near me</t>
  </si>
  <si>
    <t>root canal nashville tn; root canal treatment nashville; root canal nashville; root canal cost nashville</t>
  </si>
  <si>
    <t>SEO KEYWORD RESEARCH &amp; STRATEGY WORKBOOK</t>
  </si>
  <si>
    <t>Nolensville TN, Williamson County, Nolensville Pike</t>
  </si>
  <si>
    <t>/locations/nolensville-dentist/</t>
  </si>
  <si>
    <t>Root Canals: Complete Guide</t>
  </si>
  <si>
    <t>signs you need a root canal</t>
  </si>
  <si>
    <t>tooth abscess symptoms; does a root canal hurt; what is a root canal</t>
  </si>
  <si>
    <t>Brentwood Dentist</t>
  </si>
  <si>
    <t>dentist brentwood tn</t>
  </si>
  <si>
    <t>family dentist brentwood tn; cosmetic dentist brentwood tn</t>
  </si>
  <si>
    <t>Brentwood TN, Williamson County, Franklin Road</t>
  </si>
  <si>
    <t>Dental Faith Aesthetic &amp; Family Dentistry | Nashville, Tennessee, USA</t>
  </si>
  <si>
    <t>/locations/brentwood-dentist/</t>
  </si>
  <si>
    <t>same day emergency dentist near me</t>
  </si>
  <si>
    <t>dental fillings near me</t>
  </si>
  <si>
    <t>dental fillings nashville; tooth colored fillings nashville; dental fillings nashville tn; dental fillings cost nashville</t>
  </si>
  <si>
    <t>Insurance &amp; Financing</t>
  </si>
  <si>
    <t>Prepared By: Md. Abdul Alim  |  Local SEO &amp; AI Search Optimization Consultant</t>
  </si>
  <si>
    <t>dentist that accepts insurance nashville</t>
  </si>
  <si>
    <t>dentist that accepts delta dental nashville; dentist that takes cigna nashville; dentist no insurance nashville; affordable dentist nashville; in house dental membership plan nashville; low cost dentist nashville</t>
  </si>
  <si>
    <t>PPO, Delta Dental, Cigna, TennCare, payment plans, CareCredit, membership plan</t>
  </si>
  <si>
    <t>/insurance-financing/</t>
  </si>
  <si>
    <t>Dental Fillings: Complete Guide</t>
  </si>
  <si>
    <t>Brand &amp; Navigational</t>
  </si>
  <si>
    <t>dental faith</t>
  </si>
  <si>
    <t>dental faith nashville; dental faith nashville reviews; dental faith aesthetic and family dentistry; dental faith dentist nashville tn; dentalfaith.com; dental faith harding place</t>
  </si>
  <si>
    <t>Dental Faith, dentalfaith.com, Aesthetic &amp; Family Dentistry, Harding Pl</t>
  </si>
  <si>
    <t>wisdom tooth extraction nashville</t>
  </si>
  <si>
    <t>tooth extraction near me; tooth extraction nashville; tooth extraction nashville tn; tooth extraction cost nashville</t>
  </si>
  <si>
    <t>Dental Extractions: Complete Guide</t>
  </si>
  <si>
    <t>Spanish - Nashville Dentist Hub</t>
  </si>
  <si>
    <t>dentista en nashville</t>
  </si>
  <si>
    <t>dentista hispano nashville; dentista que habla español nashville; dentista cerca de mi; dentista antioch tn; dentista para niños nashville; dentista en nashville tn</t>
  </si>
  <si>
    <t>Dentista, Nashville, Antioch, comunidad hispana, español, familia</t>
  </si>
  <si>
    <t>/es/dentista-en-nashville/</t>
  </si>
  <si>
    <t>Spanish Service/Landing Page</t>
  </si>
  <si>
    <t>dental cleaning near me</t>
  </si>
  <si>
    <t>dental cleaning nashville; teeth cleaning nashville; dental cleaning nashville tn; deep teeth cleaning nashville</t>
  </si>
  <si>
    <t>RESEARCH SUMMARY DASHBOARD</t>
  </si>
  <si>
    <t>Spanish - Emergency Dentist</t>
  </si>
  <si>
    <t>dentista de emergencia nashville</t>
  </si>
  <si>
    <t>dentista de emergencia cerca de mi; dentista abierto hoy nashville</t>
  </si>
  <si>
    <t>Dental Cleanings: Complete Guide</t>
  </si>
  <si>
    <t>Dentista de emergencia, dolor de muela, urgencia dental, mismo día</t>
  </si>
  <si>
    <t>/es/dentista-de-emergencia/</t>
  </si>
  <si>
    <t>TOTAL KEYWORDS RESEARCHED</t>
  </si>
  <si>
    <t>KEYWORD CLUSTERS</t>
  </si>
  <si>
    <t>emergency dentist for kids nashville</t>
  </si>
  <si>
    <t>EST. MONTHLY SEARCH VOLUME</t>
  </si>
  <si>
    <t>gum disease treatment near me</t>
  </si>
  <si>
    <t>Spanish - Dental Implants</t>
  </si>
  <si>
    <t>gum disease treatment nashville; scaling and root planing nashville; gum disease treatment nashville tn; periodontal therapy nashville</t>
  </si>
  <si>
    <t>implantes dentales nashville</t>
  </si>
  <si>
    <t>implantes dentales cerca de mi; cuánto cuesta un implante dental</t>
  </si>
  <si>
    <t>LOCAL / NATIONAL KEYWORDS</t>
  </si>
  <si>
    <t>Implantes dentales, costo, reemplazo de dientes, hueso, corona</t>
  </si>
  <si>
    <t>/es/implantes-dentales/</t>
  </si>
  <si>
    <t>AVERAGE KEYWORD DIFFICULTY</t>
  </si>
  <si>
    <t>Periodontal Therapy: Complete Guide</t>
  </si>
  <si>
    <t>Spanish - Dental Services</t>
  </si>
  <si>
    <t>limpieza dental nashville</t>
  </si>
  <si>
    <t>ortodoncia nashville; blanqueamiento dental nashville; coronas dentales nashville; dentaduras nashville; tratamiento de conducto nashville; extracción de muelas nashville</t>
  </si>
  <si>
    <t>Limpieza dental, blanqueamiento, coronas, dentaduras, ortodoncia, extracciones, endodoncia</t>
  </si>
  <si>
    <t>/es/servicios-dentales/</t>
  </si>
  <si>
    <t>oral cancer screening near me</t>
  </si>
  <si>
    <t>oral cancer screening nashville; oral cancer screening nashville tn</t>
  </si>
  <si>
    <t>Spanish - Affordable Dentist</t>
  </si>
  <si>
    <t>dentista económico nashville</t>
  </si>
  <si>
    <t>dentista sin seguro nashville; planes de pago dentista nashville</t>
  </si>
  <si>
    <t>Dentista económico, sin seguro, planes de pago, precios</t>
  </si>
  <si>
    <t>/es/dentista-economico/</t>
  </si>
  <si>
    <t>Oral Cancer Screening: Complete Guide</t>
  </si>
  <si>
    <t>oral cancer signs</t>
  </si>
  <si>
    <t>what to expect at an oral cancer screening; what is an oral cancer screening</t>
  </si>
  <si>
    <t>Spanish - Education</t>
  </si>
  <si>
    <t>dolor de muela que hacer</t>
  </si>
  <si>
    <t>encías sangrantes causas</t>
  </si>
  <si>
    <t>dolor de muela que hacer; encías sangrantes causas</t>
  </si>
  <si>
    <t>Dolor de muela, encías sangrantes, cuidado dental, emergencia</t>
  </si>
  <si>
    <t>/es/blog/dolor-de-muela-que-hacer/</t>
  </si>
  <si>
    <t>Implants vs Dentures vs Bridges</t>
  </si>
  <si>
    <t>dental implants vs dentures</t>
  </si>
  <si>
    <t>dental implants vs bridge; partial dentures vs bridge</t>
  </si>
  <si>
    <t>cosmetic dentist nashville tn</t>
  </si>
  <si>
    <t>Implants, dentures, bridges, cost, longevity, bone health</t>
  </si>
  <si>
    <t>/blog/dental-implants-vs-dentures-vs-bridges/</t>
  </si>
  <si>
    <t>Veneers vs Crowns vs Bonding</t>
  </si>
  <si>
    <t>veneers vs crowns</t>
  </si>
  <si>
    <t>porcelain vs composite veneers; veneers vs bonding</t>
  </si>
  <si>
    <t>Veneers, crowns, bonding, porcelain, composite</t>
  </si>
  <si>
    <t>/blog/veneers-vs-crowns-vs-bonding/</t>
  </si>
  <si>
    <t>Preventive Dentistry: Complete Guide</t>
  </si>
  <si>
    <t>how often should you see a dentist</t>
  </si>
  <si>
    <t>what is preventive dentistry; how to prevent cavities</t>
  </si>
  <si>
    <t>Root Canal vs Extraction</t>
  </si>
  <si>
    <t>root canal vs extraction</t>
  </si>
  <si>
    <t>dental crown vs filling</t>
  </si>
  <si>
    <t>Root canal, extraction, crown, implant, tooth preservation</t>
  </si>
  <si>
    <t>/blog/root-canal-vs-extraction/</t>
  </si>
  <si>
    <t>Invisalign vs Braces</t>
  </si>
  <si>
    <t>invisalign vs braces</t>
  </si>
  <si>
    <t>clear aligners vs braces for adults</t>
  </si>
  <si>
    <t>Invisalign, braces, clear aligners, adult orthodontics</t>
  </si>
  <si>
    <t>/blog/invisalign-vs-braces/</t>
  </si>
  <si>
    <t>Restorative Dentistry: Complete Guide</t>
  </si>
  <si>
    <t>CRITICAL + HIGH PRIORITY</t>
  </si>
  <si>
    <t>PAGES MAPPED</t>
  </si>
  <si>
    <t>NEW PAGES RECOMMENDED</t>
  </si>
  <si>
    <t>Composite vs Amalgam Fillings</t>
  </si>
  <si>
    <t>composite vs amalgam fillings</t>
  </si>
  <si>
    <t>INTERNAL LINKS PLANNED</t>
  </si>
  <si>
    <t>Composite resin, amalgam, tooth-colored fillings</t>
  </si>
  <si>
    <t>/blog/composite-vs-amalgam-fillings/</t>
  </si>
  <si>
    <t>CONTENT OPPORTUNITIES</t>
  </si>
  <si>
    <t>Digital Dental X-Rays: Complete Guide</t>
  </si>
  <si>
    <t>are dental x-rays safe</t>
  </si>
  <si>
    <t>In-Office vs At-Home Whitening</t>
  </si>
  <si>
    <t>best cosmetic dentist in nashville</t>
  </si>
  <si>
    <t>in-office vs at-home teeth whitening</t>
  </si>
  <si>
    <t>how often should you get dental x-rays; what are digital dental x-rays</t>
  </si>
  <si>
    <t>In-office whitening, at-home kits, strips, trays</t>
  </si>
  <si>
    <t>/blog/in-office-vs-at-home-teeth-whitening/</t>
  </si>
  <si>
    <t>Cleaning vs Deep Cleaning</t>
  </si>
  <si>
    <t>professional cleaning vs deep cleaning</t>
  </si>
  <si>
    <t>Prophylaxis, deep cleaning, scaling and root planing</t>
  </si>
  <si>
    <t>/blog/dental-cleaning-vs-deep-cleaning/</t>
  </si>
  <si>
    <t>Digital Dental Impressions: Complete Guide</t>
  </si>
  <si>
    <t>Oral Health Education Hub</t>
  </si>
  <si>
    <t>sensitive teeth causes</t>
  </si>
  <si>
    <t>bad breath that won't go away</t>
  </si>
  <si>
    <t>sensitive teeth causes; bad breath that won't go away</t>
  </si>
  <si>
    <t>Sensitive teeth, bad breath, enamel, hygiene habits</t>
  </si>
  <si>
    <t>cosmetic dentist cost nashville</t>
  </si>
  <si>
    <t>/blog/sensitive-teeth-causes/</t>
  </si>
  <si>
    <t>Merge</t>
  </si>
  <si>
    <t>Intraoral Pictures: Complete Guide</t>
  </si>
  <si>
    <t>smile makeover nashville</t>
  </si>
  <si>
    <t>VISUAL DASHBOARD</t>
  </si>
  <si>
    <t>Toothache: Complete Guide</t>
  </si>
  <si>
    <t>toothache at night</t>
  </si>
  <si>
    <t>tooth pain when chewing; toothache that won't go away; how to relieve toothache pain</t>
  </si>
  <si>
    <t>broken tooth repair near me</t>
  </si>
  <si>
    <t>chipped tooth repair nashville; broken tooth repair nashville; broken tooth repair cost nashville; chipped tooth repair cost</t>
  </si>
  <si>
    <t>aesthetic dentist nashville</t>
  </si>
  <si>
    <t>Broken Tooth: Complete Guide</t>
  </si>
  <si>
    <t>DISTRIBUTION DATA</t>
  </si>
  <si>
    <t>Keywords</t>
  </si>
  <si>
    <t>Share</t>
  </si>
  <si>
    <t>Remarks</t>
  </si>
  <si>
    <t>Cracked Tooth: Complete Guide</t>
  </si>
  <si>
    <t>cosmetic dentistry before and after</t>
  </si>
  <si>
    <t>National - Commercial</t>
  </si>
  <si>
    <t>Gum Bleeding: Complete Guide</t>
  </si>
  <si>
    <t>Critical</t>
  </si>
  <si>
    <t>Dental Technology Hub</t>
  </si>
  <si>
    <t>how much does cosmetic dentistry cost</t>
  </si>
  <si>
    <t>Technology Hub: Complete Guide</t>
  </si>
  <si>
    <t>dentist nashville tn; dentist office nashville tn; general dentist nashville; dentist near me</t>
  </si>
  <si>
    <t>New Patients</t>
  </si>
  <si>
    <t>High</t>
  </si>
  <si>
    <t>dental veneers nashville tn</t>
  </si>
  <si>
    <t>dentist for kids near me</t>
  </si>
  <si>
    <t>pediatric dentist nashville; children's dentist nashville; kid friendly dentist nashville</t>
  </si>
  <si>
    <t>South Nashville / 37211 Dentist</t>
  </si>
  <si>
    <t>dentist 37211</t>
  </si>
  <si>
    <t>dentist woodbine nashville; dentist near 37211; dentist oak hill nashville; dentist south nashville</t>
  </si>
  <si>
    <t>WORKBOOK CONTENTS</t>
  </si>
  <si>
    <t>Sheet Name</t>
  </si>
  <si>
    <t>Purpose</t>
  </si>
  <si>
    <t>Business Analysis</t>
  </si>
  <si>
    <t>dentist that accepts delta dental nashville</t>
  </si>
  <si>
    <t>dentist that takes cigna nashville; dentist that accepts insurance nashville; dentist no insurance nashville; affordable dentist nashville</t>
  </si>
  <si>
    <t>best dental veneers in nashville</t>
  </si>
  <si>
    <t>/reviews/</t>
  </si>
  <si>
    <t>Patient Reviews</t>
  </si>
  <si>
    <t>dental faith nashville reviews</t>
  </si>
  <si>
    <t>/contact/</t>
  </si>
  <si>
    <t>Contact / Book Appointment</t>
  </si>
  <si>
    <t>dental faith harding place</t>
  </si>
  <si>
    <t>dental faith phone number</t>
  </si>
  <si>
    <t>Keep</t>
  </si>
  <si>
    <t>Business information, SEO goals and website analysis</t>
  </si>
  <si>
    <t>Dentista en Nashville (Spanish Hub)</t>
  </si>
  <si>
    <t>Keyword Master Database</t>
  </si>
  <si>
    <t>dentista hispano nashville</t>
  </si>
  <si>
    <t>dentista que habla español nashville; dentista en nashville; dentista cerca de mi; dentista antioch tn</t>
  </si>
  <si>
    <t>Dentista de Emergencia</t>
  </si>
  <si>
    <t>Complete keyword research database with metrics, scoring and strategy</t>
  </si>
  <si>
    <t>Keyword Clusters</t>
  </si>
  <si>
    <t>Implantes Dentales</t>
  </si>
  <si>
    <t>implantes dentales cerca de mi</t>
  </si>
  <si>
    <t>implantes dentales nashville; cuánto cuesta un implante dental</t>
  </si>
  <si>
    <t>Keyword grouping and semantic organization</t>
  </si>
  <si>
    <t>Competitor Analysis</t>
  </si>
  <si>
    <t>Servicios Dentales (Spanish)</t>
  </si>
  <si>
    <t>ortodoncia nashville</t>
  </si>
  <si>
    <t>limpieza dental nashville; blanqueamiento dental nashville; coronas dentales nashville; dentaduras nashville</t>
  </si>
  <si>
    <t>Competitor keyword insights and opportunities</t>
  </si>
  <si>
    <t>dental veneers cost nashville</t>
  </si>
  <si>
    <t>Keyword Mapping</t>
  </si>
  <si>
    <t>Dentista Económico</t>
  </si>
  <si>
    <t>Keyword to page targeting strategy</t>
  </si>
  <si>
    <t>Topical Authority Map</t>
  </si>
  <si>
    <t>Dolor de Muela: Qué Hacer</t>
  </si>
  <si>
    <t>Content authority planning</t>
  </si>
  <si>
    <t>SEO Silo Architecture</t>
  </si>
  <si>
    <t>/es/blog/encias-sangrantes-causas/</t>
  </si>
  <si>
    <t>Encías Sangrantes: Causas</t>
  </si>
  <si>
    <t>Website structure planning</t>
  </si>
  <si>
    <t>Internal Linking Blueprint</t>
  </si>
  <si>
    <t>Internal authority flow strategy</t>
  </si>
  <si>
    <t>Content Roadmap</t>
  </si>
  <si>
    <t>Future content creation strategy (26 weeks)</t>
  </si>
  <si>
    <t>Main Topic</t>
  </si>
  <si>
    <t>Quick Wins</t>
  </si>
  <si>
    <t>Sub Topics</t>
  </si>
  <si>
    <t>Supporting Content</t>
  </si>
  <si>
    <t>Commercial Connection</t>
  </si>
  <si>
    <t>Immediate SEO opportunities</t>
  </si>
  <si>
    <t>Dental Implants (Restorative)</t>
  </si>
  <si>
    <t>Cost, procedure, recovery, candidacy, same-day implants, implants vs dentures/bridges</t>
  </si>
  <si>
    <t>How long implants last; implant procedure guide; are implants worth it; implants vs dentures vs bridges; Spanish implant page</t>
  </si>
  <si>
    <t>Titanium post, abutment, crown, bone graft, CBCT</t>
  </si>
  <si>
    <t>/services/dental-implants/ - highest-value lead page; consult booking CTA</t>
  </si>
  <si>
    <t>Scoring Model</t>
  </si>
  <si>
    <t>Emergency &amp; Urgent Dentistry</t>
  </si>
  <si>
    <t>porcelain veneers nashville</t>
  </si>
  <si>
    <t>Toothache, broken tooth, cracked tooth, bleeding gums, same-day/walk-in, after-hours</t>
  </si>
  <si>
    <t>What counts as a dental emergency; toothache at night; knocked-out tooth; cracked tooth symptoms; emergency Spanish page</t>
  </si>
  <si>
    <t>Priority-score weights, scoring rules and data assumptions</t>
  </si>
  <si>
    <t>Abscess, trauma, pain relief, same-day appointment</t>
  </si>
  <si>
    <t>/services/emergency-dentistry/ + child pages - call-driven BOFU leads</t>
  </si>
  <si>
    <t>Cosmetic &amp; Aesthetic Dentistry</t>
  </si>
  <si>
    <t>Veneers, whitening, smile makeover, bonding, crowns for aesthetics</t>
  </si>
  <si>
    <t>Veneers vs crowns vs bonding; how long veneers last; whitening in-office vs at-home; before/after gallery</t>
  </si>
  <si>
    <t>Smile design, porcelain, composite, enamel</t>
  </si>
  <si>
    <t>/services/cosmetic-dentistry/ - premium service pages and consultation requests</t>
  </si>
  <si>
    <t>Crowns, bridges, partials &amp; dentures, fillings, root canals, extractions</t>
  </si>
  <si>
    <t>Crown/bridge/denture longevity guides; root canal vs extraction; composite vs amalgam; lost filling and loose crown FAQs</t>
  </si>
  <si>
    <t>Endodontics, pulp, pontic, abutment, composite resin</t>
  </si>
  <si>
    <t>Restorative hub and service pages - treatment-plan leads</t>
  </si>
  <si>
    <t>Preventive &amp; Periodontal Care</t>
  </si>
  <si>
    <t>Cleanings, periodontal therapy, oral cancer screening, checkups, x-rays</t>
  </si>
  <si>
    <t>How often to get cleanings; stages of gum disease; oral cancer signs; deep cleaning vs regular cleaning</t>
  </si>
  <si>
    <t>Plaque, tartar, gingivitis, periodontitis, screening</t>
  </si>
  <si>
    <t>New-patient acquisition and recurring-visit pipeline</t>
  </si>
  <si>
    <t>Braces, clear aligners, adult orthodontics, retainers</t>
  </si>
  <si>
    <t>Invisalign vs braces; how long braces take; adult braces guide</t>
  </si>
  <si>
    <t>Braces, aligners, bite alignment</t>
  </si>
  <si>
    <t>/services/orthodontics/ - consult requests (verify services)</t>
  </si>
  <si>
    <t>Dental Technology</t>
  </si>
  <si>
    <t>Digital x-rays, digital impressions, intraoral pictures, 3D imaging</t>
  </si>
  <si>
    <t>Are dental x-rays safe; digital vs traditional impressions; what an intraoral camera shows</t>
  </si>
  <si>
    <t>Sensors, scanners, CAD/CAM, radiation dose</t>
  </si>
  <si>
    <t>Differentiation and trust: supports all service pages with E-E-A-T proof</t>
  </si>
  <si>
    <t>Local Nashville Authority</t>
  </si>
  <si>
    <t>South Nashville/37211, Antioch, Nolensville, Brentwood, Nolensville Pike corridor</t>
  </si>
  <si>
    <t>Neighborhood pages, local reviews page, community content, GBP posts</t>
  </si>
  <si>
    <t>Harding Pl, Woodbine, Oak Hill, Berry Hill, Glencliff</t>
  </si>
  <si>
    <t>Local pack visibility and 'near me' conversions</t>
  </si>
  <si>
    <t>Family, New Patient &amp; Affordability</t>
  </si>
  <si>
    <t>Family dentistry, children's dentistry, new patients, insurance, financing, anxiety/sedation</t>
  </si>
  <si>
    <t>What to expect at your first visit; insurance &amp; financing FAQ; dental anxiety tips</t>
  </si>
  <si>
    <t>PPO plans, payment plans, membership plan, kids dentistry</t>
  </si>
  <si>
    <t>Removes friction: increases bookings from price-sensitive and family searches</t>
  </si>
  <si>
    <t>veneers before and after</t>
  </si>
  <si>
    <t>Spanish / Bilingual Local SEO</t>
  </si>
  <si>
    <t>Dentista en Nashville, emergency, implants, services, affordable dentistry</t>
  </si>
  <si>
    <t>Spanish hub + 4 service pages + 2 educational posts</t>
  </si>
  <si>
    <t>Comunidad hispana, español, dentista, urgencias</t>
  </si>
  <si>
    <t>Underserved local SERP segment; competitor set is Spanish-language</t>
  </si>
  <si>
    <t>Dental Cleaning vs Deep Cleaning</t>
  </si>
  <si>
    <t>Sensitive Teeth: Causes</t>
  </si>
  <si>
    <t>/blog/persistent-bad-breath/</t>
  </si>
  <si>
    <t>Persistent Bad Breath</t>
  </si>
  <si>
    <t>Existing/New is assumed from the services list provided; confirm against a crawl. 'Merge' = consolidate thin content into the parent hub; 'Redirect' (301) applies to any standalone page that is merged.</t>
  </si>
  <si>
    <t>are veneers worth it</t>
  </si>
  <si>
    <t>teeth whitening nashville tn</t>
  </si>
  <si>
    <t>teeth whitening near me</t>
  </si>
  <si>
    <t>best teeth whitening in nashville</t>
  </si>
  <si>
    <t>teeth whitening cost nashville</t>
  </si>
  <si>
    <t>Silo</t>
  </si>
  <si>
    <t>Parent Page</t>
  </si>
  <si>
    <t>Child Pages</t>
  </si>
  <si>
    <t>Internal Linking Flow</t>
  </si>
  <si>
    <t>professional teeth whitening nashville</t>
  </si>
  <si>
    <t>/services/cosmetic-dentistry/
(Cosmetic Dentistry)</t>
  </si>
  <si>
    <t>/services/dental-veneers/  (Dental Veneers)
/services/teeth-whitening/  (Teeth Whitening)
/blog/dental-veneers-guide/  (Dental Veneers: Complete Guide)
/blog/teeth-whitening-guide/  (Teeth Whitening: Complete Guide)
/blog/veneers-vs-crowns-vs-bonding/  (Veneers vs Crowns vs Bonding)
/blog/in-office-vs-at-home-teeth-whitening/  (In-Office vs At-Home Whitening)</t>
  </si>
  <si>
    <t>Capture smile-makeover demand; funnel to veneer and whitening consultations</t>
  </si>
  <si>
    <t>Cosmetic Dentistry -&gt; each child (service anchors); each child -&gt; parent (hub anchor); child pages cross-link only within the silo; every child -&gt; /contact/ (CTA)</t>
  </si>
  <si>
    <t>/services/restorative-dentistry/
(Restorative Dentistry)</t>
  </si>
  <si>
    <t>/services/dental-implants/  (Dental Implants)
/services/dental-crowns/  (Dental Crowns)
/services/dental-bridges/  (Dental Bridges)
/services/partials-dentures/  (Partials &amp; Dentures)
/services/dental-fillings/  (Dental Fillings)
/services/root-canals/  (Root Canals)
/services/dental-extractions/  (Dental Extractions)
/blog/dental-implants-guide/  (Dental Implants: Complete Guide)
/blog/dental-implants-vs-dentures-vs-bridges/  (Implants vs Dentures vs Bridges)
/blog/root-canal-vs-extraction/  (Root Canal vs Extraction)
/blog/root-canals-guide/  (Root Canals: Complete Guide)
/blog/dental-crowns-guide/  (Dental Crowns: Complete Guide)</t>
  </si>
  <si>
    <t>Own high-value restorative terms; implants and root canals are the revenue anchors</t>
  </si>
  <si>
    <t>Restorative Dentistry -&gt; each child (service anchors); each child -&gt; parent (hub anchor); child pages cross-link only within the silo; every child -&gt; /contact/ (CTA)</t>
  </si>
  <si>
    <t>Preventive &amp; Periodontal</t>
  </si>
  <si>
    <t>/services/preventive-dentistry/
(Preventive Dentistry)</t>
  </si>
  <si>
    <t>/services/dental-cleanings/  (Dental Cleanings)
/services/periodontal-therapy/  (Periodontal Therapy)
/services/oral-cancer-screening/  (Oral Cancer Screening)
/blog/dental-cleanings-guide/  (Dental Cleanings: Complete Guide)
/blog/periodontal-therapy-guide/  (Periodontal Therapy: Complete Guide)
/blog/dental-cleaning-vs-deep-cleaning/  (Dental Cleaning vs Deep Cleaning)
/blog/oral-cancer-screening-guide/  (Oral Cancer Screening: Complete Guide)</t>
  </si>
  <si>
    <t>Build recurring-patient pipeline and health-authority signals</t>
  </si>
  <si>
    <t>Preventive Dentistry -&gt; each child (service anchors); each child -&gt; parent (hub anchor); child pages cross-link only within the silo; every child -&gt; /contact/ (CTA)</t>
  </si>
  <si>
    <t>/services/emergency-dentistry/
(Emergency Dentistry)</t>
  </si>
  <si>
    <t>/services/emergency-dentistry/toothache/  (Toothache)
/services/emergency-dentistry/broken-tooth/  (Broken Tooth)
/services/emergency-dentistry/cracked-tooth/  (Cracked Tooth)
/services/emergency-dentistry/bleeding-gums/  (Gum Bleeding)
/same-day-dentist-nashville/  (Same-Day &amp; Walk-In Dentist)
/blog/emergency-dentistry-guide/  (Emergency Dentistry: Complete Guide)
/blog/toothache-guide/  (Toothache: Complete Guide)</t>
  </si>
  <si>
    <t>Capture urgent BOFU searches; call-first conversion pages</t>
  </si>
  <si>
    <t>Emergency Dentistry -&gt; each child (service anchors); each child -&gt; parent (hub anchor); child pages cross-link only within the silo; every child -&gt; /contact/ (CTA)</t>
  </si>
  <si>
    <t>/services/orthodontics/
(Orthodontics)</t>
  </si>
  <si>
    <t>/blog/orthodontics-guide/  (Orthodontics: Complete Guide)
/blog/invisalign-vs-braces/  (Invisalign vs Braces)</t>
  </si>
  <si>
    <t>Capture braces/aligner consults (verify services offered)</t>
  </si>
  <si>
    <t>Orthodontics -&gt; each child (service anchors); each child -&gt; parent (hub anchor); child pages cross-link only within the silo; every child -&gt; /contact/ (CTA)</t>
  </si>
  <si>
    <t>/technology/
(Dental Technology Hub)</t>
  </si>
  <si>
    <t>/technology/digital-dental-x-rays/  (Digital Dental X-Rays)
/technology/digital-dental-impressions/  (Digital Dental Impressions)
/technology/intraoral-pictures/  (Intraoral Pictures)</t>
  </si>
  <si>
    <t>Prove modern care; E-E-A-T support for every service silo</t>
  </si>
  <si>
    <t>Dental Technology Hub -&gt; each child (service anchors); each child -&gt; parent (hub anchor); child pages cross-link only within the silo; every child -&gt; /contact/ (CTA)</t>
  </si>
  <si>
    <t>Local Authority (Nashville)</t>
  </si>
  <si>
    <t>/
(Homepage)</t>
  </si>
  <si>
    <t>/locations/south-nashville-dentist/  (South Nashville / 37211 Dentist)
/locations/antioch-dentist/  (Antioch Dentist)
/locations/nolensville-dentist/  (Nolensville Dentist)
/locations/brentwood-dentist/  (Brentwood Dentist)
/reviews/  (Patient Reviews)
/contact/  (Contact / Book Appointment)</t>
  </si>
  <si>
    <t>Local pack + neighborhood relevance; connect GBP to site</t>
  </si>
  <si>
    <t>Homepage -&gt; each child (service anchors); each child -&gt; parent (hub anchor); child pages cross-link only within the silo; every child -&gt; /contact/ (CTA)</t>
  </si>
  <si>
    <t>Family &amp; New Patients</t>
  </si>
  <si>
    <t>/family-dentistry/
(Family Dentistry)</t>
  </si>
  <si>
    <t>/childrens-dentistry/  (Children's Dentistry)
/new-patients/  (New Patients)
/insurance-financing/  (Insurance &amp; Financing)
/dental-anxiety-sedation/  (Dental Anxiety &amp; Sedation)</t>
  </si>
  <si>
    <t>Remove friction and capture family and price-sensitive searches</t>
  </si>
  <si>
    <t>Family Dentistry -&gt; each child (service anchors); each child -&gt; parent (hub anchor); child pages cross-link only within the silo; every child -&gt; /contact/ (CTA)</t>
  </si>
  <si>
    <t>Spanish / Bilingual</t>
  </si>
  <si>
    <t>/es/dentista-en-nashville/
(Dentista en Nashville (Spanish Hub))</t>
  </si>
  <si>
    <t>/es/dentista-de-emergencia/  (Dentista de Emergencia)
/es/implantes-dentales/  (Implantes Dentales)
/es/servicios-dentales/  (Servicios Dentales (Spanish))
/es/dentista-economico/  (Dentista Económico)
/es/blog/dolor-de-muela-que-hacer/  (Dolor de Muela: Qué Hacer)
/es/blog/encias-sangrantes-causas/  (Encías Sangrantes: Causas)</t>
  </si>
  <si>
    <t>Capture underserved Spanish-language local search</t>
  </si>
  <si>
    <t>Dentista en Nashville (Spanish Hub) -&gt; each child (service anchors); each child -&gt; parent (hub anchor); child pages cross-link only within the silo; every child -&gt; /contact/ (CTA)</t>
  </si>
  <si>
    <t>Oral Health Education</t>
  </si>
  <si>
    <t>/blog/
(Blog / Oral Health Education Hub)</t>
  </si>
  <si>
    <t>/blog/sensitive-teeth-causes/  (Sensitive Teeth: Causes)
/blog/persistent-bad-breath/  (Persistent Bad Breath)
/blog/dental-implants-guide/  (Dental Implants: Complete Guide)
/blog/emergency-dentistry-guide/  (Emergency Dentistry: Complete Guide)
/blog/toothache-guide/  (Toothache: Complete Guide)</t>
  </si>
  <si>
    <t>Topical authority and AI-search citations; every article links to a service page</t>
  </si>
  <si>
    <t>Blog / Oral Health Education Hub -&gt; each child (service anchors); each child -&gt; parent (hub anchor); child pages cross-link only within the silo; every child -&gt; /contact/ (CTA)</t>
  </si>
  <si>
    <t>how long does teeth whitening last</t>
  </si>
  <si>
    <t>Source Page</t>
  </si>
  <si>
    <t>Target Page</t>
  </si>
  <si>
    <t>Anchor Concept</t>
  </si>
  <si>
    <t>Distribute hub authority to child page</t>
  </si>
  <si>
    <t>Reinforce hub relevance (upward link)</t>
  </si>
  <si>
    <t>orthodontics nashville tn</t>
  </si>
  <si>
    <t>orthodontics near me</t>
  </si>
  <si>
    <t>orthodontics cost nashville</t>
  </si>
  <si>
    <t>invisalign nashville</t>
  </si>
  <si>
    <t>clear aligners nashville</t>
  </si>
  <si>
    <t>Timeline</t>
  </si>
  <si>
    <t>Priority</t>
  </si>
  <si>
    <t>Content Type</t>
  </si>
  <si>
    <t>Title</t>
  </si>
  <si>
    <t>Target Keyword</t>
  </si>
  <si>
    <t>adult braces nashville</t>
  </si>
  <si>
    <t>Business Goal</t>
  </si>
  <si>
    <t>Month 1 (Weeks 1-4)</t>
  </si>
  <si>
    <t>Page Optimization</t>
  </si>
  <si>
    <t>Homepage rewrite: Aesthetic &amp; Family Dentist in South Nashville</t>
  </si>
  <si>
    <t>Local leads</t>
  </si>
  <si>
    <t>Dental Implants page refresh: pricing guidance, FAQs, schema</t>
  </si>
  <si>
    <t>dental crowns nashville tn</t>
  </si>
  <si>
    <t>Service/transactional rankings</t>
  </si>
  <si>
    <t>Emergency Dentistry hub: same-day care, click-to-call, hours</t>
  </si>
  <si>
    <t>dental crowns near me</t>
  </si>
  <si>
    <t>best dental crowns in nashville</t>
  </si>
  <si>
    <t>Cosmetic Dentistry hub: smile makeover with before/after</t>
  </si>
  <si>
    <t>Dolor de Muela</t>
  </si>
  <si>
    <t>Encías Sangrantes</t>
  </si>
  <si>
    <t>Dental Implants in Nashville</t>
  </si>
  <si>
    <t>Convert informational readers to the service page</t>
  </si>
  <si>
    <t>Education -&gt; Service</t>
  </si>
  <si>
    <t>Dental Veneers in Nashville</t>
  </si>
  <si>
    <t>Teeth Whitening in Nashville</t>
  </si>
  <si>
    <t>Dental Crowns in Nashville</t>
  </si>
  <si>
    <t>Dental Bridges in Nashville</t>
  </si>
  <si>
    <t>Partials &amp; Dentures in Nashville</t>
  </si>
  <si>
    <t>dental crowns cost nashville</t>
  </si>
  <si>
    <t>Root Canals in Nashville</t>
  </si>
  <si>
    <t>Dental Fillings in Nashville</t>
  </si>
  <si>
    <t>Dental Extractions in Nashville</t>
  </si>
  <si>
    <t>Dental Cleanings in Nashville</t>
  </si>
  <si>
    <t>Periodontal Therapy in Nashville</t>
  </si>
  <si>
    <t>Oral Cancer Screening in Nashville</t>
  </si>
  <si>
    <t>Preventive Dentistry in Nashville</t>
  </si>
  <si>
    <t>Root Canals page: pain myths, process, same-day options</t>
  </si>
  <si>
    <t>Restorative Dentistry in Nashville</t>
  </si>
  <si>
    <t>Digital Dental X-Rays in Nashville</t>
  </si>
  <si>
    <t>Digital Dental Impressions in Nashville</t>
  </si>
  <si>
    <t>Intraoral Pictures in Nashville</t>
  </si>
  <si>
    <t>Toothache in Nashville</t>
  </si>
  <si>
    <t>Broken Tooth in Nashville</t>
  </si>
  <si>
    <t>Cracked Tooth in Nashville</t>
  </si>
  <si>
    <t>Gum Bleeding in Nashville</t>
  </si>
  <si>
    <t>Technology Hub in Nashville</t>
  </si>
  <si>
    <t>Book an appointment / call now</t>
  </si>
  <si>
    <t>Conversion CTA from money pages</t>
  </si>
  <si>
    <t>Conversion</t>
  </si>
  <si>
    <t>Dental Veneers page: process, cost range, gallery</t>
  </si>
  <si>
    <t>same day crowns nashville</t>
  </si>
  <si>
    <t>Implant-supported or removable options</t>
  </si>
  <si>
    <t>Cross-sell tooth replacement</t>
  </si>
  <si>
    <t>Cross-link / Conversion</t>
  </si>
  <si>
    <t>Bridge alternative</t>
  </si>
  <si>
    <t>Upgrade to implants</t>
  </si>
  <si>
    <t>Implant alternative</t>
  </si>
  <si>
    <t>Crown after root canal</t>
  </si>
  <si>
    <t>Complete the treatment path</t>
  </si>
  <si>
    <t>Digital impressions for crowns</t>
  </si>
  <si>
    <t>Tie service to technology proof</t>
  </si>
  <si>
    <t>how long do dental crowns last</t>
  </si>
  <si>
    <t>Whiten before veneers</t>
  </si>
  <si>
    <t>Cosmetic cross-link</t>
  </si>
  <si>
    <t>Longer-lasting smile upgrades</t>
  </si>
  <si>
    <t>Root canal to save the tooth</t>
  </si>
  <si>
    <t>Emergency to treatment path</t>
  </si>
  <si>
    <t>Crown to restore a broken tooth</t>
  </si>
  <si>
    <t>New Page</t>
  </si>
  <si>
    <t>Crown protection for cracked teeth</t>
  </si>
  <si>
    <t>Family Dentistry in Nashville</t>
  </si>
  <si>
    <t>When a root canal is needed</t>
  </si>
  <si>
    <t>Gum disease treatment</t>
  </si>
  <si>
    <t>Extraction when a tooth cannot be saved</t>
  </si>
  <si>
    <t>Deep cleaning for gum disease</t>
  </si>
  <si>
    <t>Preventive to periodontal</t>
  </si>
  <si>
    <t>Digital x-rays for early detection</t>
  </si>
  <si>
    <t>dental crown procedure</t>
  </si>
  <si>
    <t>Pair screening with your cleaning</t>
  </si>
  <si>
    <t>Bundle recurring visits</t>
  </si>
  <si>
    <t>Preventive dental care</t>
  </si>
  <si>
    <t>Technology supports services</t>
  </si>
  <si>
    <t>Digital scans for aligners</t>
  </si>
  <si>
    <t>Emergency dentist in Nashville</t>
  </si>
  <si>
    <t>Homepage to money pages</t>
  </si>
  <si>
    <t>Dental implants</t>
  </si>
  <si>
    <t>Cosmetic dentistry</t>
  </si>
  <si>
    <t>Family dentist</t>
  </si>
  <si>
    <t>Se habla espanol / Dentista en Nashville</t>
  </si>
  <si>
    <t>Surface Spanish hub</t>
  </si>
  <si>
    <t>Insurance &amp; financing</t>
  </si>
  <si>
    <t>Reduce booking friction</t>
  </si>
  <si>
    <t>New patients welcome</t>
  </si>
  <si>
    <t>Family cleanings &amp; checkups</t>
  </si>
  <si>
    <t>Family to preventive</t>
  </si>
  <si>
    <t>Implant financing</t>
  </si>
  <si>
    <t>Financing to high-ticket service</t>
  </si>
  <si>
    <t>GBP Optimization</t>
  </si>
  <si>
    <t>Google Business Profile: services, Q&amp;A, posts aligned to money keywords</t>
  </si>
  <si>
    <t>Emergency dentist near you</t>
  </si>
  <si>
    <t>dentist near me</t>
  </si>
  <si>
    <t>Local to money pages</t>
  </si>
  <si>
    <t>Family dentist near you</t>
  </si>
  <si>
    <t>Emergency dentist for Antioch residents</t>
  </si>
  <si>
    <t>English version / implants</t>
  </si>
  <si>
    <t>Bridge to English money page</t>
  </si>
  <si>
    <t>Emergency dentistry (English)</t>
  </si>
  <si>
    <t>Language switcher link</t>
  </si>
  <si>
    <t>Month 2 (Weeks 5-8)</t>
  </si>
  <si>
    <t>Dental implants (English)</t>
  </si>
  <si>
    <t>Dental implants in Nashville</t>
  </si>
  <si>
    <t>Comparison to money page</t>
  </si>
  <si>
    <t>Partials &amp; dentures</t>
  </si>
  <si>
    <t>Dental veneers</t>
  </si>
  <si>
    <t>Dental Insurance &amp; Financing Options</t>
  </si>
  <si>
    <t>dental bridges nashville tn</t>
  </si>
  <si>
    <t>Dental crowns</t>
  </si>
  <si>
    <t>Root canal treatment</t>
  </si>
  <si>
    <t>Tooth extraction</t>
  </si>
  <si>
    <t>Same-day dentist appointments</t>
  </si>
  <si>
    <t>Education to conversion</t>
  </si>
  <si>
    <t>Professional cleanings</t>
  </si>
  <si>
    <t>Education to service</t>
  </si>
  <si>
    <t>Book your visit</t>
  </si>
  <si>
    <t>Social proof to conversion</t>
  </si>
  <si>
    <t>/services/</t>
  </si>
  <si>
    <t>Our services</t>
  </si>
  <si>
    <t>Social proof to service</t>
  </si>
  <si>
    <t>dental bridges cost nashville</t>
  </si>
  <si>
    <t>New Patients: what to expect and how to book</t>
  </si>
  <si>
    <t>how long does a dental bridge last</t>
  </si>
  <si>
    <t>Same-Day &amp; Walk-In Dentist in Nashville</t>
  </si>
  <si>
    <t>dental bridge procedure</t>
  </si>
  <si>
    <t>Teeth Whitening page</t>
  </si>
  <si>
    <t>Dental Crowns page</t>
  </si>
  <si>
    <t>dentures nashville tn</t>
  </si>
  <si>
    <t>Partials &amp; Dentures page</t>
  </si>
  <si>
    <t>dentures near me</t>
  </si>
  <si>
    <t>best dentures in nashville</t>
  </si>
  <si>
    <t>Reason</t>
  </si>
  <si>
    <t>Dental Cleanings page</t>
  </si>
  <si>
    <t>dentures cost nashville</t>
  </si>
  <si>
    <t>partial dentures nashville</t>
  </si>
  <si>
    <t>Orthodontics page</t>
  </si>
  <si>
    <t>Low-difficulty Spanish-language local term; Spanish SERPs are typically thinly optimized and the competitor set is Spanish-language.</t>
  </si>
  <si>
    <t>Create/optimize /es/dentista-en-nashville/: Spanish title, H1, FAQ, GBP service link, native-speaker review.</t>
  </si>
  <si>
    <t>dentista que habla español nashville</t>
  </si>
  <si>
    <t>Spanish hub: Dentista en Nashville</t>
  </si>
  <si>
    <t>how much do partial dentures cost</t>
  </si>
  <si>
    <t>Month 3 (Weeks 9-12)</t>
  </si>
  <si>
    <t>Dentista de Emergencia en Nashville</t>
  </si>
  <si>
    <t>Implantes Dentales en Nashville</t>
  </si>
  <si>
    <t>root canal nashville tn</t>
  </si>
  <si>
    <t>Toothache dentist page</t>
  </si>
  <si>
    <t>best root canal in nashville</t>
  </si>
  <si>
    <t>Create/optimize /es/dentista-de-emergencia/: Spanish title, H1, FAQ, GBP service link, native-speaker review.</t>
  </si>
  <si>
    <t>Broken tooth repair page</t>
  </si>
  <si>
    <t>root canal cost nashville</t>
  </si>
  <si>
    <t>SCORING MODEL &amp; METHODOLOGY</t>
  </si>
  <si>
    <t>Score Component</t>
  </si>
  <si>
    <t>Master Column</t>
  </si>
  <si>
    <t>Cracked tooth treatment page</t>
  </si>
  <si>
    <t>Weight (input)</t>
  </si>
  <si>
    <t>How it is scored</t>
  </si>
  <si>
    <t>P</t>
  </si>
  <si>
    <t>root canal treatment nashville</t>
  </si>
  <si>
    <t>Revenue/lead value of the service behind the keyword (implants &amp; emergency = 5)</t>
  </si>
  <si>
    <t>Analyst judgment from service margin and lead value</t>
  </si>
  <si>
    <t>Q</t>
  </si>
  <si>
    <t>Formula from Estimated Search Volume: 1,000+=5 | 400+=4 | 150+=3 | 50+=2 | below 50=1</t>
  </si>
  <si>
    <t>Auto-calculated</t>
  </si>
  <si>
    <t>R</t>
  </si>
  <si>
    <t>Formula from Estimated KD: 0-25=5 | 26-40=4 | 41-55=3 | 56-70=2 | 71+=1</t>
  </si>
  <si>
    <t>S</t>
  </si>
  <si>
    <t>Closeness to action: Transactional 5, Navigational 4, Commercial 3-4, Informational 1-2</t>
  </si>
  <si>
    <t>Analyst judgment</t>
  </si>
  <si>
    <t>Create/optimize /es/implantes-dentales/: Spanish title, H1, FAQ, GBP service link, native-speaker review.</t>
  </si>
  <si>
    <t>T</t>
  </si>
  <si>
    <t>Likelihood of producing a call/booking: Transactional 4-5, Commercial 3, Informational 1-2</t>
  </si>
  <si>
    <t>U</t>
  </si>
  <si>
    <t>Importance to building topical authority around the service silo</t>
  </si>
  <si>
    <t>Total weight</t>
  </si>
  <si>
    <t>does a root canal hurt</t>
  </si>
  <si>
    <t>Bleeding gums dentist page</t>
  </si>
  <si>
    <t>SEO Priority Score = ROUND(weighted average of the six scores / 5 x 100, 0)</t>
  </si>
  <si>
    <t>Score Range</t>
  </si>
  <si>
    <t>Recommended handling</t>
  </si>
  <si>
    <t>90-100</t>
  </si>
  <si>
    <t>Build/optimize first; money pages and quick wins</t>
  </si>
  <si>
    <t>75-89</t>
  </si>
  <si>
    <t>Core roadmap items in months 1-3</t>
  </si>
  <si>
    <t>60-74</t>
  </si>
  <si>
    <t>Supporting pages and local expansion</t>
  </si>
  <si>
    <t>40-59</t>
  </si>
  <si>
    <t>Education / topical authority content, publish when capacity allows</t>
  </si>
  <si>
    <t>Optional</t>
  </si>
  <si>
    <t>Below 40</t>
  </si>
  <si>
    <t>Monitor; include only as supporting terms</t>
  </si>
  <si>
    <t>tooth abscess symptoms</t>
  </si>
  <si>
    <t>Low KD with strong transactional intent; realistic first-page target within 60-90 days.</t>
  </si>
  <si>
    <t>Optimize /services/emergency-dentistry/: title/H1, service FAQs, LocalBusiness + Dentist schema, click-to-call CTA.</t>
  </si>
  <si>
    <t>dentist for the whole family near me</t>
  </si>
  <si>
    <t>Periodontal Therapy page</t>
  </si>
  <si>
    <t>dental fillings nashville tn</t>
  </si>
  <si>
    <t>Tooth Extractions page</t>
  </si>
  <si>
    <t>Create /family-dentistry/ with unique copy, FAQ schema, internal links and a booking CTA.</t>
  </si>
  <si>
    <t>dentista abierto hoy nashville</t>
  </si>
  <si>
    <t>Dental Fillings page</t>
  </si>
  <si>
    <t>Month 4 (Weeks 13-16)</t>
  </si>
  <si>
    <t>dental fillings cost nashville</t>
  </si>
  <si>
    <t>Blog Guide</t>
  </si>
  <si>
    <t>How long do dental implants last? Costs, care and candidacy</t>
  </si>
  <si>
    <t>Topical authority</t>
  </si>
  <si>
    <t>tooth colored fillings nashville</t>
  </si>
  <si>
    <t>Comparison Article</t>
  </si>
  <si>
    <t>Dental Implants vs Dentures vs Bridges</t>
  </si>
  <si>
    <t>Optimize /services/restorative-dentistry/: title/H1, service FAQs, LocalBusiness + Dentist schema, click-to-call CTA.</t>
  </si>
  <si>
    <t>new patient dentist nashville</t>
  </si>
  <si>
    <t>Organic traffic</t>
  </si>
  <si>
    <t>What counts as a dental emergency?</t>
  </si>
  <si>
    <t>Create /new-patients/ with unique copy, FAQ schema, internal links and a booking CTA.</t>
  </si>
  <si>
    <t>dentist open sunday nashville</t>
  </si>
  <si>
    <t>tooth extraction nashville tn</t>
  </si>
  <si>
    <t>Create /same-day-dentist-nashville/ with unique copy, FAQ schema, internal links and a booking CTA.</t>
  </si>
  <si>
    <t>new patient dental exam and x-rays nashville</t>
  </si>
  <si>
    <t>tooth extraction near me</t>
  </si>
  <si>
    <t>Servicios Dentales (limpieza, blanqueamiento, coronas, ortodoncia)</t>
  </si>
  <si>
    <t>tooth extraction cost nashville</t>
  </si>
  <si>
    <t>Dentista Económico en Nashville</t>
  </si>
  <si>
    <t>how much does a tooth extraction cost</t>
  </si>
  <si>
    <t>Children's Dentistry in Nashville</t>
  </si>
  <si>
    <t>Month 5 (Weeks 17-20)</t>
  </si>
  <si>
    <t>Hyper-local modifier near the practice with low KD; supports map-pack relevance.</t>
  </si>
  <si>
    <t>Create /locations/south-nashville-dentist/ with unique copy, FAQ schema, internal links and a booking CTA.</t>
  </si>
  <si>
    <t>Tooth abscess symptoms and when to get emergency care</t>
  </si>
  <si>
    <t>Stages of gum disease and treatment options</t>
  </si>
  <si>
    <t>dental cleaning nashville tn</t>
  </si>
  <si>
    <t>Create/optimize /es/servicios-dentales/: Spanish title, H1, FAQ, GBP service link, native-speaker review.</t>
  </si>
  <si>
    <t>dental cleaning cost nashville</t>
  </si>
  <si>
    <t>Technology Page</t>
  </si>
  <si>
    <t>Create/optimize /es/dentista-economico/: Spanish title, H1, FAQ, GBP service link, native-speaker review.</t>
  </si>
  <si>
    <t>teeth cleaning nashville</t>
  </si>
  <si>
    <t>deep teeth cleaning nashville</t>
  </si>
  <si>
    <t>dental cleaning without insurance</t>
  </si>
  <si>
    <t>How often should you get a dental cleaning?</t>
  </si>
  <si>
    <t>Month 6 (Weeks 21-26)</t>
  </si>
  <si>
    <t>How long does teeth whitening last?</t>
  </si>
  <si>
    <t>Oral cancer signs and why screening matters</t>
  </si>
  <si>
    <t>gum disease treatment nashville tn</t>
  </si>
  <si>
    <t>gum disease treatment cost nashville</t>
  </si>
  <si>
    <t>Spanish Blog</t>
  </si>
  <si>
    <t>Dolor de muela: qué hacer</t>
  </si>
  <si>
    <t>periodontal therapy nashville</t>
  </si>
  <si>
    <t>scaling and root planing nashville</t>
  </si>
  <si>
    <t>Cracked tooth symptoms and treatment</t>
  </si>
  <si>
    <t>Dental Anxiety &amp; Sedation (if offered)</t>
  </si>
  <si>
    <t>Patient Reviews page with review schema</t>
  </si>
  <si>
    <t>oral cancer screening nashville tn</t>
  </si>
  <si>
    <t>what to expect at an oral cancer screening</t>
  </si>
  <si>
    <t>preventive dentistry nashville tn</t>
  </si>
  <si>
    <t>preventive dentistry near me</t>
  </si>
  <si>
    <t>dental checkup nashville</t>
  </si>
  <si>
    <t>preventive dental care nashville</t>
  </si>
  <si>
    <t>how to prevent cavities</t>
  </si>
  <si>
    <t>restorative dentistry nashville tn</t>
  </si>
  <si>
    <t>restorative dentistry near me</t>
  </si>
  <si>
    <t>full mouth restoration nashville</t>
  </si>
  <si>
    <t>restorative vs cosmetic dentistry</t>
  </si>
  <si>
    <t>how often should you get dental x-rays</t>
  </si>
  <si>
    <t>Thin/low-volume topic: consolidate into the Technology hub section; 301 any standalone page if content is thin.</t>
  </si>
  <si>
    <t>tooth pain when chewing</t>
  </si>
  <si>
    <t>toothache that won't go away</t>
  </si>
  <si>
    <t>broken tooth repair cost nashville</t>
  </si>
  <si>
    <t>chipped tooth repair nashville</t>
  </si>
  <si>
    <t>chipped tooth repair cost</t>
  </si>
  <si>
    <t>why do my gums bleed</t>
  </si>
  <si>
    <t>swollen gums treatment</t>
  </si>
  <si>
    <t>Local Dentist</t>
  </si>
  <si>
    <t>dentist nashville tn</t>
  </si>
  <si>
    <t>general dentist nashville</t>
  </si>
  <si>
    <t>dentist office nashville tn</t>
  </si>
  <si>
    <t>dentist near me open now</t>
  </si>
  <si>
    <t>best dentist in nashville</t>
  </si>
  <si>
    <t>same day dentist appointment nashville</t>
  </si>
  <si>
    <t>dentist open saturday nashville</t>
  </si>
  <si>
    <t>dentist open late nashville</t>
  </si>
  <si>
    <t>Local - Family</t>
  </si>
  <si>
    <t>family dentist near me</t>
  </si>
  <si>
    <t>family dentistry nashville tn</t>
  </si>
  <si>
    <t>best family dentist in nashville</t>
  </si>
  <si>
    <t>kid friendly dentist nashville</t>
  </si>
  <si>
    <t>pediatric dentist nashville</t>
  </si>
  <si>
    <t>Verify service/insurance/hours before publishing. Consideration stage: add proof (reviews, before/after, FAQs, pricing guidance).</t>
  </si>
  <si>
    <t>Local - Neighborhood</t>
  </si>
  <si>
    <t>Local Landing Pages</t>
  </si>
  <si>
    <t>dentist near 37211</t>
  </si>
  <si>
    <t>dentist nolensville pike</t>
  </si>
  <si>
    <t>dentist harding place nashville</t>
  </si>
  <si>
    <t>dentist woodbine nashville</t>
  </si>
  <si>
    <t>dentist oak hill nashville</t>
  </si>
  <si>
    <t>dentist berry hill tn</t>
  </si>
  <si>
    <t>dentist glencliff nashville</t>
  </si>
  <si>
    <t>dentist near antioch tn</t>
  </si>
  <si>
    <t>family dentist antioch tn</t>
  </si>
  <si>
    <t>emergency dentist antioch tn</t>
  </si>
  <si>
    <t>cosmetic dentist brentwood tn</t>
  </si>
  <si>
    <t>family dentist brentwood tn</t>
  </si>
  <si>
    <t>Local - Insurance/Financing</t>
  </si>
  <si>
    <t>dentist no insurance nashville</t>
  </si>
  <si>
    <t>affordable dentist nashville</t>
  </si>
  <si>
    <t>low cost dentist nashville</t>
  </si>
  <si>
    <t>dental payment plans nashville</t>
  </si>
  <si>
    <t>dental financing nashville</t>
  </si>
  <si>
    <t>in house dental membership plan nashville</t>
  </si>
  <si>
    <t>dentist that takes cigna nashville</t>
  </si>
  <si>
    <t>dentist accepts tenncare nashville</t>
  </si>
  <si>
    <t>how much does a dentist visit cost without insurance</t>
  </si>
  <si>
    <t>Local - Brand</t>
  </si>
  <si>
    <t>Brand</t>
  </si>
  <si>
    <t>Own brand; Google Business Profile; directories</t>
  </si>
  <si>
    <t>Brand protection: ensure GBP, title tags and site links dominate the branded SERP.</t>
  </si>
  <si>
    <t>dental faith nashville</t>
  </si>
  <si>
    <t>dental faith dentist nashville tn</t>
  </si>
  <si>
    <t>dentalfaith.com</t>
  </si>
  <si>
    <t>dental faith aesthetic and family dentistry</t>
  </si>
  <si>
    <t>Local - Spanish</t>
  </si>
  <si>
    <t>Spanish-language practices (Comp 1-4); local directories</t>
  </si>
  <si>
    <t>dentista en nashville tn</t>
  </si>
  <si>
    <t>dentista cerca de mi</t>
  </si>
  <si>
    <t>dentista para niños nashville</t>
  </si>
  <si>
    <t>dentista antioch tn</t>
  </si>
  <si>
    <t>dentista de emergencia cerca de mi</t>
  </si>
  <si>
    <t>cuánto cuesta un implante dental</t>
  </si>
  <si>
    <t>blanqueamiento dental nashville</t>
  </si>
  <si>
    <t>coronas dentales nashville</t>
  </si>
  <si>
    <t>dentaduras nashville</t>
  </si>
  <si>
    <t>extracción de muelas nashville</t>
  </si>
  <si>
    <t>tratamiento de conducto nashville</t>
  </si>
  <si>
    <t>dentista sin seguro nashville</t>
  </si>
  <si>
    <t>planes de pago dentista nashville</t>
  </si>
  <si>
    <t>National - Comparison</t>
  </si>
  <si>
    <t>Healthline; WebMD; Colgate; dental brand blogs</t>
  </si>
  <si>
    <t>dental implants vs bridge</t>
  </si>
  <si>
    <t>partial dentures vs bridge</t>
  </si>
  <si>
    <t>veneers vs bonding</t>
  </si>
  <si>
    <t>porcelain vs composite veneers</t>
  </si>
  <si>
    <t>Blue scores = analyst inputs; Demand, Opportunity, SERP Competition, Priority Score and Level are formulas. All volume/KD/CPC values are estimates (see Scoring Model).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</si>
</sst>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0.0"/>
    <numFmt numFmtId="166" formatCode="0.0%"/>
  </numFmts>
  <fonts count="2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5.0"/>
      <color rgb="FFFFFFFF"/>
      <name val="Arial"/>
    </font>
    <font/>
    <font>
      <b/>
      <sz val="9.0"/>
      <color rgb="FF0B1F3A"/>
      <name val="Arial"/>
    </font>
    <font>
      <sz val="9.0"/>
      <color rgb="FF000000"/>
      <name val="Arial"/>
    </font>
    <font>
      <sz val="9.0"/>
      <color rgb="FF0B1F3A"/>
      <name val="Arial"/>
    </font>
    <font>
      <b/>
      <sz val="9.0"/>
      <color rgb="FFFFFFFF"/>
      <name val="Arial"/>
    </font>
    <font>
      <sz val="9.0"/>
      <color rgb="FF0000FF"/>
      <name val="Arial"/>
    </font>
    <font>
      <sz val="11.0"/>
      <color theme="1"/>
      <name val="Calibri"/>
    </font>
    <font>
      <b/>
      <sz val="22.0"/>
      <color theme="0"/>
      <name val="Arial"/>
    </font>
    <font>
      <b/>
      <sz val="12.0"/>
      <color rgb="FFEEECE1"/>
      <name val="Arial"/>
    </font>
    <font>
      <b/>
      <sz val="10.0"/>
      <color rgb="FFEEECE1"/>
      <name val="Arial"/>
    </font>
    <font>
      <b/>
      <sz val="11.0"/>
      <color rgb="FF0F243E"/>
      <name val="Arial"/>
    </font>
    <font>
      <b/>
      <sz val="8.0"/>
      <color rgb="FFC9A227"/>
      <name val="Arial"/>
    </font>
    <font>
      <b/>
      <sz val="20.0"/>
      <color rgb="FFFFFFFF"/>
      <name val="Arial"/>
    </font>
    <font>
      <sz val="11.0"/>
      <color theme="0"/>
      <name val="Calibri"/>
    </font>
    <font>
      <b/>
      <sz val="20.0"/>
      <color theme="0"/>
      <name val="Arial"/>
    </font>
    <font>
      <b/>
      <sz val="11.0"/>
      <color rgb="FF0B1F3A"/>
      <name val="Arial"/>
    </font>
    <font>
      <b/>
      <u/>
      <sz val="9.0"/>
      <color rgb="FF0B1F3A"/>
      <name val="Arial"/>
    </font>
    <font>
      <b/>
      <u/>
      <sz val="9.0"/>
      <color rgb="FF0B1F3A"/>
      <name val="Arial"/>
    </font>
    <font>
      <i/>
      <sz val="8.0"/>
      <color rgb="FF666666"/>
      <name val="Arial"/>
    </font>
    <font>
      <sz val="10.0"/>
      <color rgb="FF0B1F3A"/>
      <name val="Arial"/>
    </font>
    <font>
      <b/>
      <sz val="10.0"/>
      <color rgb="FF0000FF"/>
      <name val="Arial"/>
    </font>
    <font>
      <b/>
      <sz val="9.0"/>
      <color rgb="FF000000"/>
      <name val="Arial"/>
    </font>
    <font>
      <b/>
      <sz val="10.0"/>
      <color rgb="FF0B1F3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1B3358"/>
        <bgColor rgb="FF1B3358"/>
      </patternFill>
    </fill>
    <fill>
      <patternFill patternType="solid">
        <fgColor rgb="FFF4F6FA"/>
        <bgColor rgb="FFF4F6FA"/>
      </patternFill>
    </fill>
    <fill>
      <patternFill patternType="solid">
        <fgColor theme="0"/>
        <bgColor theme="0"/>
      </patternFill>
    </fill>
    <fill>
      <patternFill patternType="solid">
        <fgColor rgb="FF0F243E"/>
        <bgColor rgb="FF0F243E"/>
      </patternFill>
    </fill>
    <fill>
      <patternFill patternType="solid">
        <fgColor rgb="FFFFF9DB"/>
        <bgColor rgb="FFFFF9DB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bottom style="medium">
        <color rgb="FFC9A227"/>
      </bottom>
    </border>
    <border>
      <left style="medium">
        <color rgb="FFFFFFFF"/>
      </left>
      <top/>
      <bottom/>
    </border>
    <border>
      <right style="medium">
        <color rgb="FFFFFFFF"/>
      </right>
      <top/>
      <bottom/>
    </border>
    <border>
      <left style="medium">
        <color rgb="FFFFFFFF"/>
      </left>
      <top/>
      <bottom style="medium">
        <color rgb="FFC9A227"/>
      </bottom>
    </border>
    <border>
      <right style="medium">
        <color rgb="FFFFFFFF"/>
      </right>
      <top/>
      <bottom style="medium">
        <color rgb="FFC9A22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EE8"/>
      </left>
      <right style="thin">
        <color rgb="FFD9DEE8"/>
      </right>
      <top style="thin">
        <color rgb="FFD9DEE8"/>
      </top>
      <bottom style="medium">
        <color rgb="FFC9A227"/>
      </bottom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2" fillId="3" fontId="1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horizontal="left" vertical="center"/>
    </xf>
    <xf borderId="2" fillId="3" fontId="1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3" xfId="0" applyAlignment="1" applyBorder="1" applyFill="1" applyFont="1" applyNumberFormat="1">
      <alignment horizontal="left" vertical="center"/>
    </xf>
    <xf borderId="1" fillId="4" fontId="5" numFmtId="164" xfId="0" applyAlignment="1" applyBorder="1" applyFill="1" applyFont="1" applyNumberFormat="1">
      <alignment horizontal="left" vertical="center"/>
    </xf>
    <xf borderId="1" fillId="2" fontId="7" numFmtId="0" xfId="0" applyBorder="1" applyFill="1" applyFont="1"/>
    <xf borderId="1" fillId="0" fontId="4" numFmtId="0" xfId="0" applyBorder="1" applyFont="1"/>
    <xf borderId="1" fillId="0" fontId="6" numFmtId="0" xfId="0" applyAlignment="1" applyBorder="1" applyFont="1">
      <alignment vertical="center"/>
    </xf>
    <xf borderId="1" fillId="4" fontId="5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Border="1" applyFont="1"/>
    <xf borderId="1" fillId="4" fontId="4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5" numFmtId="3" xfId="0" applyAlignment="1" applyBorder="1" applyFont="1" applyNumberFormat="1">
      <alignment horizontal="left" vertical="center"/>
    </xf>
    <xf borderId="1" fillId="0" fontId="5" numFmtId="164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4" fontId="5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4" fillId="5" fontId="9" numFmtId="0" xfId="0" applyBorder="1" applyFill="1" applyFont="1"/>
    <xf borderId="4" fillId="2" fontId="9" numFmtId="0" xfId="0" applyBorder="1" applyFill="1" applyFont="1"/>
    <xf borderId="2" fillId="2" fontId="10" numFmtId="0" xfId="0" applyAlignment="1" applyBorder="1" applyFill="1" applyFont="1">
      <alignment horizontal="center" vertical="center"/>
    </xf>
    <xf borderId="5" fillId="0" fontId="3" numFmtId="0" xfId="0" applyBorder="1" applyFont="1"/>
    <xf borderId="2" fillId="2" fontId="11" numFmtId="0" xfId="0" applyAlignment="1" applyBorder="1" applyFill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2" fillId="6" fontId="9" numFmtId="0" xfId="0" applyAlignment="1" applyBorder="1" applyFill="1" applyFont="1">
      <alignment horizontal="center"/>
    </xf>
    <xf borderId="4" fillId="5" fontId="9" numFmtId="0" xfId="0" applyAlignment="1" applyBorder="1" applyFill="1" applyFont="1">
      <alignment horizontal="center"/>
    </xf>
    <xf borderId="6" fillId="0" fontId="13" numFmtId="0" xfId="0" applyAlignment="1" applyBorder="1" applyFont="1">
      <alignment horizontal="center" vertical="center"/>
    </xf>
    <xf borderId="6" fillId="0" fontId="3" numFmtId="0" xfId="0" applyBorder="1" applyFont="1"/>
    <xf borderId="7" fillId="3" fontId="14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3" fontId="15" numFmtId="3" xfId="0" applyAlignment="1" applyBorder="1" applyFill="1" applyFont="1" applyNumberFormat="1">
      <alignment horizontal="center" vertical="center"/>
    </xf>
    <xf borderId="10" fillId="0" fontId="3" numFmtId="0" xfId="0" applyBorder="1" applyFont="1"/>
    <xf borderId="9" fillId="3" fontId="15" numFmtId="49" xfId="0" applyAlignment="1" applyBorder="1" applyFill="1" applyFont="1" applyNumberFormat="1">
      <alignment horizontal="center" vertical="center"/>
    </xf>
    <xf borderId="9" fillId="3" fontId="15" numFmtId="165" xfId="0" applyAlignment="1" applyBorder="1" applyFill="1" applyFont="1" applyNumberFormat="1">
      <alignment horizontal="center" vertical="center"/>
    </xf>
    <xf borderId="4" fillId="5" fontId="16" numFmtId="0" xfId="0" applyBorder="1" applyFill="1" applyFont="1"/>
    <xf borderId="4" fillId="5" fontId="17" numFmtId="3" xfId="0" applyAlignment="1" applyBorder="1" applyFill="1" applyFont="1" applyNumberFormat="1">
      <alignment horizontal="center" vertical="center"/>
    </xf>
    <xf borderId="0" fillId="0" fontId="16" numFmtId="0" xfId="0" applyFont="1"/>
    <xf borderId="0" fillId="0" fontId="18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166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vertical="center"/>
    </xf>
    <xf borderId="11" fillId="3" fontId="7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1" fillId="4" fontId="19" numFmtId="0" xfId="0" applyAlignment="1" applyBorder="1" applyFill="1" applyFont="1">
      <alignment vertical="center"/>
    </xf>
    <xf borderId="11" fillId="4" fontId="5" numFmtId="0" xfId="0" applyAlignment="1" applyBorder="1" applyFill="1" applyFont="1">
      <alignment vertical="center"/>
    </xf>
    <xf borderId="11" fillId="0" fontId="20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0" fillId="0" fontId="21" numFmtId="0" xfId="0" applyFont="1"/>
    <xf borderId="1" fillId="4" fontId="22" numFmtId="0" xfId="0" applyAlignment="1" applyBorder="1" applyFill="1" applyFont="1">
      <alignment shrinkToFit="0" vertical="center" wrapText="1"/>
    </xf>
    <xf borderId="1" fillId="0" fontId="22" numFmtId="0" xfId="0" applyAlignment="1" applyBorder="1" applyFont="1">
      <alignment shrinkToFit="0" vertical="center" wrapText="1"/>
    </xf>
    <xf borderId="14" fillId="3" fontId="1" numFmtId="0" xfId="0" applyAlignment="1" applyBorder="1" applyFill="1" applyFont="1">
      <alignment horizontal="center" shrinkToFit="0" vertical="center" wrapText="1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horizontal="center" vertical="center"/>
    </xf>
    <xf borderId="15" fillId="7" fontId="23" numFmtId="9" xfId="0" applyAlignment="1" applyBorder="1" applyFill="1" applyFont="1" applyNumberFormat="1">
      <alignment horizontal="center" vertical="center"/>
    </xf>
    <xf borderId="15" fillId="0" fontId="5" numFmtId="0" xfId="0" applyAlignment="1" applyBorder="1" applyFont="1">
      <alignment shrinkToFit="0" vertical="top" wrapText="1"/>
    </xf>
    <xf borderId="0" fillId="0" fontId="24" numFmtId="0" xfId="0" applyFont="1"/>
    <xf borderId="0" fillId="0" fontId="24" numFmtId="9" xfId="0" applyAlignment="1" applyFont="1" applyNumberFormat="1">
      <alignment horizontal="center"/>
    </xf>
    <xf borderId="0" fillId="0" fontId="25" numFmtId="0" xfId="0" applyFont="1"/>
  </cellXfs>
  <cellStyles count="1">
    <cellStyle xfId="0" name="Normal" builtinId="0"/>
  </cellStyles>
  <dxfs count="9">
    <dxf>
      <font>
        <b/>
        <sz val="9.0"/>
        <color rgb="FF0B1F3A"/>
        <name val="Arial"/>
      </font>
      <fill>
        <patternFill patternType="solid">
          <fgColor rgb="FFC9A227"/>
          <bgColor rgb="FFC9A227"/>
        </patternFill>
      </fill>
      <border/>
    </dxf>
    <dxf>
      <font>
        <b/>
        <sz val="9.0"/>
        <color rgb="FF0B1F3A"/>
        <name val="Arial"/>
      </font>
      <fill>
        <patternFill patternType="solid">
          <fgColor rgb="FFF3E2A6"/>
          <bgColor rgb="FFF3E2A6"/>
        </patternFill>
      </fill>
      <border/>
    </dxf>
    <dxf>
      <font>
        <sz val="9.0"/>
        <color rgb="FF000000"/>
        <name val="Arial"/>
      </font>
      <fill>
        <patternFill patternType="solid">
          <fgColor rgb="FFDCE4F2"/>
          <bgColor rgb="FFDCE4F2"/>
        </patternFill>
      </fill>
      <border/>
    </dxf>
    <dxf>
      <font>
        <sz val="9.0"/>
        <color rgb="FF444444"/>
        <name val="Arial"/>
      </font>
      <fill>
        <patternFill patternType="solid">
          <fgColor rgb="FFEEEEEE"/>
          <bgColor rgb="FFEEEEEE"/>
        </patternFill>
      </fill>
      <border/>
    </dxf>
    <dxf>
      <font>
        <sz val="9.0"/>
        <color rgb="FF888888"/>
        <name val="Arial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3E7FB"/>
          <bgColor rgb="FFE3E7FB"/>
        </patternFill>
      </fill>
      <border/>
    </dxf>
    <dxf>
      <font/>
      <fill>
        <patternFill patternType="solid">
          <fgColor rgb="FFEEDDFC"/>
          <bgColor rgb="FFEEDDFC"/>
        </patternFill>
      </fill>
      <border/>
    </dxf>
    <dxf>
      <font/>
      <fill>
        <patternFill patternType="solid">
          <fgColor rgb="FFFCE8C8"/>
          <bgColor rgb="FFFCE8C8"/>
        </patternFill>
      </fill>
      <border/>
    </dxf>
    <dxf>
      <font/>
      <fill>
        <patternFill patternType="solid">
          <fgColor rgb="FFD2F3EA"/>
          <bgColor rgb="FFD2F3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 Intent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Cover!$C$37</c:f>
            </c:strRef>
          </c:tx>
          <c:dPt>
            <c:idx val="0"/>
            <c:spPr>
              <a:solidFill>
                <a:srgbClr val="9AA5F5"/>
              </a:solidFill>
            </c:spPr>
          </c:dPt>
          <c:dPt>
            <c:idx val="1"/>
            <c:spPr>
              <a:solidFill>
                <a:srgbClr val="C58AF9"/>
              </a:solidFill>
            </c:spPr>
          </c:dPt>
          <c:dPt>
            <c:idx val="2"/>
            <c:spPr>
              <a:solidFill>
                <a:srgbClr val="E8960C"/>
              </a:solidFill>
            </c:spPr>
          </c:dPt>
          <c:dPt>
            <c:idx val="3"/>
            <c:spPr>
              <a:solidFill>
                <a:srgbClr val="14C79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Cover!$B$38:$B$41</c:f>
            </c:strRef>
          </c:cat>
          <c:val>
            <c:numRef>
              <c:f>Cover!$C$38:$C$41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 Priority Distribution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Keywords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C9A227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3C45A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1B3358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8A97B1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C9CFDB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Cover!$E$38:$E$41</c:f>
            </c:strRef>
          </c:cat>
          <c:val>
            <c:numRef>
              <c:f>Cover!$F$38:$F$41</c:f>
              <c:numCache/>
            </c:numRef>
          </c:val>
        </c:ser>
        <c:axId val="1431709168"/>
        <c:axId val="905109371"/>
      </c:barChart>
      <c:catAx>
        <c:axId val="143170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5109371"/>
      </c:catAx>
      <c:valAx>
        <c:axId val="9051093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1709168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Funnel Stage Distribution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Keywords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9AA5F5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8960C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14C79A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Cover!$H$38:$H$40</c:f>
            </c:strRef>
          </c:cat>
          <c:val>
            <c:numRef>
              <c:f>Cover!$I$38:$I$40</c:f>
              <c:numCache/>
            </c:numRef>
          </c:val>
        </c:ser>
        <c:axId val="927518211"/>
        <c:axId val="2117156689"/>
      </c:barChart>
      <c:catAx>
        <c:axId val="927518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7156689"/>
      </c:catAx>
      <c:valAx>
        <c:axId val="211715668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7518211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18</xdr:row>
      <xdr:rowOff>0</xdr:rowOff>
    </xdr:from>
    <xdr:ext cx="2905125" cy="28670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619125</xdr:colOff>
      <xdr:row>18</xdr:row>
      <xdr:rowOff>9525</xdr:rowOff>
    </xdr:from>
    <xdr:ext cx="2924175" cy="28670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200025</xdr:colOff>
      <xdr:row>18</xdr:row>
      <xdr:rowOff>9525</xdr:rowOff>
    </xdr:from>
    <xdr:ext cx="2924175" cy="28670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ntal_faith_nashville_seo_keyword_research_workbook.xlsx" TargetMode="External"/><Relationship Id="rId2" Type="http://schemas.openxmlformats.org/officeDocument/2006/relationships/hyperlink" Target="http://dental_faith_nashville_seo_keyword_research_workbook.xlsx" TargetMode="External"/><Relationship Id="rId3" Type="http://schemas.openxmlformats.org/officeDocument/2006/relationships/hyperlink" Target="http://dental_faith_nashville_seo_keyword_research_workbook.xlsx" TargetMode="External"/><Relationship Id="rId4" Type="http://schemas.openxmlformats.org/officeDocument/2006/relationships/hyperlink" Target="http://dental_faith_nashville_seo_keyword_research_workbook.xlsx" TargetMode="External"/><Relationship Id="rId11" Type="http://schemas.openxmlformats.org/officeDocument/2006/relationships/hyperlink" Target="http://dental_faith_nashville_seo_keyword_research_workbook.xlsx" TargetMode="External"/><Relationship Id="rId10" Type="http://schemas.openxmlformats.org/officeDocument/2006/relationships/hyperlink" Target="http://dental_faith_nashville_seo_keyword_research_workbook.xlsx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dental_faith_nashville_seo_keyword_research_workbook.xlsx" TargetMode="External"/><Relationship Id="rId5" Type="http://schemas.openxmlformats.org/officeDocument/2006/relationships/hyperlink" Target="http://dental_faith_nashville_seo_keyword_research_workbook.xlsx" TargetMode="External"/><Relationship Id="rId6" Type="http://schemas.openxmlformats.org/officeDocument/2006/relationships/hyperlink" Target="http://dental_faith_nashville_seo_keyword_research_workbook.xlsx" TargetMode="External"/><Relationship Id="rId7" Type="http://schemas.openxmlformats.org/officeDocument/2006/relationships/hyperlink" Target="http://dental_faith_nashville_seo_keyword_research_workbook.xlsx" TargetMode="External"/><Relationship Id="rId8" Type="http://schemas.openxmlformats.org/officeDocument/2006/relationships/hyperlink" Target="http://dental_faith_nashville_seo_keyword_research_workbook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 fitToPage="1"/>
  </sheetPr>
  <sheetViews>
    <sheetView showGridLines="0" workbookViewId="0"/>
  </sheetViews>
  <sheetFormatPr customHeight="1" defaultColWidth="14.43" defaultRowHeight="15.0"/>
  <cols>
    <col customWidth="1" min="1" max="1" width="7.57"/>
    <col customWidth="1" min="2" max="11" width="15.57"/>
    <col customWidth="1" min="12" max="26" width="8.71"/>
  </cols>
  <sheetData>
    <row r="1" ht="7.5" customHeight="1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ht="43.5" customHeight="1">
      <c r="A2" s="34"/>
      <c r="B2" s="36" t="s">
        <v>502</v>
      </c>
      <c r="C2" s="37"/>
      <c r="D2" s="37"/>
      <c r="E2" s="37"/>
      <c r="F2" s="37"/>
      <c r="G2" s="37"/>
      <c r="H2" s="37"/>
      <c r="I2" s="37"/>
      <c r="J2" s="37"/>
      <c r="K2" s="3"/>
    </row>
    <row r="3" ht="24.75" customHeight="1">
      <c r="A3" s="34"/>
      <c r="B3" s="38" t="s">
        <v>512</v>
      </c>
      <c r="C3" s="37"/>
      <c r="D3" s="37"/>
      <c r="E3" s="37"/>
      <c r="F3" s="37"/>
      <c r="G3" s="37"/>
      <c r="H3" s="37"/>
      <c r="I3" s="37"/>
      <c r="J3" s="37"/>
      <c r="K3" s="3"/>
    </row>
    <row r="4" ht="24.0" customHeight="1">
      <c r="A4" s="34"/>
      <c r="B4" s="39" t="s">
        <v>518</v>
      </c>
      <c r="C4" s="37"/>
      <c r="D4" s="37"/>
      <c r="E4" s="37"/>
      <c r="F4" s="37"/>
      <c r="G4" s="37"/>
      <c r="H4" s="37"/>
      <c r="I4" s="37"/>
      <c r="J4" s="37"/>
      <c r="K4" s="3"/>
    </row>
    <row r="5" ht="6.75" customHeight="1">
      <c r="A5" s="34"/>
      <c r="B5" s="40"/>
      <c r="C5" s="37"/>
      <c r="D5" s="37"/>
      <c r="E5" s="37"/>
      <c r="F5" s="37"/>
      <c r="G5" s="37"/>
      <c r="H5" s="37"/>
      <c r="I5" s="37"/>
      <c r="J5" s="37"/>
      <c r="K5" s="3"/>
    </row>
    <row r="6" ht="6.75" customHeight="1">
      <c r="A6" s="34"/>
      <c r="B6" s="41"/>
      <c r="C6" s="41"/>
      <c r="D6" s="41"/>
      <c r="E6" s="41"/>
      <c r="F6" s="41"/>
      <c r="G6" s="41"/>
      <c r="H6" s="41"/>
      <c r="I6" s="41"/>
      <c r="J6" s="41"/>
      <c r="K6" s="41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6.75" customHeight="1">
      <c r="A7" s="34"/>
      <c r="B7" s="41"/>
      <c r="C7" s="41"/>
      <c r="D7" s="41"/>
      <c r="E7" s="41"/>
      <c r="F7" s="41"/>
      <c r="G7" s="41"/>
      <c r="H7" s="41"/>
      <c r="I7" s="41"/>
      <c r="J7" s="41"/>
      <c r="K7" s="41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6.75" customHeight="1">
      <c r="A8" s="34"/>
      <c r="B8" s="41"/>
      <c r="C8" s="41"/>
      <c r="D8" s="41"/>
      <c r="E8" s="41"/>
      <c r="F8" s="41"/>
      <c r="G8" s="41"/>
      <c r="H8" s="41"/>
      <c r="I8" s="41"/>
      <c r="J8" s="41"/>
      <c r="K8" s="41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6.75" customHeight="1">
      <c r="A9" s="34"/>
      <c r="B9" s="41"/>
      <c r="C9" s="41"/>
      <c r="D9" s="41"/>
      <c r="E9" s="41"/>
      <c r="F9" s="41"/>
      <c r="G9" s="41"/>
      <c r="H9" s="41"/>
      <c r="I9" s="41"/>
      <c r="J9" s="41"/>
      <c r="K9" s="41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4.0" customHeight="1">
      <c r="A10" s="34"/>
      <c r="B10" s="42" t="s">
        <v>539</v>
      </c>
      <c r="C10" s="43"/>
      <c r="D10" s="43"/>
      <c r="E10" s="43"/>
      <c r="F10" s="43"/>
      <c r="G10" s="43"/>
      <c r="H10" s="43"/>
      <c r="I10" s="43"/>
      <c r="J10" s="43"/>
      <c r="K10" s="43"/>
    </row>
    <row r="11" ht="24.0" customHeight="1">
      <c r="A11" s="34"/>
      <c r="B11" s="44" t="s">
        <v>546</v>
      </c>
      <c r="C11" s="45"/>
      <c r="D11" s="44" t="s">
        <v>547</v>
      </c>
      <c r="E11" s="45"/>
      <c r="F11" s="44" t="s">
        <v>549</v>
      </c>
      <c r="G11" s="45"/>
      <c r="H11" s="44" t="s">
        <v>555</v>
      </c>
      <c r="I11" s="45"/>
      <c r="J11" s="44" t="s">
        <v>558</v>
      </c>
      <c r="K11" s="45"/>
    </row>
    <row r="12" ht="37.5" customHeight="1">
      <c r="A12" s="34"/>
      <c r="B12" s="46">
        <f>COUNTA('Keyword Master Database'!$A$2:$A$287)</f>
        <v>286</v>
      </c>
      <c r="C12" s="47"/>
      <c r="D12" s="46">
        <f>COUNTA('Keyword Clusters'!$A$2:$A$76)</f>
        <v>75</v>
      </c>
      <c r="E12" s="47"/>
      <c r="F12" s="46">
        <f>SUM('Keyword Master Database'!$H$2:$H$287)</f>
        <v>149200</v>
      </c>
      <c r="G12" s="47"/>
      <c r="H12" s="48" t="str">
        <f>COUNTIF('Keyword Master Database'!$B$2:$B$287,"Local*")&amp;" / "&amp;COUNTIF('Keyword Master Database'!$B$2:$B$287,"National*")</f>
        <v>198 / 88</v>
      </c>
      <c r="I12" s="47"/>
      <c r="J12" s="49">
        <f>ROUND(AVERAGE('Keyword Master Database'!$J$2:$J$287),1)</f>
        <v>31.5</v>
      </c>
      <c r="K12" s="47"/>
    </row>
    <row r="13" ht="7.5" customHeight="1">
      <c r="A13" s="34"/>
    </row>
    <row r="14" ht="24.0" customHeight="1">
      <c r="A14" s="34"/>
      <c r="B14" s="44" t="s">
        <v>606</v>
      </c>
      <c r="C14" s="45"/>
      <c r="D14" s="44" t="s">
        <v>607</v>
      </c>
      <c r="E14" s="45"/>
      <c r="F14" s="44" t="s">
        <v>608</v>
      </c>
      <c r="G14" s="45"/>
      <c r="H14" s="44" t="s">
        <v>611</v>
      </c>
      <c r="I14" s="45"/>
      <c r="J14" s="44" t="s">
        <v>614</v>
      </c>
      <c r="K14" s="45"/>
    </row>
    <row r="15" ht="37.5" customHeight="1">
      <c r="A15" s="34"/>
      <c r="B15" s="46">
        <f>COUNTIF('Keyword Master Database'!$W$2:$W$287,"Critical")+COUNTIF('Keyword Master Database'!$W$2:$W$287,"High")</f>
        <v>166</v>
      </c>
      <c r="C15" s="47"/>
      <c r="D15" s="46">
        <f>COUNTA('Keyword Mapping'!$A$2:$A$79)</f>
        <v>78</v>
      </c>
      <c r="E15" s="47"/>
      <c r="F15" s="46">
        <f>COUNTIF('Keyword Mapping'!$G$2:$G$79,"New")</f>
        <v>51</v>
      </c>
      <c r="G15" s="47"/>
      <c r="H15" s="46">
        <f>COUNTA('Internal Linking Blueprint'!$A$2:$A$190)</f>
        <v>189</v>
      </c>
      <c r="I15" s="47"/>
      <c r="J15" s="46">
        <f>COUNTA('Content Roadmap'!$D$2:$D$51)</f>
        <v>50</v>
      </c>
      <c r="K15" s="47"/>
    </row>
    <row r="16" ht="37.5" customHeight="1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34"/>
    </row>
    <row r="18" ht="24.0" customHeight="1">
      <c r="A18" s="34"/>
      <c r="B18" s="42" t="s">
        <v>638</v>
      </c>
      <c r="C18" s="43"/>
      <c r="D18" s="43"/>
      <c r="E18" s="43"/>
      <c r="F18" s="43"/>
      <c r="G18" s="43"/>
      <c r="H18" s="43"/>
      <c r="I18" s="43"/>
      <c r="J18" s="43"/>
      <c r="K18" s="43"/>
    </row>
    <row r="19">
      <c r="A19" s="34"/>
    </row>
    <row r="20">
      <c r="A20" s="34"/>
    </row>
    <row r="21" ht="15.75" customHeight="1">
      <c r="A21" s="34"/>
    </row>
    <row r="22" ht="15.75" customHeight="1">
      <c r="A22" s="34"/>
    </row>
    <row r="23" ht="15.75" customHeight="1">
      <c r="A23" s="34"/>
    </row>
    <row r="24" ht="15.75" customHeight="1">
      <c r="A24" s="34"/>
    </row>
    <row r="25" ht="15.75" customHeight="1">
      <c r="A25" s="34"/>
    </row>
    <row r="26" ht="15.75" customHeight="1">
      <c r="A26" s="34"/>
    </row>
    <row r="27" ht="15.75" customHeight="1">
      <c r="A27" s="34"/>
    </row>
    <row r="28" ht="15.75" customHeight="1">
      <c r="A28" s="34"/>
    </row>
    <row r="29" ht="15.75" customHeight="1">
      <c r="A29" s="34"/>
    </row>
    <row r="30" ht="15.75" customHeight="1">
      <c r="A30" s="34"/>
    </row>
    <row r="31" ht="15.75" customHeight="1">
      <c r="A31" s="34"/>
    </row>
    <row r="32" ht="15.75" customHeight="1">
      <c r="A32" s="34"/>
    </row>
    <row r="33" ht="15.75" customHeight="1">
      <c r="A33" s="34"/>
    </row>
    <row r="34" ht="15.75" customHeight="1">
      <c r="A34" s="34"/>
    </row>
    <row r="35" ht="15.75" customHeight="1">
      <c r="A35" s="34"/>
    </row>
    <row r="36" ht="24.0" customHeight="1">
      <c r="A36" s="34"/>
      <c r="B36" s="53" t="s">
        <v>646</v>
      </c>
    </row>
    <row r="37" ht="15.75" customHeight="1">
      <c r="A37" s="34"/>
      <c r="B37" s="54" t="s">
        <v>7</v>
      </c>
      <c r="C37" s="54" t="s">
        <v>647</v>
      </c>
      <c r="D37" s="54" t="s">
        <v>648</v>
      </c>
      <c r="E37" s="54" t="s">
        <v>36</v>
      </c>
      <c r="F37" s="54" t="s">
        <v>647</v>
      </c>
      <c r="G37" s="54" t="s">
        <v>648</v>
      </c>
      <c r="H37" s="54" t="s">
        <v>8</v>
      </c>
      <c r="I37" s="54" t="s">
        <v>647</v>
      </c>
      <c r="J37" s="54" t="s">
        <v>648</v>
      </c>
      <c r="K37" s="54" t="s">
        <v>649</v>
      </c>
    </row>
    <row r="38" ht="15.75" customHeight="1">
      <c r="A38" s="34"/>
      <c r="B38" s="31" t="s">
        <v>95</v>
      </c>
      <c r="C38" s="55">
        <f>COUNTIF('Keyword Master Database'!$E$2:$E$287,B38)</f>
        <v>64</v>
      </c>
      <c r="D38" s="56">
        <f t="shared" ref="D38:D41" si="1">C38/SUM(C$38:C$41)</f>
        <v>0.2237762238</v>
      </c>
      <c r="E38" s="31" t="s">
        <v>654</v>
      </c>
      <c r="F38" s="55">
        <f>COUNTIF('Keyword Master Database'!$W$2:$W$287,E38)</f>
        <v>15</v>
      </c>
      <c r="G38" s="56">
        <f t="shared" ref="G38:G41" si="2">F38/SUM(F$38:F$41)</f>
        <v>0.05244755245</v>
      </c>
      <c r="H38" s="31" t="s">
        <v>100</v>
      </c>
      <c r="I38" s="55">
        <f>COUNTIF('Keyword Master Database'!$F$2:$F$287,H38)</f>
        <v>64</v>
      </c>
      <c r="J38" s="56">
        <f t="shared" ref="J38:J40" si="3">I38/SUM(I$38:I$40)</f>
        <v>0.2237762238</v>
      </c>
      <c r="K38" s="57"/>
    </row>
    <row r="39" ht="15.75" customHeight="1">
      <c r="A39" s="34"/>
      <c r="B39" s="31" t="s">
        <v>110</v>
      </c>
      <c r="C39" s="55">
        <f>COUNTIF('Keyword Master Database'!$E$2:$E$287,B39)</f>
        <v>8</v>
      </c>
      <c r="D39" s="56">
        <f t="shared" si="1"/>
        <v>0.02797202797</v>
      </c>
      <c r="E39" s="31" t="s">
        <v>660</v>
      </c>
      <c r="F39" s="55">
        <f>COUNTIF('Keyword Master Database'!$W$2:$W$287,E39)</f>
        <v>151</v>
      </c>
      <c r="G39" s="56">
        <f t="shared" si="2"/>
        <v>0.527972028</v>
      </c>
      <c r="H39" s="31" t="s">
        <v>191</v>
      </c>
      <c r="I39" s="55">
        <f>COUNTIF('Keyword Master Database'!$F$2:$F$287,H39)</f>
        <v>37</v>
      </c>
      <c r="J39" s="56">
        <f t="shared" si="3"/>
        <v>0.1293706294</v>
      </c>
      <c r="K39" s="57"/>
    </row>
    <row r="40" ht="15.75" customHeight="1">
      <c r="A40" s="34"/>
      <c r="B40" s="31" t="s">
        <v>120</v>
      </c>
      <c r="C40" s="55">
        <f>COUNTIF('Keyword Master Database'!$E$2:$E$287,B40)</f>
        <v>37</v>
      </c>
      <c r="D40" s="56">
        <f t="shared" si="1"/>
        <v>0.1293706294</v>
      </c>
      <c r="E40" s="31" t="s">
        <v>403</v>
      </c>
      <c r="F40" s="55">
        <f>COUNTIF('Keyword Master Database'!$W$2:$W$287,E40)</f>
        <v>65</v>
      </c>
      <c r="G40" s="56">
        <f t="shared" si="2"/>
        <v>0.2272727273</v>
      </c>
      <c r="H40" s="31" t="s">
        <v>61</v>
      </c>
      <c r="I40" s="55">
        <f>COUNTIF('Keyword Master Database'!$F$2:$F$287,H40)</f>
        <v>185</v>
      </c>
      <c r="J40" s="56">
        <f t="shared" si="3"/>
        <v>0.6468531469</v>
      </c>
      <c r="K40" s="57"/>
    </row>
    <row r="41" ht="15.75" customHeight="1">
      <c r="A41" s="34"/>
      <c r="B41" s="31" t="s">
        <v>60</v>
      </c>
      <c r="C41" s="55">
        <f>COUNTIF('Keyword Master Database'!$E$2:$E$287,B41)</f>
        <v>177</v>
      </c>
      <c r="D41" s="56">
        <f t="shared" si="1"/>
        <v>0.6188811189</v>
      </c>
      <c r="E41" s="31" t="s">
        <v>377</v>
      </c>
      <c r="F41" s="55">
        <f>COUNTIF('Keyword Master Database'!$W$2:$W$287,E41)</f>
        <v>55</v>
      </c>
      <c r="G41" s="56">
        <f t="shared" si="2"/>
        <v>0.1923076923</v>
      </c>
      <c r="H41" s="57"/>
      <c r="I41" s="57"/>
      <c r="J41" s="57"/>
      <c r="K41" s="57"/>
    </row>
    <row r="42" ht="15.75" customHeight="1">
      <c r="A42" s="34"/>
    </row>
    <row r="43" ht="24.0" customHeight="1">
      <c r="A43" s="34"/>
      <c r="B43" s="53" t="s">
        <v>667</v>
      </c>
    </row>
    <row r="44" ht="15.75" customHeight="1">
      <c r="A44" s="34"/>
      <c r="B44" s="58" t="s">
        <v>668</v>
      </c>
      <c r="C44" s="59"/>
      <c r="D44" s="60"/>
      <c r="E44" s="58" t="s">
        <v>669</v>
      </c>
      <c r="F44" s="59"/>
      <c r="G44" s="59"/>
      <c r="H44" s="59"/>
      <c r="I44" s="59"/>
      <c r="J44" s="59"/>
      <c r="K44" s="60"/>
    </row>
    <row r="45" ht="15.75" customHeight="1">
      <c r="A45" s="34"/>
      <c r="B45" s="61" t="s">
        <v>670</v>
      </c>
      <c r="C45" s="59"/>
      <c r="D45" s="60"/>
      <c r="E45" s="62" t="s">
        <v>682</v>
      </c>
      <c r="F45" s="59"/>
      <c r="G45" s="59"/>
      <c r="H45" s="59"/>
      <c r="I45" s="59"/>
      <c r="J45" s="59"/>
      <c r="K45" s="60"/>
    </row>
    <row r="46" ht="15.75" customHeight="1">
      <c r="A46" s="34"/>
      <c r="B46" s="63" t="s">
        <v>684</v>
      </c>
      <c r="C46" s="59"/>
      <c r="D46" s="60"/>
      <c r="E46" s="64" t="s">
        <v>688</v>
      </c>
      <c r="F46" s="59"/>
      <c r="G46" s="59"/>
      <c r="H46" s="59"/>
      <c r="I46" s="59"/>
      <c r="J46" s="59"/>
      <c r="K46" s="60"/>
    </row>
    <row r="47" ht="15.75" customHeight="1">
      <c r="A47" s="34"/>
      <c r="B47" s="61" t="s">
        <v>689</v>
      </c>
      <c r="C47" s="59"/>
      <c r="D47" s="60"/>
      <c r="E47" s="62" t="s">
        <v>693</v>
      </c>
      <c r="F47" s="59"/>
      <c r="G47" s="59"/>
      <c r="H47" s="59"/>
      <c r="I47" s="59"/>
      <c r="J47" s="59"/>
      <c r="K47" s="60"/>
    </row>
    <row r="48" ht="15.75" customHeight="1">
      <c r="A48" s="34"/>
      <c r="B48" s="63" t="s">
        <v>694</v>
      </c>
      <c r="C48" s="59"/>
      <c r="D48" s="60"/>
      <c r="E48" s="64" t="s">
        <v>698</v>
      </c>
      <c r="F48" s="59"/>
      <c r="G48" s="59"/>
      <c r="H48" s="59"/>
      <c r="I48" s="59"/>
      <c r="J48" s="59"/>
      <c r="K48" s="60"/>
    </row>
    <row r="49" ht="15.75" customHeight="1">
      <c r="A49" s="34"/>
      <c r="B49" s="61" t="s">
        <v>700</v>
      </c>
      <c r="C49" s="59"/>
      <c r="D49" s="60"/>
      <c r="E49" s="62" t="s">
        <v>702</v>
      </c>
      <c r="F49" s="59"/>
      <c r="G49" s="59"/>
      <c r="H49" s="59"/>
      <c r="I49" s="59"/>
      <c r="J49" s="59"/>
      <c r="K49" s="60"/>
    </row>
    <row r="50" ht="15.75" customHeight="1">
      <c r="A50" s="34"/>
      <c r="B50" s="63" t="s">
        <v>703</v>
      </c>
      <c r="C50" s="59"/>
      <c r="D50" s="60"/>
      <c r="E50" s="64" t="s">
        <v>705</v>
      </c>
      <c r="F50" s="59"/>
      <c r="G50" s="59"/>
      <c r="H50" s="59"/>
      <c r="I50" s="59"/>
      <c r="J50" s="59"/>
      <c r="K50" s="60"/>
    </row>
    <row r="51" ht="15.75" customHeight="1">
      <c r="A51" s="34"/>
      <c r="B51" s="61" t="s">
        <v>706</v>
      </c>
      <c r="C51" s="59"/>
      <c r="D51" s="60"/>
      <c r="E51" s="62" t="s">
        <v>709</v>
      </c>
      <c r="F51" s="59"/>
      <c r="G51" s="59"/>
      <c r="H51" s="59"/>
      <c r="I51" s="59"/>
      <c r="J51" s="59"/>
      <c r="K51" s="60"/>
    </row>
    <row r="52" ht="15.75" customHeight="1">
      <c r="A52" s="34"/>
      <c r="B52" s="63" t="s">
        <v>710</v>
      </c>
      <c r="C52" s="59"/>
      <c r="D52" s="60"/>
      <c r="E52" s="64" t="s">
        <v>711</v>
      </c>
      <c r="F52" s="59"/>
      <c r="G52" s="59"/>
      <c r="H52" s="59"/>
      <c r="I52" s="59"/>
      <c r="J52" s="59"/>
      <c r="K52" s="60"/>
    </row>
    <row r="53" ht="15.75" customHeight="1">
      <c r="A53" s="34"/>
      <c r="B53" s="61" t="s">
        <v>712</v>
      </c>
      <c r="C53" s="59"/>
      <c r="D53" s="60"/>
      <c r="E53" s="62" t="s">
        <v>713</v>
      </c>
      <c r="F53" s="59"/>
      <c r="G53" s="59"/>
      <c r="H53" s="59"/>
      <c r="I53" s="59"/>
      <c r="J53" s="59"/>
      <c r="K53" s="60"/>
    </row>
    <row r="54" ht="15.75" customHeight="1">
      <c r="A54" s="34"/>
      <c r="B54" s="63" t="s">
        <v>715</v>
      </c>
      <c r="C54" s="59"/>
      <c r="D54" s="60"/>
      <c r="E54" s="64" t="s">
        <v>719</v>
      </c>
      <c r="F54" s="59"/>
      <c r="G54" s="59"/>
      <c r="H54" s="59"/>
      <c r="I54" s="59"/>
      <c r="J54" s="59"/>
      <c r="K54" s="60"/>
    </row>
    <row r="55" ht="15.75" customHeight="1">
      <c r="A55" s="34"/>
      <c r="B55" s="61" t="s">
        <v>725</v>
      </c>
      <c r="C55" s="59"/>
      <c r="D55" s="60"/>
      <c r="E55" s="62" t="s">
        <v>730</v>
      </c>
      <c r="F55" s="59"/>
      <c r="G55" s="59"/>
      <c r="H55" s="59"/>
      <c r="I55" s="59"/>
      <c r="J55" s="59"/>
      <c r="K55" s="60"/>
    </row>
    <row r="56" ht="15.75" customHeight="1">
      <c r="A56" s="34"/>
    </row>
    <row r="57" ht="15.75" customHeight="1">
      <c r="A57" s="34"/>
    </row>
    <row r="58" ht="15.75" customHeight="1">
      <c r="A58" s="34"/>
    </row>
    <row r="59" ht="15.75" customHeight="1">
      <c r="A59" s="34"/>
    </row>
    <row r="60" ht="15.75" customHeight="1">
      <c r="A60" s="34"/>
    </row>
    <row r="61" ht="15.75" customHeight="1">
      <c r="A61" s="34"/>
    </row>
    <row r="62" ht="15.75" customHeight="1">
      <c r="A62" s="34"/>
    </row>
    <row r="63" ht="15.75" customHeight="1">
      <c r="A63" s="34"/>
    </row>
    <row r="64" ht="15.75" customHeight="1">
      <c r="A64" s="34"/>
    </row>
    <row r="65" ht="15.75" customHeight="1">
      <c r="A65" s="34"/>
    </row>
    <row r="66" ht="15.75" customHeight="1">
      <c r="A66" s="34"/>
    </row>
    <row r="67" ht="15.75" customHeight="1">
      <c r="A67" s="34"/>
    </row>
    <row r="68" ht="15.75" customHeight="1">
      <c r="A68" s="34"/>
    </row>
    <row r="69" ht="15.75" customHeight="1">
      <c r="A69" s="34"/>
    </row>
    <row r="70" ht="15.75" customHeight="1">
      <c r="A70" s="34"/>
    </row>
    <row r="71" ht="15.75" customHeight="1">
      <c r="A71" s="34"/>
    </row>
    <row r="72" ht="15.75" customHeight="1">
      <c r="A72" s="34"/>
    </row>
    <row r="73" ht="15.75" customHeight="1">
      <c r="A73" s="34"/>
    </row>
    <row r="74" ht="15.75" customHeight="1">
      <c r="A74" s="34"/>
    </row>
    <row r="75" ht="15.75" customHeight="1">
      <c r="A75" s="34"/>
    </row>
    <row r="76" ht="15.75" customHeight="1">
      <c r="A76" s="34"/>
    </row>
    <row r="77" ht="15.75" customHeight="1">
      <c r="A77" s="34"/>
    </row>
    <row r="78" ht="15.75" customHeight="1">
      <c r="A78" s="34"/>
    </row>
    <row r="79" ht="15.75" customHeight="1">
      <c r="A79" s="34"/>
    </row>
    <row r="80" ht="15.75" customHeight="1">
      <c r="A80" s="34"/>
    </row>
    <row r="81" ht="15.75" customHeight="1">
      <c r="A81" s="34"/>
    </row>
    <row r="82" ht="15.75" customHeight="1">
      <c r="A82" s="34"/>
    </row>
    <row r="83" ht="15.75" customHeight="1">
      <c r="A83" s="34"/>
    </row>
    <row r="84" ht="15.75" customHeight="1">
      <c r="A84" s="34"/>
    </row>
    <row r="85" ht="15.75" customHeight="1">
      <c r="A85" s="34"/>
    </row>
    <row r="86" ht="15.75" customHeight="1">
      <c r="A86" s="34"/>
    </row>
    <row r="87" ht="15.75" customHeight="1">
      <c r="A87" s="34"/>
    </row>
    <row r="88" ht="15.75" customHeight="1">
      <c r="A88" s="34"/>
    </row>
    <row r="89" ht="15.75" customHeight="1">
      <c r="A89" s="34"/>
    </row>
    <row r="90" ht="15.75" customHeight="1">
      <c r="A90" s="34"/>
    </row>
    <row r="91" ht="15.75" customHeight="1">
      <c r="A91" s="34"/>
    </row>
    <row r="92" ht="15.75" customHeight="1">
      <c r="A92" s="34"/>
    </row>
    <row r="93" ht="15.75" customHeight="1">
      <c r="A93" s="34"/>
    </row>
    <row r="94" ht="15.75" customHeight="1">
      <c r="A94" s="34"/>
    </row>
    <row r="95" ht="15.75" customHeight="1">
      <c r="A95" s="34"/>
    </row>
    <row r="96" ht="15.75" customHeight="1">
      <c r="A96" s="34"/>
    </row>
    <row r="97" ht="15.75" customHeight="1">
      <c r="A97" s="34"/>
    </row>
    <row r="98" ht="15.75" customHeight="1">
      <c r="A98" s="34"/>
    </row>
    <row r="99" ht="15.75" customHeight="1">
      <c r="A99" s="34"/>
    </row>
    <row r="100" ht="15.75" customHeight="1">
      <c r="A100" s="34"/>
    </row>
    <row r="101" ht="15.75" customHeight="1">
      <c r="A101" s="34"/>
    </row>
    <row r="102" ht="15.75" customHeight="1">
      <c r="A102" s="34"/>
    </row>
    <row r="103" ht="15.75" customHeight="1">
      <c r="A103" s="34"/>
    </row>
    <row r="104" ht="15.75" customHeight="1">
      <c r="A104" s="34"/>
    </row>
    <row r="105" ht="15.75" customHeight="1">
      <c r="A105" s="34"/>
    </row>
    <row r="106" ht="15.75" customHeight="1">
      <c r="A106" s="34"/>
    </row>
    <row r="107" ht="15.75" customHeight="1">
      <c r="A107" s="34"/>
    </row>
    <row r="108" ht="15.75" customHeight="1">
      <c r="A108" s="34"/>
    </row>
    <row r="109" ht="15.75" customHeight="1">
      <c r="A109" s="34"/>
    </row>
    <row r="110" ht="15.75" customHeight="1">
      <c r="A110" s="34"/>
    </row>
    <row r="111" ht="15.75" customHeight="1">
      <c r="A111" s="34"/>
    </row>
    <row r="112" ht="15.75" customHeight="1">
      <c r="A112" s="34"/>
    </row>
    <row r="113" ht="15.75" customHeight="1">
      <c r="A113" s="34"/>
    </row>
    <row r="114" ht="15.75" customHeight="1">
      <c r="A114" s="34"/>
    </row>
    <row r="115" ht="15.75" customHeight="1">
      <c r="A115" s="34"/>
    </row>
    <row r="116" ht="15.75" customHeight="1">
      <c r="A116" s="34"/>
    </row>
    <row r="117" ht="15.75" customHeight="1">
      <c r="A117" s="34"/>
    </row>
    <row r="118" ht="15.75" customHeight="1">
      <c r="A118" s="34"/>
    </row>
    <row r="119" ht="15.75" customHeight="1">
      <c r="A119" s="34"/>
    </row>
    <row r="120" ht="15.75" customHeight="1">
      <c r="A120" s="34"/>
    </row>
    <row r="121" ht="15.75" customHeight="1">
      <c r="A121" s="34"/>
    </row>
    <row r="122" ht="15.75" customHeight="1">
      <c r="A122" s="34"/>
    </row>
    <row r="123" ht="15.75" customHeight="1">
      <c r="A123" s="34"/>
    </row>
    <row r="124" ht="15.75" customHeight="1">
      <c r="A124" s="34"/>
    </row>
    <row r="125" ht="15.75" customHeight="1">
      <c r="A125" s="34"/>
    </row>
    <row r="126" ht="15.75" customHeight="1">
      <c r="A126" s="34"/>
    </row>
    <row r="127" ht="15.75" customHeight="1">
      <c r="A127" s="34"/>
    </row>
    <row r="128" ht="15.75" customHeight="1">
      <c r="A128" s="34"/>
    </row>
    <row r="129" ht="15.75" customHeight="1">
      <c r="A129" s="34"/>
    </row>
    <row r="130" ht="15.75" customHeight="1">
      <c r="A130" s="34"/>
    </row>
    <row r="131" ht="15.75" customHeight="1">
      <c r="A131" s="34"/>
    </row>
    <row r="132" ht="15.75" customHeight="1">
      <c r="A132" s="34"/>
    </row>
    <row r="133" ht="15.75" customHeight="1">
      <c r="A133" s="34"/>
    </row>
    <row r="134" ht="15.75" customHeight="1">
      <c r="A134" s="34"/>
    </row>
    <row r="135" ht="15.75" customHeight="1">
      <c r="A135" s="34"/>
    </row>
    <row r="136" ht="15.75" customHeight="1">
      <c r="A136" s="34"/>
    </row>
    <row r="137" ht="15.75" customHeight="1">
      <c r="A137" s="34"/>
    </row>
    <row r="138" ht="15.75" customHeight="1">
      <c r="A138" s="34"/>
    </row>
    <row r="139" ht="15.75" customHeight="1">
      <c r="A139" s="34"/>
    </row>
    <row r="140" ht="15.75" customHeight="1">
      <c r="A140" s="34"/>
    </row>
    <row r="141" ht="15.75" customHeight="1">
      <c r="A141" s="34"/>
    </row>
    <row r="142" ht="15.75" customHeight="1">
      <c r="A142" s="34"/>
    </row>
    <row r="143" ht="15.75" customHeight="1">
      <c r="A143" s="34"/>
    </row>
    <row r="144" ht="15.75" customHeight="1">
      <c r="A144" s="34"/>
    </row>
    <row r="145" ht="15.75" customHeight="1">
      <c r="A145" s="34"/>
    </row>
    <row r="146" ht="15.75" customHeight="1">
      <c r="A146" s="34"/>
    </row>
    <row r="147" ht="15.75" customHeight="1">
      <c r="A147" s="34"/>
    </row>
    <row r="148" ht="15.75" customHeight="1">
      <c r="A148" s="34"/>
    </row>
    <row r="149" ht="15.75" customHeight="1">
      <c r="A149" s="34"/>
    </row>
    <row r="150" ht="15.75" customHeight="1">
      <c r="A150" s="34"/>
    </row>
    <row r="151" ht="15.75" customHeight="1">
      <c r="A151" s="34"/>
    </row>
    <row r="152" ht="15.75" customHeight="1">
      <c r="A152" s="34"/>
    </row>
    <row r="153" ht="15.75" customHeight="1">
      <c r="A153" s="34"/>
    </row>
    <row r="154" ht="15.75" customHeight="1">
      <c r="A154" s="34"/>
    </row>
    <row r="155" ht="15.75" customHeight="1">
      <c r="A155" s="34"/>
    </row>
    <row r="156" ht="15.75" customHeight="1">
      <c r="A156" s="34"/>
    </row>
    <row r="157" ht="15.75" customHeight="1">
      <c r="A157" s="34"/>
    </row>
    <row r="158" ht="15.75" customHeight="1">
      <c r="A158" s="34"/>
    </row>
    <row r="159" ht="15.75" customHeight="1">
      <c r="A159" s="34"/>
    </row>
    <row r="160" ht="15.75" customHeight="1">
      <c r="A160" s="34"/>
    </row>
    <row r="161" ht="15.75" customHeight="1">
      <c r="A161" s="34"/>
    </row>
    <row r="162" ht="15.75" customHeight="1">
      <c r="A162" s="34"/>
    </row>
    <row r="163" ht="15.75" customHeight="1">
      <c r="A163" s="34"/>
    </row>
    <row r="164" ht="15.75" customHeight="1">
      <c r="A164" s="34"/>
    </row>
    <row r="165" ht="15.75" customHeight="1">
      <c r="A165" s="34"/>
    </row>
    <row r="166" ht="15.75" customHeight="1">
      <c r="A166" s="34"/>
    </row>
    <row r="167" ht="15.75" customHeight="1">
      <c r="A167" s="34"/>
    </row>
    <row r="168" ht="15.75" customHeight="1">
      <c r="A168" s="34"/>
    </row>
    <row r="169" ht="15.75" customHeight="1">
      <c r="A169" s="34"/>
    </row>
    <row r="170" ht="15.75" customHeight="1">
      <c r="A170" s="34"/>
    </row>
    <row r="171" ht="15.75" customHeight="1">
      <c r="A171" s="34"/>
    </row>
    <row r="172" ht="15.75" customHeight="1">
      <c r="A172" s="34"/>
    </row>
    <row r="173" ht="15.75" customHeight="1">
      <c r="A173" s="34"/>
    </row>
    <row r="174" ht="15.75" customHeight="1">
      <c r="A174" s="34"/>
    </row>
    <row r="175" ht="15.75" customHeight="1">
      <c r="A175" s="34"/>
    </row>
    <row r="176" ht="15.75" customHeight="1">
      <c r="A176" s="34"/>
    </row>
    <row r="177" ht="15.75" customHeight="1">
      <c r="A177" s="34"/>
    </row>
    <row r="178" ht="15.75" customHeight="1">
      <c r="A178" s="34"/>
    </row>
    <row r="179" ht="15.75" customHeight="1">
      <c r="A179" s="34"/>
    </row>
    <row r="180" ht="15.75" customHeight="1">
      <c r="A180" s="34"/>
    </row>
    <row r="181" ht="15.75" customHeight="1">
      <c r="A181" s="34"/>
    </row>
    <row r="182" ht="15.75" customHeight="1">
      <c r="A182" s="34"/>
    </row>
    <row r="183" ht="15.75" customHeight="1">
      <c r="A183" s="34"/>
    </row>
    <row r="184" ht="15.75" customHeight="1">
      <c r="A184" s="34"/>
    </row>
    <row r="185" ht="15.75" customHeight="1">
      <c r="A185" s="34"/>
    </row>
    <row r="186" ht="15.75" customHeight="1">
      <c r="A186" s="34"/>
    </row>
    <row r="187" ht="15.75" customHeight="1">
      <c r="A187" s="34"/>
    </row>
    <row r="188" ht="15.75" customHeight="1">
      <c r="A188" s="34"/>
    </row>
    <row r="189" ht="15.75" customHeight="1">
      <c r="A189" s="34"/>
    </row>
    <row r="190" ht="15.75" customHeight="1">
      <c r="A190" s="34"/>
    </row>
    <row r="191" ht="15.75" customHeight="1">
      <c r="A191" s="34"/>
    </row>
    <row r="192" ht="15.75" customHeight="1">
      <c r="A192" s="34"/>
    </row>
    <row r="193" ht="15.75" customHeight="1">
      <c r="A193" s="34"/>
    </row>
    <row r="194" ht="15.75" customHeight="1">
      <c r="A194" s="34"/>
    </row>
    <row r="195" ht="15.75" customHeight="1">
      <c r="A195" s="34"/>
    </row>
    <row r="196" ht="15.75" customHeight="1">
      <c r="A196" s="34"/>
    </row>
    <row r="197" ht="15.75" customHeight="1">
      <c r="A197" s="34"/>
    </row>
    <row r="198" ht="15.75" customHeight="1">
      <c r="A198" s="34"/>
    </row>
    <row r="199" ht="15.75" customHeight="1">
      <c r="A199" s="34"/>
    </row>
    <row r="200" ht="15.75" customHeight="1">
      <c r="A200" s="34"/>
    </row>
    <row r="201" ht="15.75" customHeight="1">
      <c r="A201" s="34"/>
    </row>
    <row r="202" ht="15.75" customHeight="1">
      <c r="A202" s="34"/>
    </row>
    <row r="203" ht="15.75" customHeight="1">
      <c r="A203" s="34"/>
    </row>
    <row r="204" ht="15.75" customHeight="1">
      <c r="A204" s="34"/>
    </row>
    <row r="205" ht="15.75" customHeight="1">
      <c r="A205" s="34"/>
    </row>
    <row r="206" ht="15.75" customHeight="1">
      <c r="A206" s="34"/>
    </row>
    <row r="207" ht="15.75" customHeight="1">
      <c r="A207" s="34"/>
    </row>
    <row r="208" ht="15.75" customHeight="1">
      <c r="A208" s="34"/>
    </row>
    <row r="209" ht="15.75" customHeight="1">
      <c r="A209" s="34"/>
    </row>
    <row r="210" ht="15.75" customHeight="1">
      <c r="A210" s="34"/>
    </row>
    <row r="211" ht="15.75" customHeight="1">
      <c r="A211" s="34"/>
    </row>
    <row r="212" ht="15.75" customHeight="1">
      <c r="A212" s="34"/>
    </row>
    <row r="213" ht="15.75" customHeight="1">
      <c r="A213" s="34"/>
    </row>
    <row r="214" ht="15.75" customHeight="1">
      <c r="A214" s="34"/>
    </row>
    <row r="215" ht="15.75" customHeight="1">
      <c r="A215" s="34"/>
    </row>
    <row r="216" ht="15.75" customHeight="1">
      <c r="A216" s="34"/>
    </row>
    <row r="217" ht="15.75" customHeight="1">
      <c r="A217" s="34"/>
    </row>
    <row r="218" ht="15.75" customHeight="1">
      <c r="A218" s="34"/>
    </row>
    <row r="219" ht="15.75" customHeight="1">
      <c r="A219" s="34"/>
    </row>
    <row r="220" ht="15.75" customHeight="1">
      <c r="A220" s="34"/>
    </row>
    <row r="221" ht="15.75" customHeight="1">
      <c r="A221" s="34"/>
    </row>
    <row r="222" ht="15.75" customHeight="1">
      <c r="A222" s="34"/>
    </row>
    <row r="223" ht="15.75" customHeight="1">
      <c r="A223" s="34"/>
    </row>
    <row r="224" ht="15.75" customHeight="1">
      <c r="A224" s="34"/>
    </row>
    <row r="225" ht="15.75" customHeight="1">
      <c r="A225" s="34"/>
    </row>
    <row r="226" ht="15.75" customHeight="1">
      <c r="A226" s="34"/>
    </row>
    <row r="227" ht="15.75" customHeight="1">
      <c r="A227" s="34"/>
    </row>
    <row r="228" ht="15.75" customHeight="1">
      <c r="A228" s="34"/>
    </row>
    <row r="229" ht="15.75" customHeight="1">
      <c r="A229" s="34"/>
    </row>
    <row r="230" ht="15.75" customHeight="1">
      <c r="A230" s="34"/>
    </row>
    <row r="231" ht="15.75" customHeight="1">
      <c r="A231" s="34"/>
    </row>
    <row r="232" ht="15.75" customHeight="1">
      <c r="A232" s="34"/>
    </row>
    <row r="233" ht="15.75" customHeight="1">
      <c r="A233" s="34"/>
    </row>
    <row r="234" ht="15.75" customHeight="1">
      <c r="A234" s="34"/>
    </row>
    <row r="235" ht="15.75" customHeight="1">
      <c r="A235" s="34"/>
    </row>
    <row r="236" ht="15.75" customHeight="1">
      <c r="A236" s="34"/>
    </row>
    <row r="237" ht="15.75" customHeight="1">
      <c r="A237" s="34"/>
    </row>
    <row r="238" ht="15.75" customHeight="1">
      <c r="A238" s="34"/>
    </row>
    <row r="239" ht="15.75" customHeight="1">
      <c r="A239" s="34"/>
    </row>
    <row r="240" ht="15.75" customHeight="1">
      <c r="A240" s="34"/>
    </row>
    <row r="241" ht="15.75" customHeight="1">
      <c r="A241" s="34"/>
    </row>
    <row r="242" ht="15.75" customHeight="1">
      <c r="A242" s="34"/>
    </row>
    <row r="243" ht="15.75" customHeight="1">
      <c r="A243" s="34"/>
    </row>
    <row r="244" ht="15.75" customHeight="1">
      <c r="A244" s="34"/>
    </row>
    <row r="245" ht="15.75" customHeight="1">
      <c r="A245" s="34"/>
    </row>
    <row r="246" ht="15.75" customHeight="1">
      <c r="A246" s="34"/>
    </row>
    <row r="247" ht="15.75" customHeight="1">
      <c r="A247" s="34"/>
    </row>
    <row r="248" ht="15.75" customHeight="1">
      <c r="A248" s="34"/>
    </row>
    <row r="249" ht="15.75" customHeight="1">
      <c r="A249" s="34"/>
    </row>
    <row r="250" ht="15.75" customHeight="1">
      <c r="A250" s="34"/>
    </row>
    <row r="251" ht="15.75" customHeight="1">
      <c r="A251" s="34"/>
    </row>
    <row r="252" ht="15.75" customHeight="1">
      <c r="A252" s="34"/>
    </row>
    <row r="253" ht="15.75" customHeight="1">
      <c r="A253" s="34"/>
    </row>
    <row r="254" ht="15.75" customHeight="1">
      <c r="A254" s="34"/>
    </row>
    <row r="255" ht="15.75" customHeight="1">
      <c r="A255" s="34"/>
    </row>
    <row r="256" ht="15.75" customHeight="1">
      <c r="A256" s="34"/>
    </row>
    <row r="257" ht="15.75" customHeight="1">
      <c r="A257" s="34"/>
    </row>
    <row r="258" ht="15.75" customHeight="1">
      <c r="A258" s="34"/>
    </row>
    <row r="259" ht="15.75" customHeight="1">
      <c r="A259" s="34"/>
    </row>
    <row r="260" ht="15.75" customHeight="1">
      <c r="A260" s="34"/>
    </row>
    <row r="261" ht="15.75" customHeight="1">
      <c r="A261" s="34"/>
    </row>
    <row r="262" ht="15.75" customHeight="1">
      <c r="A262" s="34"/>
    </row>
    <row r="263" ht="15.75" customHeight="1">
      <c r="A263" s="34"/>
    </row>
    <row r="264" ht="15.75" customHeight="1">
      <c r="A264" s="34"/>
    </row>
    <row r="265" ht="15.75" customHeight="1">
      <c r="A265" s="34"/>
    </row>
    <row r="266" ht="15.75" customHeight="1">
      <c r="A266" s="34"/>
    </row>
    <row r="267" ht="15.75" customHeight="1">
      <c r="A267" s="34"/>
    </row>
    <row r="268" ht="15.75" customHeight="1">
      <c r="A268" s="34"/>
    </row>
    <row r="269" ht="15.75" customHeight="1">
      <c r="A269" s="34"/>
    </row>
    <row r="270" ht="15.75" customHeight="1">
      <c r="A270" s="34"/>
    </row>
    <row r="271" ht="15.75" customHeight="1">
      <c r="A271" s="34"/>
    </row>
    <row r="272" ht="15.75" customHeight="1">
      <c r="A272" s="34"/>
    </row>
    <row r="273" ht="15.75" customHeight="1">
      <c r="A273" s="34"/>
    </row>
    <row r="274" ht="15.75" customHeight="1">
      <c r="A274" s="34"/>
    </row>
    <row r="275" ht="15.75" customHeight="1">
      <c r="A275" s="34"/>
    </row>
    <row r="276" ht="15.75" customHeight="1">
      <c r="A276" s="34"/>
    </row>
    <row r="277" ht="15.75" customHeight="1">
      <c r="A277" s="34"/>
    </row>
    <row r="278" ht="15.75" customHeight="1">
      <c r="A278" s="34"/>
    </row>
    <row r="279" ht="15.75" customHeight="1">
      <c r="A279" s="34"/>
    </row>
    <row r="280" ht="15.75" customHeight="1">
      <c r="A280" s="34"/>
    </row>
    <row r="281" ht="15.75" customHeight="1">
      <c r="A281" s="34"/>
    </row>
    <row r="282" ht="15.75" customHeight="1">
      <c r="A282" s="34"/>
    </row>
    <row r="283" ht="15.75" customHeight="1">
      <c r="A283" s="34"/>
    </row>
    <row r="284" ht="15.75" customHeight="1">
      <c r="A284" s="34"/>
    </row>
    <row r="285" ht="15.75" customHeight="1">
      <c r="A285" s="34"/>
    </row>
    <row r="286" ht="15.75" customHeight="1">
      <c r="A286" s="34"/>
    </row>
    <row r="287" ht="15.75" customHeight="1">
      <c r="A287" s="34"/>
    </row>
    <row r="288" ht="15.75" customHeight="1">
      <c r="A288" s="34"/>
    </row>
    <row r="289" ht="15.75" customHeight="1">
      <c r="A289" s="34"/>
    </row>
    <row r="290" ht="15.75" customHeight="1">
      <c r="A290" s="34"/>
    </row>
    <row r="291" ht="15.75" customHeight="1">
      <c r="A291" s="34"/>
    </row>
    <row r="292" ht="15.75" customHeight="1">
      <c r="A292" s="34"/>
    </row>
    <row r="293" ht="15.75" customHeight="1">
      <c r="A293" s="34"/>
    </row>
    <row r="294" ht="15.75" customHeight="1">
      <c r="A294" s="34"/>
    </row>
    <row r="295" ht="15.75" customHeight="1">
      <c r="A295" s="34"/>
    </row>
    <row r="296" ht="15.75" customHeight="1">
      <c r="A296" s="34"/>
    </row>
    <row r="297" ht="15.75" customHeight="1">
      <c r="A297" s="34"/>
    </row>
    <row r="298" ht="15.75" customHeight="1">
      <c r="A298" s="34"/>
    </row>
    <row r="299" ht="15.75" customHeight="1">
      <c r="A299" s="34"/>
    </row>
    <row r="300" ht="15.75" customHeight="1">
      <c r="A300" s="34"/>
    </row>
    <row r="301" ht="15.75" customHeight="1">
      <c r="A301" s="34"/>
    </row>
    <row r="302" ht="15.75" customHeight="1">
      <c r="A302" s="34"/>
    </row>
    <row r="303" ht="15.75" customHeight="1">
      <c r="A303" s="34"/>
    </row>
    <row r="304" ht="15.75" customHeight="1">
      <c r="A304" s="34"/>
    </row>
    <row r="305" ht="15.75" customHeight="1">
      <c r="A305" s="34"/>
    </row>
    <row r="306" ht="15.75" customHeight="1">
      <c r="A306" s="34"/>
    </row>
    <row r="307" ht="15.75" customHeight="1">
      <c r="A307" s="34"/>
    </row>
    <row r="308" ht="15.75" customHeight="1">
      <c r="A308" s="34"/>
    </row>
    <row r="309" ht="15.75" customHeight="1">
      <c r="A309" s="34"/>
    </row>
    <row r="310" ht="15.75" customHeight="1">
      <c r="A310" s="34"/>
    </row>
    <row r="311" ht="15.75" customHeight="1">
      <c r="A311" s="34"/>
    </row>
    <row r="312" ht="15.75" customHeight="1">
      <c r="A312" s="34"/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mergeCells count="52">
    <mergeCell ref="B43:K43"/>
    <mergeCell ref="B44:D44"/>
    <mergeCell ref="E44:K44"/>
    <mergeCell ref="B45:D45"/>
    <mergeCell ref="E45:K45"/>
    <mergeCell ref="B46:D46"/>
    <mergeCell ref="E46:K46"/>
    <mergeCell ref="B47:D47"/>
    <mergeCell ref="E47:K47"/>
    <mergeCell ref="B48:D48"/>
    <mergeCell ref="E48:K48"/>
    <mergeCell ref="B49:D49"/>
    <mergeCell ref="E49:K49"/>
    <mergeCell ref="E50:K50"/>
    <mergeCell ref="F11:G11"/>
    <mergeCell ref="H11:I11"/>
    <mergeCell ref="B2:K2"/>
    <mergeCell ref="B3:K3"/>
    <mergeCell ref="B4:K4"/>
    <mergeCell ref="B5:K5"/>
    <mergeCell ref="B10:K10"/>
    <mergeCell ref="D11:E11"/>
    <mergeCell ref="J11:K11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4:C14"/>
    <mergeCell ref="D14:E14"/>
    <mergeCell ref="F14:G14"/>
    <mergeCell ref="B15:C15"/>
    <mergeCell ref="D15:E15"/>
    <mergeCell ref="F15:G15"/>
    <mergeCell ref="B18:K18"/>
    <mergeCell ref="B36:K36"/>
    <mergeCell ref="B50:D50"/>
    <mergeCell ref="B51:D51"/>
    <mergeCell ref="B52:D52"/>
    <mergeCell ref="B53:D53"/>
    <mergeCell ref="B54:D54"/>
    <mergeCell ref="B55:D55"/>
    <mergeCell ref="E51:K51"/>
    <mergeCell ref="E52:K52"/>
    <mergeCell ref="E53:K53"/>
    <mergeCell ref="E54:K54"/>
    <mergeCell ref="E55:K55"/>
  </mergeCells>
  <hyperlinks>
    <hyperlink r:id="rId1" location="'Business%20Analysis'!A1" ref="B45"/>
    <hyperlink r:id="rId2" location="'Keyword%20Master%20Database'!A1" ref="B46"/>
    <hyperlink r:id="rId3" location="'Keyword%20Clusters'!A1" ref="B47"/>
    <hyperlink r:id="rId4" location="'Competitor%20Analysis'!A1" ref="B48"/>
    <hyperlink r:id="rId5" location="'Keyword%20Mapping'!A1" ref="B49"/>
    <hyperlink r:id="rId6" location="'Topical%20Authority%20Map'!A1" ref="B50"/>
    <hyperlink r:id="rId7" location="'SEO%20Silo%20Architecture'!A1" ref="B51"/>
    <hyperlink r:id="rId8" location="'Internal%20Linking%20Blueprint'!A1" ref="B52"/>
    <hyperlink r:id="rId9" location="'Content%20Roadmap'!A1" ref="B53"/>
    <hyperlink r:id="rId10" location="'Quick%20Wins'!A1" ref="B54"/>
    <hyperlink r:id="rId11" location="'Scoring%20Model'!A1" ref="B55"/>
  </hyperlinks>
  <printOptions/>
  <pageMargins bottom="1.0" footer="0.0" header="0.0" left="0.75" right="0.75" top="1.0"/>
  <pageSetup fitToHeight="0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30.0"/>
    <col customWidth="1" min="3" max="26" width="8.71"/>
  </cols>
  <sheetData>
    <row r="1" ht="30.0" customHeight="1">
      <c r="A1" s="2" t="s">
        <v>0</v>
      </c>
      <c r="B1" s="3"/>
    </row>
    <row r="3">
      <c r="A3" s="4" t="s">
        <v>10</v>
      </c>
      <c r="B3" s="3"/>
    </row>
    <row r="4" ht="18.0" customHeight="1">
      <c r="A4" s="5" t="s">
        <v>25</v>
      </c>
      <c r="B4" s="6" t="s">
        <v>34</v>
      </c>
    </row>
    <row r="5" ht="18.0" customHeight="1">
      <c r="A5" s="5" t="s">
        <v>37</v>
      </c>
      <c r="B5" s="6" t="s">
        <v>39</v>
      </c>
    </row>
    <row r="6" ht="18.0" customHeight="1">
      <c r="A6" s="5" t="s">
        <v>41</v>
      </c>
      <c r="B6" s="6" t="s">
        <v>43</v>
      </c>
    </row>
    <row r="7" ht="18.0" customHeight="1">
      <c r="A7" s="5" t="s">
        <v>44</v>
      </c>
      <c r="B7" s="6" t="s">
        <v>46</v>
      </c>
    </row>
    <row r="8" ht="18.0" customHeight="1">
      <c r="A8" s="5" t="s">
        <v>47</v>
      </c>
      <c r="B8" s="6" t="s">
        <v>48</v>
      </c>
    </row>
    <row r="9" ht="75.0" customHeight="1">
      <c r="A9" s="5" t="s">
        <v>49</v>
      </c>
      <c r="B9" s="6" t="s">
        <v>50</v>
      </c>
    </row>
    <row r="10" ht="18.0" customHeight="1">
      <c r="A10" s="5" t="s">
        <v>51</v>
      </c>
      <c r="B10" s="6" t="s">
        <v>52</v>
      </c>
    </row>
    <row r="11" ht="18.0" customHeight="1">
      <c r="A11" s="5" t="s">
        <v>54</v>
      </c>
      <c r="B11" s="6" t="s">
        <v>55</v>
      </c>
    </row>
    <row r="13">
      <c r="A13" s="12" t="s">
        <v>58</v>
      </c>
      <c r="B13" s="3"/>
    </row>
    <row r="14" ht="18.0" customHeight="1">
      <c r="A14" s="5" t="s">
        <v>65</v>
      </c>
      <c r="B14" s="6" t="s">
        <v>66</v>
      </c>
    </row>
    <row r="15" ht="18.0" customHeight="1">
      <c r="A15" s="5" t="s">
        <v>67</v>
      </c>
      <c r="B15" s="6" t="s">
        <v>68</v>
      </c>
    </row>
    <row r="16" ht="18.0" customHeight="1">
      <c r="A16" s="5" t="s">
        <v>69</v>
      </c>
      <c r="B16" s="6" t="s">
        <v>70</v>
      </c>
    </row>
    <row r="17" ht="18.0" customHeight="1">
      <c r="A17" s="5" t="s">
        <v>72</v>
      </c>
      <c r="B17" s="6" t="s">
        <v>73</v>
      </c>
    </row>
    <row r="19">
      <c r="A19" s="12" t="s">
        <v>75</v>
      </c>
      <c r="B19" s="3"/>
    </row>
    <row r="20" ht="45.0" customHeight="1">
      <c r="A20" s="5" t="s">
        <v>76</v>
      </c>
      <c r="B20" s="6" t="s">
        <v>78</v>
      </c>
    </row>
    <row r="21" ht="45.0" customHeight="1">
      <c r="A21" s="5" t="s">
        <v>79</v>
      </c>
      <c r="B21" s="6" t="s">
        <v>80</v>
      </c>
    </row>
    <row r="22" ht="45.0" customHeight="1">
      <c r="A22" s="5" t="s">
        <v>81</v>
      </c>
      <c r="B22" s="6" t="s">
        <v>82</v>
      </c>
    </row>
    <row r="23" ht="45.0" customHeight="1">
      <c r="A23" s="5" t="s">
        <v>83</v>
      </c>
      <c r="B23" s="6" t="s">
        <v>84</v>
      </c>
    </row>
    <row r="24" ht="30.0" customHeight="1">
      <c r="A24" s="5" t="s">
        <v>85</v>
      </c>
      <c r="B24" s="6" t="s">
        <v>86</v>
      </c>
    </row>
    <row r="25" ht="30.0" customHeight="1">
      <c r="A25" s="5" t="s">
        <v>87</v>
      </c>
      <c r="B25" s="6" t="s">
        <v>88</v>
      </c>
    </row>
    <row r="26" ht="30.0" customHeight="1">
      <c r="A26" s="5" t="s">
        <v>89</v>
      </c>
      <c r="B26" s="6" t="s">
        <v>90</v>
      </c>
    </row>
    <row r="27" ht="30.0" customHeight="1">
      <c r="A27" s="5" t="s">
        <v>91</v>
      </c>
      <c r="B27" s="6" t="s">
        <v>92</v>
      </c>
    </row>
    <row r="28" ht="15.75" customHeight="1"/>
    <row r="29" ht="15.75" customHeight="1">
      <c r="A29" s="12" t="s">
        <v>93</v>
      </c>
      <c r="B29" s="3"/>
    </row>
    <row r="30" ht="15.75" customHeight="1">
      <c r="A30" s="16" t="s">
        <v>17</v>
      </c>
      <c r="B30" s="16" t="s">
        <v>94</v>
      </c>
    </row>
    <row r="31" ht="15.75" customHeight="1">
      <c r="A31" s="17" t="s">
        <v>95</v>
      </c>
      <c r="B31" s="23" t="str">
        <f>"Current "&amp;TEXT(0.69,"0.0%")&amp;"  -&gt;  Planned "&amp;TEXT(COUNTIF('Keyword Master Database'!$E$2:$E$287,A31)/COUNTA('Keyword Master Database'!$A$2:$A$287),"0.0%")&amp;" ("&amp;COUNTIF('Keyword Master Database'!$E$2:$E$287,A31)&amp;" keywords)"</f>
        <v>Current 69.0%  -&gt;  Planned 22.4% (64 keywords)</v>
      </c>
    </row>
    <row r="32" ht="15.75" customHeight="1">
      <c r="A32" s="17" t="s">
        <v>110</v>
      </c>
      <c r="B32" s="23" t="str">
        <f>"Current "&amp;TEXT(0.091,"0.0%")&amp;"  -&gt;  Planned "&amp;TEXT(COUNTIF('Keyword Master Database'!$E$2:$E$287,A32)/COUNTA('Keyword Master Database'!$A$2:$A$287),"0.0%")&amp;" ("&amp;COUNTIF('Keyword Master Database'!$E$2:$E$287,A32)&amp;" keywords)"</f>
        <v>Current 9.1%  -&gt;  Planned 2.8% (8 keywords)</v>
      </c>
    </row>
    <row r="33" ht="15.75" customHeight="1">
      <c r="A33" s="17" t="s">
        <v>120</v>
      </c>
      <c r="B33" s="23" t="str">
        <f>"Current "&amp;TEXT(0.192,"0.0%")&amp;"  -&gt;  Planned "&amp;TEXT(COUNTIF('Keyword Master Database'!$E$2:$E$287,A33)/COUNTA('Keyword Master Database'!$A$2:$A$287),"0.0%")&amp;" ("&amp;COUNTIF('Keyword Master Database'!$E$2:$E$287,A33)&amp;" keywords)"</f>
        <v>Current 19.2%  -&gt;  Planned 12.9% (37 keywords)</v>
      </c>
    </row>
    <row r="34" ht="15.75" customHeight="1">
      <c r="A34" s="17" t="s">
        <v>60</v>
      </c>
      <c r="B34" s="23" t="str">
        <f>"Current "&amp;TEXT(0.026,"0.0%")&amp;"  -&gt;  Planned "&amp;TEXT(COUNTIF('Keyword Master Database'!$E$2:$E$287,A34)/COUNTA('Keyword Master Database'!$A$2:$A$287),"0.0%")&amp;" ("&amp;COUNTIF('Keyword Master Database'!$E$2:$E$287,A34)&amp;" keywords)"</f>
        <v>Current 2.6%  -&gt;  Planned 61.9% (177 keywords)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3:B3"/>
    <mergeCell ref="A13:B13"/>
    <mergeCell ref="A19:B19"/>
    <mergeCell ref="A29:B29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3.29"/>
    <col customWidth="1" min="2" max="2" width="23.14"/>
    <col customWidth="1" min="3" max="3" width="22.43"/>
    <col customWidth="1" min="4" max="4" width="32.0"/>
    <col customWidth="1" min="5" max="5" width="13.29"/>
    <col customWidth="1" min="6" max="6" width="7.29"/>
    <col customWidth="1" min="7" max="7" width="18.71"/>
    <col customWidth="1" min="8" max="8" width="8.0"/>
    <col customWidth="1" min="9" max="9" width="17.86"/>
    <col customWidth="1" min="10" max="10" width="9.86"/>
    <col customWidth="1" min="11" max="11" width="23.14"/>
    <col customWidth="1" min="12" max="12" width="9.86"/>
    <col customWidth="1" min="13" max="13" width="22.86"/>
    <col customWidth="1" min="14" max="14" width="12.0"/>
    <col customWidth="1" min="15" max="15" width="34.57"/>
    <col customWidth="1" min="16" max="16" width="12.57"/>
    <col customWidth="1" min="17" max="17" width="13.71"/>
    <col customWidth="1" min="18" max="19" width="13.57"/>
    <col customWidth="1" min="20" max="20" width="14.57"/>
    <col customWidth="1" min="21" max="21" width="13.86"/>
    <col customWidth="1" min="22" max="22" width="11.86"/>
    <col customWidth="1" min="23" max="23" width="13.29"/>
    <col customWidth="1" min="24" max="24" width="38.14"/>
    <col customWidth="1" min="25" max="25" width="16.43"/>
    <col customWidth="1" min="26" max="26" width="5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18</v>
      </c>
      <c r="L1" s="1" t="s">
        <v>19</v>
      </c>
      <c r="M1" s="1" t="s">
        <v>21</v>
      </c>
      <c r="N1" s="1" t="s">
        <v>23</v>
      </c>
      <c r="O1" s="1" t="s">
        <v>24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32</v>
      </c>
      <c r="U1" s="1" t="s">
        <v>33</v>
      </c>
      <c r="V1" s="1" t="s">
        <v>35</v>
      </c>
      <c r="W1" s="1" t="s">
        <v>36</v>
      </c>
      <c r="X1" s="1" t="s">
        <v>38</v>
      </c>
      <c r="Y1" s="1" t="s">
        <v>40</v>
      </c>
      <c r="Z1" s="1" t="s">
        <v>42</v>
      </c>
    </row>
    <row r="2">
      <c r="A2" s="9" t="s">
        <v>45</v>
      </c>
      <c r="B2" s="11" t="s">
        <v>56</v>
      </c>
      <c r="C2" s="11" t="s">
        <v>31</v>
      </c>
      <c r="D2" s="11" t="s">
        <v>31</v>
      </c>
      <c r="E2" s="11" t="s">
        <v>60</v>
      </c>
      <c r="F2" s="11" t="s">
        <v>61</v>
      </c>
      <c r="G2" s="11" t="s">
        <v>62</v>
      </c>
      <c r="H2" s="14">
        <v>480.0</v>
      </c>
      <c r="I2" s="11" t="s">
        <v>71</v>
      </c>
      <c r="J2" s="11">
        <v>40.0</v>
      </c>
      <c r="K2" s="11" t="s">
        <v>74</v>
      </c>
      <c r="L2" s="15">
        <v>14.5</v>
      </c>
      <c r="M2" s="11" t="s">
        <v>77</v>
      </c>
      <c r="N2" s="11" t="str">
        <f t="shared" ref="N2:N287" si="1">IF(J2&lt;=20,"Easy",IF(J2&lt;=40,"Moderate",IF(J2&lt;=70,"Competitive","Very Competitive")))</f>
        <v>Moderate</v>
      </c>
      <c r="O2" s="19" t="s">
        <v>97</v>
      </c>
      <c r="P2" s="21">
        <v>5.0</v>
      </c>
      <c r="Q2" s="11">
        <f t="shared" ref="Q2:Q287" si="2">IF(H2&gt;=1000,5,IF(H2&gt;=400,4,IF(H2&gt;=150,3,IF(H2&gt;=50,2,1))))</f>
        <v>4</v>
      </c>
      <c r="R2" s="11">
        <f t="shared" ref="R2:R287" si="3">IF(J2&lt;=25,5,IF(J2&lt;=40,4,IF(J2&lt;=55,3,IF(J2&lt;=70,2,1))))</f>
        <v>4</v>
      </c>
      <c r="S2" s="21">
        <v>5.0</v>
      </c>
      <c r="T2" s="21">
        <v>5.0</v>
      </c>
      <c r="U2" s="21">
        <v>5.0</v>
      </c>
      <c r="V2" s="24">
        <f>ROUND((P2*'Scoring Model'!$C$4+Q2*'Scoring Model'!$C$5+R2*'Scoring Model'!$C$6+S2*'Scoring Model'!$C$7+T2*'Scoring Model'!$C$8+U2*'Scoring Model'!$C$9)/5*100,0)</f>
        <v>93</v>
      </c>
      <c r="W2" s="11" t="str">
        <f t="shared" ref="W2:W287" si="4">IF(V2&gt;=90,"Critical",IF(V2&gt;=75,"High",IF(V2&gt;=60,"Medium",IF(V2&gt;=40,"Low","Optional"))))</f>
        <v>Critical</v>
      </c>
      <c r="X2" s="11" t="s">
        <v>63</v>
      </c>
      <c r="Y2" s="11" t="s">
        <v>141</v>
      </c>
      <c r="Z2" s="19" t="s">
        <v>142</v>
      </c>
    </row>
    <row r="3">
      <c r="A3" s="25" t="s">
        <v>143</v>
      </c>
      <c r="B3" s="26" t="s">
        <v>56</v>
      </c>
      <c r="C3" s="26" t="s">
        <v>31</v>
      </c>
      <c r="D3" s="26" t="s">
        <v>31</v>
      </c>
      <c r="E3" s="26" t="s">
        <v>60</v>
      </c>
      <c r="F3" s="26" t="s">
        <v>61</v>
      </c>
      <c r="G3" s="26" t="s">
        <v>150</v>
      </c>
      <c r="H3" s="27">
        <v>220.0</v>
      </c>
      <c r="I3" s="26" t="s">
        <v>71</v>
      </c>
      <c r="J3" s="26">
        <v>38.0</v>
      </c>
      <c r="K3" s="26" t="s">
        <v>74</v>
      </c>
      <c r="L3" s="28">
        <v>14.5</v>
      </c>
      <c r="M3" s="26" t="s">
        <v>77</v>
      </c>
      <c r="N3" s="26" t="str">
        <f t="shared" si="1"/>
        <v>Moderate</v>
      </c>
      <c r="O3" s="29" t="s">
        <v>97</v>
      </c>
      <c r="P3" s="30">
        <v>5.0</v>
      </c>
      <c r="Q3" s="26">
        <f t="shared" si="2"/>
        <v>3</v>
      </c>
      <c r="R3" s="26">
        <f t="shared" si="3"/>
        <v>4</v>
      </c>
      <c r="S3" s="30">
        <v>5.0</v>
      </c>
      <c r="T3" s="30">
        <v>5.0</v>
      </c>
      <c r="U3" s="30">
        <v>5.0</v>
      </c>
      <c r="V3" s="31">
        <f>ROUND((P3*'Scoring Model'!$C$4+Q3*'Scoring Model'!$C$5+R3*'Scoring Model'!$C$6+S3*'Scoring Model'!$C$7+T3*'Scoring Model'!$C$8+U3*'Scoring Model'!$C$9)/5*100,0)</f>
        <v>90</v>
      </c>
      <c r="W3" s="26" t="str">
        <f t="shared" si="4"/>
        <v>Critical</v>
      </c>
      <c r="X3" s="26" t="s">
        <v>63</v>
      </c>
      <c r="Y3" s="26" t="s">
        <v>141</v>
      </c>
      <c r="Z3" s="29" t="s">
        <v>142</v>
      </c>
    </row>
    <row r="4">
      <c r="A4" s="9" t="s">
        <v>172</v>
      </c>
      <c r="B4" s="11" t="s">
        <v>173</v>
      </c>
      <c r="C4" s="11" t="s">
        <v>31</v>
      </c>
      <c r="D4" s="11" t="s">
        <v>31</v>
      </c>
      <c r="E4" s="11" t="s">
        <v>60</v>
      </c>
      <c r="F4" s="11" t="s">
        <v>61</v>
      </c>
      <c r="G4" s="11" t="s">
        <v>150</v>
      </c>
      <c r="H4" s="14">
        <v>720.0</v>
      </c>
      <c r="I4" s="11" t="s">
        <v>71</v>
      </c>
      <c r="J4" s="11">
        <v>46.0</v>
      </c>
      <c r="K4" s="11" t="s">
        <v>74</v>
      </c>
      <c r="L4" s="15">
        <v>15.23</v>
      </c>
      <c r="M4" s="11" t="s">
        <v>77</v>
      </c>
      <c r="N4" s="11" t="str">
        <f t="shared" si="1"/>
        <v>Competitive</v>
      </c>
      <c r="O4" s="19" t="s">
        <v>97</v>
      </c>
      <c r="P4" s="21">
        <v>5.0</v>
      </c>
      <c r="Q4" s="11">
        <f t="shared" si="2"/>
        <v>4</v>
      </c>
      <c r="R4" s="11">
        <f t="shared" si="3"/>
        <v>3</v>
      </c>
      <c r="S4" s="21">
        <v>5.0</v>
      </c>
      <c r="T4" s="21">
        <v>5.0</v>
      </c>
      <c r="U4" s="21">
        <v>5.0</v>
      </c>
      <c r="V4" s="24">
        <f>ROUND((P4*'Scoring Model'!$C$4+Q4*'Scoring Model'!$C$5+R4*'Scoring Model'!$C$6+S4*'Scoring Model'!$C$7+T4*'Scoring Model'!$C$8+U4*'Scoring Model'!$C$9)/5*100,0)</f>
        <v>89</v>
      </c>
      <c r="W4" s="11" t="str">
        <f t="shared" si="4"/>
        <v>High</v>
      </c>
      <c r="X4" s="11" t="s">
        <v>63</v>
      </c>
      <c r="Y4" s="11" t="s">
        <v>141</v>
      </c>
      <c r="Z4" s="19" t="s">
        <v>142</v>
      </c>
    </row>
    <row r="5">
      <c r="A5" s="25" t="s">
        <v>189</v>
      </c>
      <c r="B5" s="26" t="s">
        <v>190</v>
      </c>
      <c r="C5" s="26" t="s">
        <v>31</v>
      </c>
      <c r="D5" s="26" t="s">
        <v>31</v>
      </c>
      <c r="E5" s="26" t="s">
        <v>120</v>
      </c>
      <c r="F5" s="26" t="s">
        <v>191</v>
      </c>
      <c r="G5" s="26" t="s">
        <v>150</v>
      </c>
      <c r="H5" s="27">
        <v>140.0</v>
      </c>
      <c r="I5" s="26" t="s">
        <v>71</v>
      </c>
      <c r="J5" s="26">
        <v>37.0</v>
      </c>
      <c r="K5" s="26" t="s">
        <v>74</v>
      </c>
      <c r="L5" s="28">
        <v>12.32</v>
      </c>
      <c r="M5" s="26" t="s">
        <v>77</v>
      </c>
      <c r="N5" s="26" t="str">
        <f t="shared" si="1"/>
        <v>Moderate</v>
      </c>
      <c r="O5" s="29" t="s">
        <v>97</v>
      </c>
      <c r="P5" s="30">
        <v>4.0</v>
      </c>
      <c r="Q5" s="26">
        <f t="shared" si="2"/>
        <v>2</v>
      </c>
      <c r="R5" s="26">
        <f t="shared" si="3"/>
        <v>4</v>
      </c>
      <c r="S5" s="30">
        <v>4.0</v>
      </c>
      <c r="T5" s="30">
        <v>3.0</v>
      </c>
      <c r="U5" s="30">
        <v>5.0</v>
      </c>
      <c r="V5" s="31">
        <f>ROUND((P5*'Scoring Model'!$C$4+Q5*'Scoring Model'!$C$5+R5*'Scoring Model'!$C$6+S5*'Scoring Model'!$C$7+T5*'Scoring Model'!$C$8+U5*'Scoring Model'!$C$9)/5*100,0)</f>
        <v>73</v>
      </c>
      <c r="W5" s="26" t="str">
        <f t="shared" si="4"/>
        <v>Medium</v>
      </c>
      <c r="X5" s="26" t="s">
        <v>63</v>
      </c>
      <c r="Y5" s="26" t="s">
        <v>141</v>
      </c>
      <c r="Z5" s="29" t="s">
        <v>249</v>
      </c>
    </row>
    <row r="6">
      <c r="A6" s="9" t="s">
        <v>253</v>
      </c>
      <c r="B6" s="11" t="s">
        <v>256</v>
      </c>
      <c r="C6" s="11" t="s">
        <v>31</v>
      </c>
      <c r="D6" s="11" t="s">
        <v>31</v>
      </c>
      <c r="E6" s="11" t="s">
        <v>60</v>
      </c>
      <c r="F6" s="11" t="s">
        <v>61</v>
      </c>
      <c r="G6" s="11" t="s">
        <v>150</v>
      </c>
      <c r="H6" s="14">
        <v>170.0</v>
      </c>
      <c r="I6" s="11" t="s">
        <v>71</v>
      </c>
      <c r="J6" s="11">
        <v>36.0</v>
      </c>
      <c r="K6" s="11" t="s">
        <v>74</v>
      </c>
      <c r="L6" s="15">
        <v>11.6</v>
      </c>
      <c r="M6" s="11" t="s">
        <v>77</v>
      </c>
      <c r="N6" s="11" t="str">
        <f t="shared" si="1"/>
        <v>Moderate</v>
      </c>
      <c r="O6" s="19" t="s">
        <v>97</v>
      </c>
      <c r="P6" s="21">
        <v>5.0</v>
      </c>
      <c r="Q6" s="11">
        <f t="shared" si="2"/>
        <v>3</v>
      </c>
      <c r="R6" s="11">
        <f t="shared" si="3"/>
        <v>4</v>
      </c>
      <c r="S6" s="21">
        <v>5.0</v>
      </c>
      <c r="T6" s="21">
        <v>4.0</v>
      </c>
      <c r="U6" s="21">
        <v>5.0</v>
      </c>
      <c r="V6" s="24">
        <f>ROUND((P6*'Scoring Model'!$C$4+Q6*'Scoring Model'!$C$5+R6*'Scoring Model'!$C$6+S6*'Scoring Model'!$C$7+T6*'Scoring Model'!$C$8+U6*'Scoring Model'!$C$9)/5*100,0)</f>
        <v>87</v>
      </c>
      <c r="W6" s="11" t="str">
        <f t="shared" si="4"/>
        <v>High</v>
      </c>
      <c r="X6" s="11" t="s">
        <v>63</v>
      </c>
      <c r="Y6" s="11" t="s">
        <v>141</v>
      </c>
      <c r="Z6" s="19" t="s">
        <v>142</v>
      </c>
    </row>
    <row r="7">
      <c r="A7" s="25" t="s">
        <v>98</v>
      </c>
      <c r="B7" s="26" t="s">
        <v>280</v>
      </c>
      <c r="C7" s="26" t="s">
        <v>31</v>
      </c>
      <c r="D7" s="26" t="s">
        <v>96</v>
      </c>
      <c r="E7" s="26" t="s">
        <v>95</v>
      </c>
      <c r="F7" s="26" t="s">
        <v>100</v>
      </c>
      <c r="G7" s="26" t="s">
        <v>62</v>
      </c>
      <c r="H7" s="27">
        <v>1050.0</v>
      </c>
      <c r="I7" s="26" t="s">
        <v>71</v>
      </c>
      <c r="J7" s="26">
        <v>26.0</v>
      </c>
      <c r="K7" s="26" t="s">
        <v>74</v>
      </c>
      <c r="L7" s="28">
        <v>3.62</v>
      </c>
      <c r="M7" s="26" t="s">
        <v>77</v>
      </c>
      <c r="N7" s="26" t="str">
        <f t="shared" si="1"/>
        <v>Moderate</v>
      </c>
      <c r="O7" s="29" t="s">
        <v>282</v>
      </c>
      <c r="P7" s="30">
        <v>3.0</v>
      </c>
      <c r="Q7" s="26">
        <f t="shared" si="2"/>
        <v>5</v>
      </c>
      <c r="R7" s="26">
        <f t="shared" si="3"/>
        <v>4</v>
      </c>
      <c r="S7" s="30">
        <v>1.0</v>
      </c>
      <c r="T7" s="30">
        <v>1.0</v>
      </c>
      <c r="U7" s="30">
        <v>5.0</v>
      </c>
      <c r="V7" s="31">
        <f>ROUND((P7*'Scoring Model'!$C$4+Q7*'Scoring Model'!$C$5+R7*'Scoring Model'!$C$6+S7*'Scoring Model'!$C$7+T7*'Scoring Model'!$C$8+U7*'Scoring Model'!$C$9)/5*100,0)</f>
        <v>62</v>
      </c>
      <c r="W7" s="26" t="str">
        <f t="shared" si="4"/>
        <v>Medium</v>
      </c>
      <c r="X7" s="26" t="s">
        <v>101</v>
      </c>
      <c r="Y7" s="26" t="s">
        <v>293</v>
      </c>
      <c r="Z7" s="29" t="s">
        <v>294</v>
      </c>
    </row>
    <row r="8">
      <c r="A8" s="9" t="s">
        <v>295</v>
      </c>
      <c r="B8" s="11" t="s">
        <v>56</v>
      </c>
      <c r="C8" s="11" t="s">
        <v>31</v>
      </c>
      <c r="D8" s="11" t="s">
        <v>31</v>
      </c>
      <c r="E8" s="11" t="s">
        <v>60</v>
      </c>
      <c r="F8" s="11" t="s">
        <v>61</v>
      </c>
      <c r="G8" s="11" t="s">
        <v>150</v>
      </c>
      <c r="H8" s="14">
        <v>90.0</v>
      </c>
      <c r="I8" s="11" t="s">
        <v>71</v>
      </c>
      <c r="J8" s="11">
        <v>36.0</v>
      </c>
      <c r="K8" s="11" t="s">
        <v>74</v>
      </c>
      <c r="L8" s="15">
        <v>15.2</v>
      </c>
      <c r="M8" s="11" t="s">
        <v>77</v>
      </c>
      <c r="N8" s="11" t="str">
        <f t="shared" si="1"/>
        <v>Moderate</v>
      </c>
      <c r="O8" s="19" t="s">
        <v>97</v>
      </c>
      <c r="P8" s="21">
        <v>5.0</v>
      </c>
      <c r="Q8" s="11">
        <f t="shared" si="2"/>
        <v>2</v>
      </c>
      <c r="R8" s="11">
        <f t="shared" si="3"/>
        <v>4</v>
      </c>
      <c r="S8" s="21">
        <v>5.0</v>
      </c>
      <c r="T8" s="21">
        <v>5.0</v>
      </c>
      <c r="U8" s="21">
        <v>5.0</v>
      </c>
      <c r="V8" s="24">
        <f>ROUND((P8*'Scoring Model'!$C$4+Q8*'Scoring Model'!$C$5+R8*'Scoring Model'!$C$6+S8*'Scoring Model'!$C$7+T8*'Scoring Model'!$C$8+U8*'Scoring Model'!$C$9)/5*100,0)</f>
        <v>87</v>
      </c>
      <c r="W8" s="11" t="str">
        <f t="shared" si="4"/>
        <v>High</v>
      </c>
      <c r="X8" s="11" t="s">
        <v>63</v>
      </c>
      <c r="Y8" s="11" t="s">
        <v>141</v>
      </c>
      <c r="Z8" s="19" t="s">
        <v>303</v>
      </c>
    </row>
    <row r="9">
      <c r="A9" s="25" t="s">
        <v>304</v>
      </c>
      <c r="B9" s="26" t="s">
        <v>173</v>
      </c>
      <c r="C9" s="26" t="s">
        <v>31</v>
      </c>
      <c r="D9" s="26" t="s">
        <v>31</v>
      </c>
      <c r="E9" s="26" t="s">
        <v>60</v>
      </c>
      <c r="F9" s="26" t="s">
        <v>61</v>
      </c>
      <c r="G9" s="26" t="s">
        <v>150</v>
      </c>
      <c r="H9" s="27">
        <v>320.0</v>
      </c>
      <c r="I9" s="26" t="s">
        <v>71</v>
      </c>
      <c r="J9" s="26">
        <v>44.0</v>
      </c>
      <c r="K9" s="26" t="s">
        <v>74</v>
      </c>
      <c r="L9" s="28">
        <v>15.8</v>
      </c>
      <c r="M9" s="26" t="s">
        <v>77</v>
      </c>
      <c r="N9" s="26" t="str">
        <f t="shared" si="1"/>
        <v>Competitive</v>
      </c>
      <c r="O9" s="29" t="s">
        <v>97</v>
      </c>
      <c r="P9" s="30">
        <v>5.0</v>
      </c>
      <c r="Q9" s="26">
        <f t="shared" si="2"/>
        <v>3</v>
      </c>
      <c r="R9" s="26">
        <f t="shared" si="3"/>
        <v>3</v>
      </c>
      <c r="S9" s="30">
        <v>5.0</v>
      </c>
      <c r="T9" s="30">
        <v>5.0</v>
      </c>
      <c r="U9" s="30">
        <v>5.0</v>
      </c>
      <c r="V9" s="31">
        <f>ROUND((P9*'Scoring Model'!$C$4+Q9*'Scoring Model'!$C$5+R9*'Scoring Model'!$C$6+S9*'Scoring Model'!$C$7+T9*'Scoring Model'!$C$8+U9*'Scoring Model'!$C$9)/5*100,0)</f>
        <v>86</v>
      </c>
      <c r="W9" s="26" t="str">
        <f t="shared" si="4"/>
        <v>High</v>
      </c>
      <c r="X9" s="26" t="s">
        <v>63</v>
      </c>
      <c r="Y9" s="26" t="s">
        <v>141</v>
      </c>
      <c r="Z9" s="29" t="s">
        <v>142</v>
      </c>
    </row>
    <row r="10">
      <c r="A10" s="9" t="s">
        <v>315</v>
      </c>
      <c r="B10" s="11" t="s">
        <v>280</v>
      </c>
      <c r="C10" s="11" t="s">
        <v>31</v>
      </c>
      <c r="D10" s="11" t="s">
        <v>96</v>
      </c>
      <c r="E10" s="11" t="s">
        <v>95</v>
      </c>
      <c r="F10" s="11" t="s">
        <v>100</v>
      </c>
      <c r="G10" s="11" t="s">
        <v>150</v>
      </c>
      <c r="H10" s="14">
        <v>1900.0</v>
      </c>
      <c r="I10" s="11" t="s">
        <v>71</v>
      </c>
      <c r="J10" s="11">
        <v>45.0</v>
      </c>
      <c r="K10" s="11" t="s">
        <v>74</v>
      </c>
      <c r="L10" s="15">
        <v>2.1</v>
      </c>
      <c r="M10" s="11" t="s">
        <v>77</v>
      </c>
      <c r="N10" s="11" t="str">
        <f t="shared" si="1"/>
        <v>Competitive</v>
      </c>
      <c r="O10" s="19" t="s">
        <v>282</v>
      </c>
      <c r="P10" s="21">
        <v>3.0</v>
      </c>
      <c r="Q10" s="11">
        <f t="shared" si="2"/>
        <v>5</v>
      </c>
      <c r="R10" s="11">
        <f t="shared" si="3"/>
        <v>3</v>
      </c>
      <c r="S10" s="21">
        <v>1.0</v>
      </c>
      <c r="T10" s="21">
        <v>1.0</v>
      </c>
      <c r="U10" s="21">
        <v>5.0</v>
      </c>
      <c r="V10" s="24">
        <f>ROUND((P10*'Scoring Model'!$C$4+Q10*'Scoring Model'!$C$5+R10*'Scoring Model'!$C$6+S10*'Scoring Model'!$C$7+T10*'Scoring Model'!$C$8+U10*'Scoring Model'!$C$9)/5*100,0)</f>
        <v>58</v>
      </c>
      <c r="W10" s="11" t="str">
        <f t="shared" si="4"/>
        <v>Low</v>
      </c>
      <c r="X10" s="11" t="s">
        <v>101</v>
      </c>
      <c r="Y10" s="11" t="s">
        <v>293</v>
      </c>
      <c r="Z10" s="19" t="s">
        <v>294</v>
      </c>
    </row>
    <row r="11">
      <c r="A11" s="25" t="s">
        <v>328</v>
      </c>
      <c r="B11" s="26" t="s">
        <v>280</v>
      </c>
      <c r="C11" s="26" t="s">
        <v>31</v>
      </c>
      <c r="D11" s="26" t="s">
        <v>96</v>
      </c>
      <c r="E11" s="26" t="s">
        <v>95</v>
      </c>
      <c r="F11" s="26" t="s">
        <v>100</v>
      </c>
      <c r="G11" s="26" t="s">
        <v>150</v>
      </c>
      <c r="H11" s="27">
        <v>880.0</v>
      </c>
      <c r="I11" s="26" t="s">
        <v>71</v>
      </c>
      <c r="J11" s="26">
        <v>38.0</v>
      </c>
      <c r="K11" s="26" t="s">
        <v>74</v>
      </c>
      <c r="L11" s="28">
        <v>1.9</v>
      </c>
      <c r="M11" s="26" t="s">
        <v>77</v>
      </c>
      <c r="N11" s="26" t="str">
        <f t="shared" si="1"/>
        <v>Moderate</v>
      </c>
      <c r="O11" s="29" t="s">
        <v>282</v>
      </c>
      <c r="P11" s="30">
        <v>3.0</v>
      </c>
      <c r="Q11" s="26">
        <f t="shared" si="2"/>
        <v>4</v>
      </c>
      <c r="R11" s="26">
        <f t="shared" si="3"/>
        <v>4</v>
      </c>
      <c r="S11" s="30">
        <v>1.0</v>
      </c>
      <c r="T11" s="30">
        <v>1.0</v>
      </c>
      <c r="U11" s="30">
        <v>5.0</v>
      </c>
      <c r="V11" s="31">
        <f>ROUND((P11*'Scoring Model'!$C$4+Q11*'Scoring Model'!$C$5+R11*'Scoring Model'!$C$6+S11*'Scoring Model'!$C$7+T11*'Scoring Model'!$C$8+U11*'Scoring Model'!$C$9)/5*100,0)</f>
        <v>59</v>
      </c>
      <c r="W11" s="26" t="str">
        <f t="shared" si="4"/>
        <v>Low</v>
      </c>
      <c r="X11" s="26" t="s">
        <v>101</v>
      </c>
      <c r="Y11" s="26" t="s">
        <v>293</v>
      </c>
      <c r="Z11" s="29" t="s">
        <v>294</v>
      </c>
    </row>
    <row r="12">
      <c r="A12" s="9" t="s">
        <v>338</v>
      </c>
      <c r="B12" s="11" t="s">
        <v>280</v>
      </c>
      <c r="C12" s="11" t="s">
        <v>31</v>
      </c>
      <c r="D12" s="11" t="s">
        <v>96</v>
      </c>
      <c r="E12" s="11" t="s">
        <v>95</v>
      </c>
      <c r="F12" s="11" t="s">
        <v>100</v>
      </c>
      <c r="G12" s="11" t="s">
        <v>150</v>
      </c>
      <c r="H12" s="14">
        <v>590.0</v>
      </c>
      <c r="I12" s="11" t="s">
        <v>71</v>
      </c>
      <c r="J12" s="11">
        <v>34.0</v>
      </c>
      <c r="K12" s="11" t="s">
        <v>74</v>
      </c>
      <c r="L12" s="15">
        <v>2.4</v>
      </c>
      <c r="M12" s="11" t="s">
        <v>77</v>
      </c>
      <c r="N12" s="11" t="str">
        <f t="shared" si="1"/>
        <v>Moderate</v>
      </c>
      <c r="O12" s="19" t="s">
        <v>282</v>
      </c>
      <c r="P12" s="21">
        <v>3.0</v>
      </c>
      <c r="Q12" s="11">
        <f t="shared" si="2"/>
        <v>4</v>
      </c>
      <c r="R12" s="11">
        <f t="shared" si="3"/>
        <v>4</v>
      </c>
      <c r="S12" s="21">
        <v>1.0</v>
      </c>
      <c r="T12" s="21">
        <v>1.0</v>
      </c>
      <c r="U12" s="21">
        <v>5.0</v>
      </c>
      <c r="V12" s="24">
        <f>ROUND((P12*'Scoring Model'!$C$4+Q12*'Scoring Model'!$C$5+R12*'Scoring Model'!$C$6+S12*'Scoring Model'!$C$7+T12*'Scoring Model'!$C$8+U12*'Scoring Model'!$C$9)/5*100,0)</f>
        <v>59</v>
      </c>
      <c r="W12" s="11" t="str">
        <f t="shared" si="4"/>
        <v>Low</v>
      </c>
      <c r="X12" s="11" t="s">
        <v>101</v>
      </c>
      <c r="Y12" s="11" t="s">
        <v>293</v>
      </c>
      <c r="Z12" s="19" t="s">
        <v>294</v>
      </c>
    </row>
    <row r="13">
      <c r="A13" s="25" t="s">
        <v>353</v>
      </c>
      <c r="B13" s="26" t="s">
        <v>280</v>
      </c>
      <c r="C13" s="26" t="s">
        <v>31</v>
      </c>
      <c r="D13" s="26" t="s">
        <v>96</v>
      </c>
      <c r="E13" s="26" t="s">
        <v>95</v>
      </c>
      <c r="F13" s="26" t="s">
        <v>100</v>
      </c>
      <c r="G13" s="26" t="s">
        <v>150</v>
      </c>
      <c r="H13" s="27">
        <v>1000.0</v>
      </c>
      <c r="I13" s="26" t="s">
        <v>71</v>
      </c>
      <c r="J13" s="26">
        <v>36.0</v>
      </c>
      <c r="K13" s="26" t="s">
        <v>74</v>
      </c>
      <c r="L13" s="28">
        <v>1.8</v>
      </c>
      <c r="M13" s="26" t="s">
        <v>77</v>
      </c>
      <c r="N13" s="26" t="str">
        <f t="shared" si="1"/>
        <v>Moderate</v>
      </c>
      <c r="O13" s="29" t="s">
        <v>282</v>
      </c>
      <c r="P13" s="30">
        <v>3.0</v>
      </c>
      <c r="Q13" s="26">
        <f t="shared" si="2"/>
        <v>5</v>
      </c>
      <c r="R13" s="26">
        <f t="shared" si="3"/>
        <v>4</v>
      </c>
      <c r="S13" s="30">
        <v>1.0</v>
      </c>
      <c r="T13" s="30">
        <v>1.0</v>
      </c>
      <c r="U13" s="30">
        <v>5.0</v>
      </c>
      <c r="V13" s="31">
        <f>ROUND((P13*'Scoring Model'!$C$4+Q13*'Scoring Model'!$C$5+R13*'Scoring Model'!$C$6+S13*'Scoring Model'!$C$7+T13*'Scoring Model'!$C$8+U13*'Scoring Model'!$C$9)/5*100,0)</f>
        <v>62</v>
      </c>
      <c r="W13" s="26" t="str">
        <f t="shared" si="4"/>
        <v>Medium</v>
      </c>
      <c r="X13" s="26" t="s">
        <v>101</v>
      </c>
      <c r="Y13" s="26" t="s">
        <v>293</v>
      </c>
      <c r="Z13" s="29" t="s">
        <v>294</v>
      </c>
    </row>
    <row r="14">
      <c r="A14" s="9" t="s">
        <v>370</v>
      </c>
      <c r="B14" s="11" t="s">
        <v>371</v>
      </c>
      <c r="C14" s="11" t="s">
        <v>31</v>
      </c>
      <c r="D14" s="11" t="s">
        <v>96</v>
      </c>
      <c r="E14" s="11" t="s">
        <v>95</v>
      </c>
      <c r="F14" s="11" t="s">
        <v>100</v>
      </c>
      <c r="G14" s="11" t="s">
        <v>150</v>
      </c>
      <c r="H14" s="14">
        <v>720.0</v>
      </c>
      <c r="I14" s="11" t="s">
        <v>71</v>
      </c>
      <c r="J14" s="11">
        <v>34.0</v>
      </c>
      <c r="K14" s="11" t="s">
        <v>74</v>
      </c>
      <c r="L14" s="15">
        <v>2.8</v>
      </c>
      <c r="M14" s="11" t="s">
        <v>77</v>
      </c>
      <c r="N14" s="11" t="str">
        <f t="shared" si="1"/>
        <v>Moderate</v>
      </c>
      <c r="O14" s="19" t="s">
        <v>282</v>
      </c>
      <c r="P14" s="21">
        <v>3.0</v>
      </c>
      <c r="Q14" s="11">
        <f t="shared" si="2"/>
        <v>4</v>
      </c>
      <c r="R14" s="11">
        <f t="shared" si="3"/>
        <v>4</v>
      </c>
      <c r="S14" s="21">
        <v>2.0</v>
      </c>
      <c r="T14" s="21">
        <v>2.0</v>
      </c>
      <c r="U14" s="21">
        <v>5.0</v>
      </c>
      <c r="V14" s="24">
        <f>ROUND((P14*'Scoring Model'!$C$4+Q14*'Scoring Model'!$C$5+R14*'Scoring Model'!$C$6+S14*'Scoring Model'!$C$7+T14*'Scoring Model'!$C$8+U14*'Scoring Model'!$C$9)/5*100,0)</f>
        <v>65</v>
      </c>
      <c r="W14" s="11" t="str">
        <f t="shared" si="4"/>
        <v>Medium</v>
      </c>
      <c r="X14" s="11" t="s">
        <v>101</v>
      </c>
      <c r="Y14" s="11" t="s">
        <v>293</v>
      </c>
      <c r="Z14" s="19" t="s">
        <v>294</v>
      </c>
    </row>
    <row r="15">
      <c r="A15" s="25" t="s">
        <v>104</v>
      </c>
      <c r="B15" s="26" t="s">
        <v>56</v>
      </c>
      <c r="C15" s="26" t="s">
        <v>103</v>
      </c>
      <c r="D15" s="26" t="s">
        <v>103</v>
      </c>
      <c r="E15" s="26" t="s">
        <v>60</v>
      </c>
      <c r="F15" s="26" t="s">
        <v>61</v>
      </c>
      <c r="G15" s="26" t="s">
        <v>62</v>
      </c>
      <c r="H15" s="27">
        <v>720.0</v>
      </c>
      <c r="I15" s="26" t="s">
        <v>71</v>
      </c>
      <c r="J15" s="26">
        <v>38.0</v>
      </c>
      <c r="K15" s="26" t="s">
        <v>74</v>
      </c>
      <c r="L15" s="28">
        <v>11.8</v>
      </c>
      <c r="M15" s="26" t="s">
        <v>77</v>
      </c>
      <c r="N15" s="26" t="str">
        <f t="shared" si="1"/>
        <v>Moderate</v>
      </c>
      <c r="O15" s="29" t="s">
        <v>97</v>
      </c>
      <c r="P15" s="30">
        <v>5.0</v>
      </c>
      <c r="Q15" s="26">
        <f t="shared" si="2"/>
        <v>4</v>
      </c>
      <c r="R15" s="26">
        <f t="shared" si="3"/>
        <v>4</v>
      </c>
      <c r="S15" s="30">
        <v>5.0</v>
      </c>
      <c r="T15" s="30">
        <v>5.0</v>
      </c>
      <c r="U15" s="30">
        <v>5.0</v>
      </c>
      <c r="V15" s="31">
        <f>ROUND((P15*'Scoring Model'!$C$4+Q15*'Scoring Model'!$C$5+R15*'Scoring Model'!$C$6+S15*'Scoring Model'!$C$7+T15*'Scoring Model'!$C$8+U15*'Scoring Model'!$C$9)/5*100,0)</f>
        <v>93</v>
      </c>
      <c r="W15" s="26" t="str">
        <f t="shared" si="4"/>
        <v>Critical</v>
      </c>
      <c r="X15" s="26" t="s">
        <v>108</v>
      </c>
      <c r="Y15" s="26" t="s">
        <v>141</v>
      </c>
      <c r="Z15" s="29" t="s">
        <v>142</v>
      </c>
    </row>
    <row r="16">
      <c r="A16" s="9" t="s">
        <v>404</v>
      </c>
      <c r="B16" s="11" t="s">
        <v>56</v>
      </c>
      <c r="C16" s="11" t="s">
        <v>103</v>
      </c>
      <c r="D16" s="11" t="s">
        <v>103</v>
      </c>
      <c r="E16" s="11" t="s">
        <v>60</v>
      </c>
      <c r="F16" s="11" t="s">
        <v>61</v>
      </c>
      <c r="G16" s="11" t="s">
        <v>150</v>
      </c>
      <c r="H16" s="14">
        <v>320.0</v>
      </c>
      <c r="I16" s="11" t="s">
        <v>71</v>
      </c>
      <c r="J16" s="11">
        <v>36.0</v>
      </c>
      <c r="K16" s="11" t="s">
        <v>74</v>
      </c>
      <c r="L16" s="15">
        <v>11.8</v>
      </c>
      <c r="M16" s="11" t="s">
        <v>77</v>
      </c>
      <c r="N16" s="11" t="str">
        <f t="shared" si="1"/>
        <v>Moderate</v>
      </c>
      <c r="O16" s="19" t="s">
        <v>97</v>
      </c>
      <c r="P16" s="21">
        <v>5.0</v>
      </c>
      <c r="Q16" s="11">
        <f t="shared" si="2"/>
        <v>3</v>
      </c>
      <c r="R16" s="11">
        <f t="shared" si="3"/>
        <v>4</v>
      </c>
      <c r="S16" s="21">
        <v>5.0</v>
      </c>
      <c r="T16" s="21">
        <v>5.0</v>
      </c>
      <c r="U16" s="21">
        <v>5.0</v>
      </c>
      <c r="V16" s="24">
        <f>ROUND((P16*'Scoring Model'!$C$4+Q16*'Scoring Model'!$C$5+R16*'Scoring Model'!$C$6+S16*'Scoring Model'!$C$7+T16*'Scoring Model'!$C$8+U16*'Scoring Model'!$C$9)/5*100,0)</f>
        <v>90</v>
      </c>
      <c r="W16" s="11" t="str">
        <f t="shared" si="4"/>
        <v>Critical</v>
      </c>
      <c r="X16" s="11" t="s">
        <v>108</v>
      </c>
      <c r="Y16" s="11" t="s">
        <v>141</v>
      </c>
      <c r="Z16" s="19" t="s">
        <v>142</v>
      </c>
    </row>
    <row r="17">
      <c r="A17" s="25" t="s">
        <v>423</v>
      </c>
      <c r="B17" s="26" t="s">
        <v>173</v>
      </c>
      <c r="C17" s="26" t="s">
        <v>103</v>
      </c>
      <c r="D17" s="26" t="s">
        <v>103</v>
      </c>
      <c r="E17" s="26" t="s">
        <v>60</v>
      </c>
      <c r="F17" s="26" t="s">
        <v>61</v>
      </c>
      <c r="G17" s="26" t="s">
        <v>150</v>
      </c>
      <c r="H17" s="27">
        <v>1100.0</v>
      </c>
      <c r="I17" s="26" t="s">
        <v>71</v>
      </c>
      <c r="J17" s="26">
        <v>44.0</v>
      </c>
      <c r="K17" s="26" t="s">
        <v>74</v>
      </c>
      <c r="L17" s="28">
        <v>12.39</v>
      </c>
      <c r="M17" s="26" t="s">
        <v>77</v>
      </c>
      <c r="N17" s="26" t="str">
        <f t="shared" si="1"/>
        <v>Competitive</v>
      </c>
      <c r="O17" s="29" t="s">
        <v>97</v>
      </c>
      <c r="P17" s="30">
        <v>5.0</v>
      </c>
      <c r="Q17" s="26">
        <f t="shared" si="2"/>
        <v>5</v>
      </c>
      <c r="R17" s="26">
        <f t="shared" si="3"/>
        <v>3</v>
      </c>
      <c r="S17" s="30">
        <v>5.0</v>
      </c>
      <c r="T17" s="30">
        <v>5.0</v>
      </c>
      <c r="U17" s="30">
        <v>5.0</v>
      </c>
      <c r="V17" s="31">
        <f>ROUND((P17*'Scoring Model'!$C$4+Q17*'Scoring Model'!$C$5+R17*'Scoring Model'!$C$6+S17*'Scoring Model'!$C$7+T17*'Scoring Model'!$C$8+U17*'Scoring Model'!$C$9)/5*100,0)</f>
        <v>92</v>
      </c>
      <c r="W17" s="26" t="str">
        <f t="shared" si="4"/>
        <v>Critical</v>
      </c>
      <c r="X17" s="26" t="s">
        <v>108</v>
      </c>
      <c r="Y17" s="26" t="s">
        <v>141</v>
      </c>
      <c r="Z17" s="29" t="s">
        <v>142</v>
      </c>
    </row>
    <row r="18">
      <c r="A18" s="9" t="s">
        <v>442</v>
      </c>
      <c r="B18" s="11" t="s">
        <v>190</v>
      </c>
      <c r="C18" s="11" t="s">
        <v>103</v>
      </c>
      <c r="D18" s="11" t="s">
        <v>103</v>
      </c>
      <c r="E18" s="11" t="s">
        <v>120</v>
      </c>
      <c r="F18" s="11" t="s">
        <v>191</v>
      </c>
      <c r="G18" s="11" t="s">
        <v>150</v>
      </c>
      <c r="H18" s="14">
        <v>220.0</v>
      </c>
      <c r="I18" s="11" t="s">
        <v>71</v>
      </c>
      <c r="J18" s="11">
        <v>35.0</v>
      </c>
      <c r="K18" s="11" t="s">
        <v>74</v>
      </c>
      <c r="L18" s="15">
        <v>10.03</v>
      </c>
      <c r="M18" s="11" t="s">
        <v>77</v>
      </c>
      <c r="N18" s="11" t="str">
        <f t="shared" si="1"/>
        <v>Moderate</v>
      </c>
      <c r="O18" s="19" t="s">
        <v>97</v>
      </c>
      <c r="P18" s="21">
        <v>4.0</v>
      </c>
      <c r="Q18" s="11">
        <f t="shared" si="2"/>
        <v>3</v>
      </c>
      <c r="R18" s="11">
        <f t="shared" si="3"/>
        <v>4</v>
      </c>
      <c r="S18" s="21">
        <v>4.0</v>
      </c>
      <c r="T18" s="21">
        <v>3.0</v>
      </c>
      <c r="U18" s="21">
        <v>5.0</v>
      </c>
      <c r="V18" s="24">
        <f>ROUND((P18*'Scoring Model'!$C$4+Q18*'Scoring Model'!$C$5+R18*'Scoring Model'!$C$6+S18*'Scoring Model'!$C$7+T18*'Scoring Model'!$C$8+U18*'Scoring Model'!$C$9)/5*100,0)</f>
        <v>76</v>
      </c>
      <c r="W18" s="11" t="str">
        <f t="shared" si="4"/>
        <v>High</v>
      </c>
      <c r="X18" s="11" t="s">
        <v>108</v>
      </c>
      <c r="Y18" s="11" t="s">
        <v>141</v>
      </c>
      <c r="Z18" s="19" t="s">
        <v>249</v>
      </c>
    </row>
    <row r="19">
      <c r="A19" s="25" t="s">
        <v>463</v>
      </c>
      <c r="B19" s="26" t="s">
        <v>256</v>
      </c>
      <c r="C19" s="26" t="s">
        <v>103</v>
      </c>
      <c r="D19" s="26" t="s">
        <v>103</v>
      </c>
      <c r="E19" s="26" t="s">
        <v>60</v>
      </c>
      <c r="F19" s="26" t="s">
        <v>61</v>
      </c>
      <c r="G19" s="26" t="s">
        <v>150</v>
      </c>
      <c r="H19" s="27">
        <v>250.0</v>
      </c>
      <c r="I19" s="26" t="s">
        <v>71</v>
      </c>
      <c r="J19" s="26">
        <v>34.0</v>
      </c>
      <c r="K19" s="26" t="s">
        <v>74</v>
      </c>
      <c r="L19" s="28">
        <v>9.44</v>
      </c>
      <c r="M19" s="26" t="s">
        <v>77</v>
      </c>
      <c r="N19" s="26" t="str">
        <f t="shared" si="1"/>
        <v>Moderate</v>
      </c>
      <c r="O19" s="29" t="s">
        <v>97</v>
      </c>
      <c r="P19" s="30">
        <v>5.0</v>
      </c>
      <c r="Q19" s="26">
        <f t="shared" si="2"/>
        <v>3</v>
      </c>
      <c r="R19" s="26">
        <f t="shared" si="3"/>
        <v>4</v>
      </c>
      <c r="S19" s="30">
        <v>5.0</v>
      </c>
      <c r="T19" s="30">
        <v>4.0</v>
      </c>
      <c r="U19" s="30">
        <v>5.0</v>
      </c>
      <c r="V19" s="31">
        <f>ROUND((P19*'Scoring Model'!$C$4+Q19*'Scoring Model'!$C$5+R19*'Scoring Model'!$C$6+S19*'Scoring Model'!$C$7+T19*'Scoring Model'!$C$8+U19*'Scoring Model'!$C$9)/5*100,0)</f>
        <v>87</v>
      </c>
      <c r="W19" s="26" t="str">
        <f t="shared" si="4"/>
        <v>High</v>
      </c>
      <c r="X19" s="26" t="s">
        <v>108</v>
      </c>
      <c r="Y19" s="26" t="s">
        <v>141</v>
      </c>
      <c r="Z19" s="29" t="s">
        <v>142</v>
      </c>
    </row>
    <row r="20">
      <c r="A20" s="9" t="s">
        <v>473</v>
      </c>
      <c r="B20" s="11" t="s">
        <v>56</v>
      </c>
      <c r="C20" s="11" t="s">
        <v>103</v>
      </c>
      <c r="D20" s="11" t="s">
        <v>103</v>
      </c>
      <c r="E20" s="11" t="s">
        <v>60</v>
      </c>
      <c r="F20" s="11" t="s">
        <v>61</v>
      </c>
      <c r="G20" s="11" t="s">
        <v>150</v>
      </c>
      <c r="H20" s="14">
        <v>260.0</v>
      </c>
      <c r="I20" s="11" t="s">
        <v>71</v>
      </c>
      <c r="J20" s="11">
        <v>40.0</v>
      </c>
      <c r="K20" s="11" t="s">
        <v>74</v>
      </c>
      <c r="L20" s="15">
        <v>12.4</v>
      </c>
      <c r="M20" s="11" t="s">
        <v>77</v>
      </c>
      <c r="N20" s="11" t="str">
        <f t="shared" si="1"/>
        <v>Moderate</v>
      </c>
      <c r="O20" s="19" t="s">
        <v>97</v>
      </c>
      <c r="P20" s="21">
        <v>5.0</v>
      </c>
      <c r="Q20" s="11">
        <f t="shared" si="2"/>
        <v>3</v>
      </c>
      <c r="R20" s="11">
        <f t="shared" si="3"/>
        <v>4</v>
      </c>
      <c r="S20" s="21">
        <v>5.0</v>
      </c>
      <c r="T20" s="21">
        <v>5.0</v>
      </c>
      <c r="U20" s="21">
        <v>5.0</v>
      </c>
      <c r="V20" s="24">
        <f>ROUND((P20*'Scoring Model'!$C$4+Q20*'Scoring Model'!$C$5+R20*'Scoring Model'!$C$6+S20*'Scoring Model'!$C$7+T20*'Scoring Model'!$C$8+U20*'Scoring Model'!$C$9)/5*100,0)</f>
        <v>90</v>
      </c>
      <c r="W20" s="11" t="str">
        <f t="shared" si="4"/>
        <v>Critical</v>
      </c>
      <c r="X20" s="11" t="s">
        <v>108</v>
      </c>
      <c r="Y20" s="11" t="s">
        <v>141</v>
      </c>
      <c r="Z20" s="19" t="s">
        <v>303</v>
      </c>
    </row>
    <row r="21" ht="15.75" customHeight="1">
      <c r="A21" s="25" t="s">
        <v>493</v>
      </c>
      <c r="B21" s="26" t="s">
        <v>56</v>
      </c>
      <c r="C21" s="26" t="s">
        <v>103</v>
      </c>
      <c r="D21" s="26" t="s">
        <v>103</v>
      </c>
      <c r="E21" s="26" t="s">
        <v>60</v>
      </c>
      <c r="F21" s="26" t="s">
        <v>61</v>
      </c>
      <c r="G21" s="26" t="s">
        <v>150</v>
      </c>
      <c r="H21" s="27">
        <v>210.0</v>
      </c>
      <c r="I21" s="26" t="s">
        <v>71</v>
      </c>
      <c r="J21" s="26">
        <v>34.0</v>
      </c>
      <c r="K21" s="26" t="s">
        <v>74</v>
      </c>
      <c r="L21" s="28">
        <v>13.1</v>
      </c>
      <c r="M21" s="26" t="s">
        <v>77</v>
      </c>
      <c r="N21" s="26" t="str">
        <f t="shared" si="1"/>
        <v>Moderate</v>
      </c>
      <c r="O21" s="29" t="s">
        <v>97</v>
      </c>
      <c r="P21" s="30">
        <v>5.0</v>
      </c>
      <c r="Q21" s="26">
        <f t="shared" si="2"/>
        <v>3</v>
      </c>
      <c r="R21" s="26">
        <f t="shared" si="3"/>
        <v>4</v>
      </c>
      <c r="S21" s="30">
        <v>5.0</v>
      </c>
      <c r="T21" s="30">
        <v>5.0</v>
      </c>
      <c r="U21" s="30">
        <v>5.0</v>
      </c>
      <c r="V21" s="31">
        <f>ROUND((P21*'Scoring Model'!$C$4+Q21*'Scoring Model'!$C$5+R21*'Scoring Model'!$C$6+S21*'Scoring Model'!$C$7+T21*'Scoring Model'!$C$8+U21*'Scoring Model'!$C$9)/5*100,0)</f>
        <v>90</v>
      </c>
      <c r="W21" s="26" t="str">
        <f t="shared" si="4"/>
        <v>Critical</v>
      </c>
      <c r="X21" s="26" t="s">
        <v>108</v>
      </c>
      <c r="Y21" s="26" t="s">
        <v>141</v>
      </c>
      <c r="Z21" s="29" t="s">
        <v>142</v>
      </c>
    </row>
    <row r="22" ht="15.75" customHeight="1">
      <c r="A22" s="9" t="s">
        <v>514</v>
      </c>
      <c r="B22" s="11" t="s">
        <v>173</v>
      </c>
      <c r="C22" s="11" t="s">
        <v>103</v>
      </c>
      <c r="D22" s="11" t="s">
        <v>103</v>
      </c>
      <c r="E22" s="11" t="s">
        <v>60</v>
      </c>
      <c r="F22" s="11" t="s">
        <v>61</v>
      </c>
      <c r="G22" s="11" t="s">
        <v>150</v>
      </c>
      <c r="H22" s="14">
        <v>390.0</v>
      </c>
      <c r="I22" s="11" t="s">
        <v>71</v>
      </c>
      <c r="J22" s="11">
        <v>46.0</v>
      </c>
      <c r="K22" s="11" t="s">
        <v>74</v>
      </c>
      <c r="L22" s="15">
        <v>12.9</v>
      </c>
      <c r="M22" s="11" t="s">
        <v>77</v>
      </c>
      <c r="N22" s="11" t="str">
        <f t="shared" si="1"/>
        <v>Competitive</v>
      </c>
      <c r="O22" s="19" t="s">
        <v>97</v>
      </c>
      <c r="P22" s="21">
        <v>5.0</v>
      </c>
      <c r="Q22" s="11">
        <f t="shared" si="2"/>
        <v>3</v>
      </c>
      <c r="R22" s="11">
        <f t="shared" si="3"/>
        <v>3</v>
      </c>
      <c r="S22" s="21">
        <v>5.0</v>
      </c>
      <c r="T22" s="21">
        <v>5.0</v>
      </c>
      <c r="U22" s="21">
        <v>5.0</v>
      </c>
      <c r="V22" s="24">
        <f>ROUND((P22*'Scoring Model'!$C$4+Q22*'Scoring Model'!$C$5+R22*'Scoring Model'!$C$6+S22*'Scoring Model'!$C$7+T22*'Scoring Model'!$C$8+U22*'Scoring Model'!$C$9)/5*100,0)</f>
        <v>86</v>
      </c>
      <c r="W22" s="11" t="str">
        <f t="shared" si="4"/>
        <v>High</v>
      </c>
      <c r="X22" s="11" t="s">
        <v>108</v>
      </c>
      <c r="Y22" s="11" t="s">
        <v>141</v>
      </c>
      <c r="Z22" s="19" t="s">
        <v>142</v>
      </c>
    </row>
    <row r="23" ht="15.75" customHeight="1">
      <c r="A23" s="25" t="s">
        <v>106</v>
      </c>
      <c r="B23" s="26" t="s">
        <v>371</v>
      </c>
      <c r="C23" s="26" t="s">
        <v>103</v>
      </c>
      <c r="D23" s="26" t="s">
        <v>111</v>
      </c>
      <c r="E23" s="26" t="s">
        <v>95</v>
      </c>
      <c r="F23" s="26" t="s">
        <v>100</v>
      </c>
      <c r="G23" s="26" t="s">
        <v>62</v>
      </c>
      <c r="H23" s="27">
        <v>480.0</v>
      </c>
      <c r="I23" s="26" t="s">
        <v>71</v>
      </c>
      <c r="J23" s="26">
        <v>30.0</v>
      </c>
      <c r="K23" s="26" t="s">
        <v>74</v>
      </c>
      <c r="L23" s="28">
        <v>1.6</v>
      </c>
      <c r="M23" s="26" t="s">
        <v>77</v>
      </c>
      <c r="N23" s="26" t="str">
        <f t="shared" si="1"/>
        <v>Moderate</v>
      </c>
      <c r="O23" s="29" t="s">
        <v>282</v>
      </c>
      <c r="P23" s="30">
        <v>3.0</v>
      </c>
      <c r="Q23" s="26">
        <f t="shared" si="2"/>
        <v>4</v>
      </c>
      <c r="R23" s="26">
        <f t="shared" si="3"/>
        <v>4</v>
      </c>
      <c r="S23" s="30">
        <v>2.0</v>
      </c>
      <c r="T23" s="30">
        <v>2.0</v>
      </c>
      <c r="U23" s="30">
        <v>5.0</v>
      </c>
      <c r="V23" s="31">
        <f>ROUND((P23*'Scoring Model'!$C$4+Q23*'Scoring Model'!$C$5+R23*'Scoring Model'!$C$6+S23*'Scoring Model'!$C$7+T23*'Scoring Model'!$C$8+U23*'Scoring Model'!$C$9)/5*100,0)</f>
        <v>65</v>
      </c>
      <c r="W23" s="26" t="str">
        <f t="shared" si="4"/>
        <v>Medium</v>
      </c>
      <c r="X23" s="26" t="s">
        <v>113</v>
      </c>
      <c r="Y23" s="26" t="s">
        <v>293</v>
      </c>
      <c r="Z23" s="29" t="s">
        <v>294</v>
      </c>
    </row>
    <row r="24" ht="15.75" customHeight="1">
      <c r="A24" s="9" t="s">
        <v>548</v>
      </c>
      <c r="B24" s="11" t="s">
        <v>56</v>
      </c>
      <c r="C24" s="11" t="s">
        <v>103</v>
      </c>
      <c r="D24" s="11" t="s">
        <v>103</v>
      </c>
      <c r="E24" s="11" t="s">
        <v>60</v>
      </c>
      <c r="F24" s="11" t="s">
        <v>61</v>
      </c>
      <c r="G24" s="11" t="s">
        <v>150</v>
      </c>
      <c r="H24" s="14">
        <v>70.0</v>
      </c>
      <c r="I24" s="11" t="s">
        <v>71</v>
      </c>
      <c r="J24" s="11">
        <v>29.0</v>
      </c>
      <c r="K24" s="11" t="s">
        <v>74</v>
      </c>
      <c r="L24" s="15">
        <v>9.2</v>
      </c>
      <c r="M24" s="11" t="s">
        <v>77</v>
      </c>
      <c r="N24" s="11" t="str">
        <f t="shared" si="1"/>
        <v>Moderate</v>
      </c>
      <c r="O24" s="19" t="s">
        <v>97</v>
      </c>
      <c r="P24" s="21">
        <v>5.0</v>
      </c>
      <c r="Q24" s="11">
        <f t="shared" si="2"/>
        <v>2</v>
      </c>
      <c r="R24" s="11">
        <f t="shared" si="3"/>
        <v>4</v>
      </c>
      <c r="S24" s="21">
        <v>5.0</v>
      </c>
      <c r="T24" s="21">
        <v>5.0</v>
      </c>
      <c r="U24" s="21">
        <v>5.0</v>
      </c>
      <c r="V24" s="24">
        <f>ROUND((P24*'Scoring Model'!$C$4+Q24*'Scoring Model'!$C$5+R24*'Scoring Model'!$C$6+S24*'Scoring Model'!$C$7+T24*'Scoring Model'!$C$8+U24*'Scoring Model'!$C$9)/5*100,0)</f>
        <v>87</v>
      </c>
      <c r="W24" s="11" t="str">
        <f t="shared" si="4"/>
        <v>High</v>
      </c>
      <c r="X24" s="11" t="s">
        <v>108</v>
      </c>
      <c r="Y24" s="11" t="s">
        <v>141</v>
      </c>
      <c r="Z24" s="19" t="s">
        <v>303</v>
      </c>
    </row>
    <row r="25" ht="15.75" customHeight="1">
      <c r="A25" s="25" t="s">
        <v>115</v>
      </c>
      <c r="B25" s="26" t="s">
        <v>56</v>
      </c>
      <c r="C25" s="26" t="s">
        <v>114</v>
      </c>
      <c r="D25" s="26" t="s">
        <v>114</v>
      </c>
      <c r="E25" s="26" t="s">
        <v>60</v>
      </c>
      <c r="F25" s="26" t="s">
        <v>61</v>
      </c>
      <c r="G25" s="26" t="s">
        <v>62</v>
      </c>
      <c r="H25" s="27">
        <v>540.0</v>
      </c>
      <c r="I25" s="26" t="s">
        <v>71</v>
      </c>
      <c r="J25" s="26">
        <v>46.0</v>
      </c>
      <c r="K25" s="26" t="s">
        <v>74</v>
      </c>
      <c r="L25" s="28">
        <v>9.6</v>
      </c>
      <c r="M25" s="26" t="s">
        <v>77</v>
      </c>
      <c r="N25" s="26" t="str">
        <f t="shared" si="1"/>
        <v>Competitive</v>
      </c>
      <c r="O25" s="29" t="s">
        <v>97</v>
      </c>
      <c r="P25" s="30">
        <v>4.0</v>
      </c>
      <c r="Q25" s="26">
        <f t="shared" si="2"/>
        <v>4</v>
      </c>
      <c r="R25" s="26">
        <f t="shared" si="3"/>
        <v>3</v>
      </c>
      <c r="S25" s="30">
        <v>5.0</v>
      </c>
      <c r="T25" s="30">
        <v>5.0</v>
      </c>
      <c r="U25" s="30">
        <v>5.0</v>
      </c>
      <c r="V25" s="31">
        <f>ROUND((P25*'Scoring Model'!$C$4+Q25*'Scoring Model'!$C$5+R25*'Scoring Model'!$C$6+S25*'Scoring Model'!$C$7+T25*'Scoring Model'!$C$8+U25*'Scoring Model'!$C$9)/5*100,0)</f>
        <v>84</v>
      </c>
      <c r="W25" s="26" t="str">
        <f t="shared" si="4"/>
        <v>High</v>
      </c>
      <c r="X25" s="26" t="s">
        <v>119</v>
      </c>
      <c r="Y25" s="26" t="s">
        <v>141</v>
      </c>
      <c r="Z25" s="29" t="s">
        <v>142</v>
      </c>
    </row>
    <row r="26" ht="15.75" customHeight="1">
      <c r="A26" s="9" t="s">
        <v>584</v>
      </c>
      <c r="B26" s="11" t="s">
        <v>56</v>
      </c>
      <c r="C26" s="11" t="s">
        <v>114</v>
      </c>
      <c r="D26" s="11" t="s">
        <v>114</v>
      </c>
      <c r="E26" s="11" t="s">
        <v>60</v>
      </c>
      <c r="F26" s="11" t="s">
        <v>61</v>
      </c>
      <c r="G26" s="11" t="s">
        <v>150</v>
      </c>
      <c r="H26" s="14">
        <v>240.0</v>
      </c>
      <c r="I26" s="11" t="s">
        <v>71</v>
      </c>
      <c r="J26" s="11">
        <v>44.0</v>
      </c>
      <c r="K26" s="11" t="s">
        <v>74</v>
      </c>
      <c r="L26" s="15">
        <v>9.6</v>
      </c>
      <c r="M26" s="11" t="s">
        <v>77</v>
      </c>
      <c r="N26" s="11" t="str">
        <f t="shared" si="1"/>
        <v>Competitive</v>
      </c>
      <c r="O26" s="19" t="s">
        <v>97</v>
      </c>
      <c r="P26" s="21">
        <v>4.0</v>
      </c>
      <c r="Q26" s="11">
        <f t="shared" si="2"/>
        <v>3</v>
      </c>
      <c r="R26" s="11">
        <f t="shared" si="3"/>
        <v>3</v>
      </c>
      <c r="S26" s="21">
        <v>5.0</v>
      </c>
      <c r="T26" s="21">
        <v>5.0</v>
      </c>
      <c r="U26" s="21">
        <v>5.0</v>
      </c>
      <c r="V26" s="24">
        <f>ROUND((P26*'Scoring Model'!$C$4+Q26*'Scoring Model'!$C$5+R26*'Scoring Model'!$C$6+S26*'Scoring Model'!$C$7+T26*'Scoring Model'!$C$8+U26*'Scoring Model'!$C$9)/5*100,0)</f>
        <v>81</v>
      </c>
      <c r="W26" s="11" t="str">
        <f t="shared" si="4"/>
        <v>High</v>
      </c>
      <c r="X26" s="11" t="s">
        <v>119</v>
      </c>
      <c r="Y26" s="11" t="s">
        <v>141</v>
      </c>
      <c r="Z26" s="19" t="s">
        <v>142</v>
      </c>
    </row>
    <row r="27" ht="15.75" customHeight="1">
      <c r="A27" s="25" t="s">
        <v>421</v>
      </c>
      <c r="B27" s="26" t="s">
        <v>173</v>
      </c>
      <c r="C27" s="26" t="s">
        <v>114</v>
      </c>
      <c r="D27" s="26" t="s">
        <v>114</v>
      </c>
      <c r="E27" s="26" t="s">
        <v>60</v>
      </c>
      <c r="F27" s="26" t="s">
        <v>61</v>
      </c>
      <c r="G27" s="26" t="s">
        <v>150</v>
      </c>
      <c r="H27" s="27">
        <v>810.0</v>
      </c>
      <c r="I27" s="26" t="s">
        <v>71</v>
      </c>
      <c r="J27" s="26">
        <v>52.0</v>
      </c>
      <c r="K27" s="26" t="s">
        <v>74</v>
      </c>
      <c r="L27" s="28">
        <v>10.08</v>
      </c>
      <c r="M27" s="26" t="s">
        <v>77</v>
      </c>
      <c r="N27" s="26" t="str">
        <f t="shared" si="1"/>
        <v>Competitive</v>
      </c>
      <c r="O27" s="29" t="s">
        <v>97</v>
      </c>
      <c r="P27" s="30">
        <v>4.0</v>
      </c>
      <c r="Q27" s="26">
        <f t="shared" si="2"/>
        <v>4</v>
      </c>
      <c r="R27" s="26">
        <f t="shared" si="3"/>
        <v>3</v>
      </c>
      <c r="S27" s="30">
        <v>5.0</v>
      </c>
      <c r="T27" s="30">
        <v>5.0</v>
      </c>
      <c r="U27" s="30">
        <v>5.0</v>
      </c>
      <c r="V27" s="31">
        <f>ROUND((P27*'Scoring Model'!$C$4+Q27*'Scoring Model'!$C$5+R27*'Scoring Model'!$C$6+S27*'Scoring Model'!$C$7+T27*'Scoring Model'!$C$8+U27*'Scoring Model'!$C$9)/5*100,0)</f>
        <v>84</v>
      </c>
      <c r="W27" s="26" t="str">
        <f t="shared" si="4"/>
        <v>High</v>
      </c>
      <c r="X27" s="26" t="s">
        <v>119</v>
      </c>
      <c r="Y27" s="26" t="s">
        <v>141</v>
      </c>
      <c r="Z27" s="29" t="s">
        <v>142</v>
      </c>
    </row>
    <row r="28" ht="15.75" customHeight="1">
      <c r="A28" s="9" t="s">
        <v>618</v>
      </c>
      <c r="B28" s="11" t="s">
        <v>190</v>
      </c>
      <c r="C28" s="11" t="s">
        <v>114</v>
      </c>
      <c r="D28" s="11" t="s">
        <v>114</v>
      </c>
      <c r="E28" s="11" t="s">
        <v>120</v>
      </c>
      <c r="F28" s="11" t="s">
        <v>191</v>
      </c>
      <c r="G28" s="11" t="s">
        <v>150</v>
      </c>
      <c r="H28" s="14">
        <v>160.0</v>
      </c>
      <c r="I28" s="11" t="s">
        <v>71</v>
      </c>
      <c r="J28" s="11">
        <v>43.0</v>
      </c>
      <c r="K28" s="11" t="s">
        <v>74</v>
      </c>
      <c r="L28" s="15">
        <v>8.16</v>
      </c>
      <c r="M28" s="11" t="s">
        <v>77</v>
      </c>
      <c r="N28" s="11" t="str">
        <f t="shared" si="1"/>
        <v>Competitive</v>
      </c>
      <c r="O28" s="19" t="s">
        <v>97</v>
      </c>
      <c r="P28" s="21">
        <v>3.0</v>
      </c>
      <c r="Q28" s="11">
        <f t="shared" si="2"/>
        <v>3</v>
      </c>
      <c r="R28" s="11">
        <f t="shared" si="3"/>
        <v>3</v>
      </c>
      <c r="S28" s="21">
        <v>4.0</v>
      </c>
      <c r="T28" s="21">
        <v>3.0</v>
      </c>
      <c r="U28" s="21">
        <v>5.0</v>
      </c>
      <c r="V28" s="24">
        <f>ROUND((P28*'Scoring Model'!$C$4+Q28*'Scoring Model'!$C$5+R28*'Scoring Model'!$C$6+S28*'Scoring Model'!$C$7+T28*'Scoring Model'!$C$8+U28*'Scoring Model'!$C$9)/5*100,0)</f>
        <v>67</v>
      </c>
      <c r="W28" s="11" t="str">
        <f t="shared" si="4"/>
        <v>Medium</v>
      </c>
      <c r="X28" s="11" t="s">
        <v>119</v>
      </c>
      <c r="Y28" s="11" t="s">
        <v>141</v>
      </c>
      <c r="Z28" s="19" t="s">
        <v>249</v>
      </c>
    </row>
    <row r="29" ht="15.75" customHeight="1">
      <c r="A29" s="25" t="s">
        <v>633</v>
      </c>
      <c r="B29" s="26" t="s">
        <v>256</v>
      </c>
      <c r="C29" s="26" t="s">
        <v>114</v>
      </c>
      <c r="D29" s="26" t="s">
        <v>114</v>
      </c>
      <c r="E29" s="26" t="s">
        <v>60</v>
      </c>
      <c r="F29" s="26" t="s">
        <v>61</v>
      </c>
      <c r="G29" s="26" t="s">
        <v>150</v>
      </c>
      <c r="H29" s="27">
        <v>190.0</v>
      </c>
      <c r="I29" s="26" t="s">
        <v>71</v>
      </c>
      <c r="J29" s="26">
        <v>42.0</v>
      </c>
      <c r="K29" s="26" t="s">
        <v>74</v>
      </c>
      <c r="L29" s="28">
        <v>7.68</v>
      </c>
      <c r="M29" s="26" t="s">
        <v>77</v>
      </c>
      <c r="N29" s="26" t="str">
        <f t="shared" si="1"/>
        <v>Competitive</v>
      </c>
      <c r="O29" s="29" t="s">
        <v>97</v>
      </c>
      <c r="P29" s="30">
        <v>4.0</v>
      </c>
      <c r="Q29" s="26">
        <f t="shared" si="2"/>
        <v>3</v>
      </c>
      <c r="R29" s="26">
        <f t="shared" si="3"/>
        <v>3</v>
      </c>
      <c r="S29" s="30">
        <v>5.0</v>
      </c>
      <c r="T29" s="30">
        <v>4.0</v>
      </c>
      <c r="U29" s="30">
        <v>5.0</v>
      </c>
      <c r="V29" s="31">
        <f>ROUND((P29*'Scoring Model'!$C$4+Q29*'Scoring Model'!$C$5+R29*'Scoring Model'!$C$6+S29*'Scoring Model'!$C$7+T29*'Scoring Model'!$C$8+U29*'Scoring Model'!$C$9)/5*100,0)</f>
        <v>78</v>
      </c>
      <c r="W29" s="26" t="str">
        <f t="shared" si="4"/>
        <v>High</v>
      </c>
      <c r="X29" s="26" t="s">
        <v>119</v>
      </c>
      <c r="Y29" s="26" t="s">
        <v>141</v>
      </c>
      <c r="Z29" s="29" t="s">
        <v>142</v>
      </c>
    </row>
    <row r="30" ht="15.75" customHeight="1">
      <c r="A30" s="9" t="s">
        <v>637</v>
      </c>
      <c r="B30" s="11" t="s">
        <v>56</v>
      </c>
      <c r="C30" s="11" t="s">
        <v>114</v>
      </c>
      <c r="D30" s="11" t="s">
        <v>114</v>
      </c>
      <c r="E30" s="11" t="s">
        <v>60</v>
      </c>
      <c r="F30" s="11" t="s">
        <v>61</v>
      </c>
      <c r="G30" s="11" t="s">
        <v>150</v>
      </c>
      <c r="H30" s="14">
        <v>170.0</v>
      </c>
      <c r="I30" s="11" t="s">
        <v>71</v>
      </c>
      <c r="J30" s="11">
        <v>41.0</v>
      </c>
      <c r="K30" s="11" t="s">
        <v>74</v>
      </c>
      <c r="L30" s="15">
        <v>8.8</v>
      </c>
      <c r="M30" s="11" t="s">
        <v>77</v>
      </c>
      <c r="N30" s="11" t="str">
        <f t="shared" si="1"/>
        <v>Competitive</v>
      </c>
      <c r="O30" s="19" t="s">
        <v>97</v>
      </c>
      <c r="P30" s="21">
        <v>4.0</v>
      </c>
      <c r="Q30" s="11">
        <f t="shared" si="2"/>
        <v>3</v>
      </c>
      <c r="R30" s="11">
        <f t="shared" si="3"/>
        <v>3</v>
      </c>
      <c r="S30" s="21">
        <v>5.0</v>
      </c>
      <c r="T30" s="21">
        <v>5.0</v>
      </c>
      <c r="U30" s="21">
        <v>5.0</v>
      </c>
      <c r="V30" s="24">
        <f>ROUND((P30*'Scoring Model'!$C$4+Q30*'Scoring Model'!$C$5+R30*'Scoring Model'!$C$6+S30*'Scoring Model'!$C$7+T30*'Scoring Model'!$C$8+U30*'Scoring Model'!$C$9)/5*100,0)</f>
        <v>81</v>
      </c>
      <c r="W30" s="11" t="str">
        <f t="shared" si="4"/>
        <v>High</v>
      </c>
      <c r="X30" s="11" t="s">
        <v>119</v>
      </c>
      <c r="Y30" s="11" t="s">
        <v>141</v>
      </c>
      <c r="Z30" s="19" t="s">
        <v>142</v>
      </c>
    </row>
    <row r="31" ht="15.75" customHeight="1">
      <c r="A31" s="25" t="s">
        <v>644</v>
      </c>
      <c r="B31" s="26" t="s">
        <v>56</v>
      </c>
      <c r="C31" s="26" t="s">
        <v>114</v>
      </c>
      <c r="D31" s="26" t="s">
        <v>114</v>
      </c>
      <c r="E31" s="26" t="s">
        <v>120</v>
      </c>
      <c r="F31" s="26" t="s">
        <v>191</v>
      </c>
      <c r="G31" s="26" t="s">
        <v>150</v>
      </c>
      <c r="H31" s="27">
        <v>90.0</v>
      </c>
      <c r="I31" s="26" t="s">
        <v>71</v>
      </c>
      <c r="J31" s="26">
        <v>33.0</v>
      </c>
      <c r="K31" s="26" t="s">
        <v>74</v>
      </c>
      <c r="L31" s="28">
        <v>8.1</v>
      </c>
      <c r="M31" s="26" t="s">
        <v>77</v>
      </c>
      <c r="N31" s="26" t="str">
        <f t="shared" si="1"/>
        <v>Moderate</v>
      </c>
      <c r="O31" s="29" t="s">
        <v>97</v>
      </c>
      <c r="P31" s="30">
        <v>3.0</v>
      </c>
      <c r="Q31" s="26">
        <f t="shared" si="2"/>
        <v>2</v>
      </c>
      <c r="R31" s="26">
        <f t="shared" si="3"/>
        <v>4</v>
      </c>
      <c r="S31" s="30">
        <v>3.0</v>
      </c>
      <c r="T31" s="30">
        <v>3.0</v>
      </c>
      <c r="U31" s="30">
        <v>5.0</v>
      </c>
      <c r="V31" s="31">
        <f>ROUND((P31*'Scoring Model'!$C$4+Q31*'Scoring Model'!$C$5+R31*'Scoring Model'!$C$6+S31*'Scoring Model'!$C$7+T31*'Scoring Model'!$C$8+U31*'Scoring Model'!$C$9)/5*100,0)</f>
        <v>65</v>
      </c>
      <c r="W31" s="26" t="str">
        <f t="shared" si="4"/>
        <v>Medium</v>
      </c>
      <c r="X31" s="26" t="s">
        <v>119</v>
      </c>
      <c r="Y31" s="26" t="s">
        <v>141</v>
      </c>
      <c r="Z31" s="29" t="s">
        <v>249</v>
      </c>
    </row>
    <row r="32" ht="15.75" customHeight="1">
      <c r="A32" s="9" t="s">
        <v>651</v>
      </c>
      <c r="B32" s="11" t="s">
        <v>652</v>
      </c>
      <c r="C32" s="11" t="s">
        <v>114</v>
      </c>
      <c r="D32" s="11" t="s">
        <v>114</v>
      </c>
      <c r="E32" s="11" t="s">
        <v>120</v>
      </c>
      <c r="F32" s="11" t="s">
        <v>191</v>
      </c>
      <c r="G32" s="11" t="s">
        <v>150</v>
      </c>
      <c r="H32" s="14">
        <v>320.0</v>
      </c>
      <c r="I32" s="11" t="s">
        <v>71</v>
      </c>
      <c r="J32" s="11">
        <v>30.0</v>
      </c>
      <c r="K32" s="11" t="s">
        <v>74</v>
      </c>
      <c r="L32" s="15">
        <v>3.9</v>
      </c>
      <c r="M32" s="11" t="s">
        <v>77</v>
      </c>
      <c r="N32" s="11" t="str">
        <f t="shared" si="1"/>
        <v>Moderate</v>
      </c>
      <c r="O32" s="19" t="s">
        <v>282</v>
      </c>
      <c r="P32" s="21">
        <v>3.0</v>
      </c>
      <c r="Q32" s="11">
        <f t="shared" si="2"/>
        <v>3</v>
      </c>
      <c r="R32" s="11">
        <f t="shared" si="3"/>
        <v>4</v>
      </c>
      <c r="S32" s="21">
        <v>3.0</v>
      </c>
      <c r="T32" s="21">
        <v>3.0</v>
      </c>
      <c r="U32" s="21">
        <v>5.0</v>
      </c>
      <c r="V32" s="24">
        <f>ROUND((P32*'Scoring Model'!$C$4+Q32*'Scoring Model'!$C$5+R32*'Scoring Model'!$C$6+S32*'Scoring Model'!$C$7+T32*'Scoring Model'!$C$8+U32*'Scoring Model'!$C$9)/5*100,0)</f>
        <v>68</v>
      </c>
      <c r="W32" s="11" t="str">
        <f t="shared" si="4"/>
        <v>Medium</v>
      </c>
      <c r="X32" s="11" t="s">
        <v>119</v>
      </c>
      <c r="Y32" s="11" t="s">
        <v>141</v>
      </c>
      <c r="Z32" s="19" t="s">
        <v>249</v>
      </c>
    </row>
    <row r="33" ht="15.75" customHeight="1">
      <c r="A33" s="25" t="s">
        <v>656</v>
      </c>
      <c r="B33" s="26" t="s">
        <v>652</v>
      </c>
      <c r="C33" s="26" t="s">
        <v>114</v>
      </c>
      <c r="D33" s="26" t="s">
        <v>114</v>
      </c>
      <c r="E33" s="26" t="s">
        <v>120</v>
      </c>
      <c r="F33" s="26" t="s">
        <v>191</v>
      </c>
      <c r="G33" s="26" t="s">
        <v>150</v>
      </c>
      <c r="H33" s="27">
        <v>590.0</v>
      </c>
      <c r="I33" s="26" t="s">
        <v>71</v>
      </c>
      <c r="J33" s="26">
        <v>38.0</v>
      </c>
      <c r="K33" s="26" t="s">
        <v>74</v>
      </c>
      <c r="L33" s="28">
        <v>3.1</v>
      </c>
      <c r="M33" s="26" t="s">
        <v>77</v>
      </c>
      <c r="N33" s="26" t="str">
        <f t="shared" si="1"/>
        <v>Moderate</v>
      </c>
      <c r="O33" s="29" t="s">
        <v>282</v>
      </c>
      <c r="P33" s="30">
        <v>3.0</v>
      </c>
      <c r="Q33" s="26">
        <f t="shared" si="2"/>
        <v>4</v>
      </c>
      <c r="R33" s="26">
        <f t="shared" si="3"/>
        <v>4</v>
      </c>
      <c r="S33" s="30">
        <v>3.0</v>
      </c>
      <c r="T33" s="30">
        <v>3.0</v>
      </c>
      <c r="U33" s="30">
        <v>5.0</v>
      </c>
      <c r="V33" s="31">
        <f>ROUND((P33*'Scoring Model'!$C$4+Q33*'Scoring Model'!$C$5+R33*'Scoring Model'!$C$6+S33*'Scoring Model'!$C$7+T33*'Scoring Model'!$C$8+U33*'Scoring Model'!$C$9)/5*100,0)</f>
        <v>71</v>
      </c>
      <c r="W33" s="26" t="str">
        <f t="shared" si="4"/>
        <v>Medium</v>
      </c>
      <c r="X33" s="26" t="s">
        <v>119</v>
      </c>
      <c r="Y33" s="26" t="s">
        <v>141</v>
      </c>
      <c r="Z33" s="29" t="s">
        <v>249</v>
      </c>
    </row>
    <row r="34" ht="15.75" customHeight="1">
      <c r="A34" s="9" t="s">
        <v>122</v>
      </c>
      <c r="B34" s="11" t="s">
        <v>56</v>
      </c>
      <c r="C34" s="11" t="s">
        <v>121</v>
      </c>
      <c r="D34" s="11" t="s">
        <v>121</v>
      </c>
      <c r="E34" s="11" t="s">
        <v>60</v>
      </c>
      <c r="F34" s="11" t="s">
        <v>61</v>
      </c>
      <c r="G34" s="11" t="s">
        <v>62</v>
      </c>
      <c r="H34" s="14">
        <v>210.0</v>
      </c>
      <c r="I34" s="11" t="s">
        <v>71</v>
      </c>
      <c r="J34" s="11">
        <v>44.0</v>
      </c>
      <c r="K34" s="11" t="s">
        <v>74</v>
      </c>
      <c r="L34" s="15">
        <v>9.8</v>
      </c>
      <c r="M34" s="11" t="s">
        <v>77</v>
      </c>
      <c r="N34" s="11" t="str">
        <f t="shared" si="1"/>
        <v>Competitive</v>
      </c>
      <c r="O34" s="19" t="s">
        <v>97</v>
      </c>
      <c r="P34" s="21">
        <v>4.0</v>
      </c>
      <c r="Q34" s="11">
        <f t="shared" si="2"/>
        <v>3</v>
      </c>
      <c r="R34" s="11">
        <f t="shared" si="3"/>
        <v>3</v>
      </c>
      <c r="S34" s="21">
        <v>5.0</v>
      </c>
      <c r="T34" s="21">
        <v>5.0</v>
      </c>
      <c r="U34" s="21">
        <v>5.0</v>
      </c>
      <c r="V34" s="24">
        <f>ROUND((P34*'Scoring Model'!$C$4+Q34*'Scoring Model'!$C$5+R34*'Scoring Model'!$C$6+S34*'Scoring Model'!$C$7+T34*'Scoring Model'!$C$8+U34*'Scoring Model'!$C$9)/5*100,0)</f>
        <v>81</v>
      </c>
      <c r="W34" s="11" t="str">
        <f t="shared" si="4"/>
        <v>High</v>
      </c>
      <c r="X34" s="11" t="s">
        <v>126</v>
      </c>
      <c r="Y34" s="11" t="s">
        <v>141</v>
      </c>
      <c r="Z34" s="19" t="s">
        <v>142</v>
      </c>
    </row>
    <row r="35" ht="15.75" customHeight="1">
      <c r="A35" s="25" t="s">
        <v>661</v>
      </c>
      <c r="B35" s="26" t="s">
        <v>56</v>
      </c>
      <c r="C35" s="26" t="s">
        <v>121</v>
      </c>
      <c r="D35" s="26" t="s">
        <v>121</v>
      </c>
      <c r="E35" s="26" t="s">
        <v>60</v>
      </c>
      <c r="F35" s="26" t="s">
        <v>61</v>
      </c>
      <c r="G35" s="26" t="s">
        <v>150</v>
      </c>
      <c r="H35" s="27">
        <v>90.0</v>
      </c>
      <c r="I35" s="26" t="s">
        <v>71</v>
      </c>
      <c r="J35" s="26">
        <v>42.0</v>
      </c>
      <c r="K35" s="26" t="s">
        <v>74</v>
      </c>
      <c r="L35" s="28">
        <v>9.8</v>
      </c>
      <c r="M35" s="26" t="s">
        <v>77</v>
      </c>
      <c r="N35" s="26" t="str">
        <f t="shared" si="1"/>
        <v>Competitive</v>
      </c>
      <c r="O35" s="29" t="s">
        <v>97</v>
      </c>
      <c r="P35" s="30">
        <v>4.0</v>
      </c>
      <c r="Q35" s="26">
        <f t="shared" si="2"/>
        <v>2</v>
      </c>
      <c r="R35" s="26">
        <f t="shared" si="3"/>
        <v>3</v>
      </c>
      <c r="S35" s="30">
        <v>5.0</v>
      </c>
      <c r="T35" s="30">
        <v>5.0</v>
      </c>
      <c r="U35" s="30">
        <v>5.0</v>
      </c>
      <c r="V35" s="31">
        <f>ROUND((P35*'Scoring Model'!$C$4+Q35*'Scoring Model'!$C$5+R35*'Scoring Model'!$C$6+S35*'Scoring Model'!$C$7+T35*'Scoring Model'!$C$8+U35*'Scoring Model'!$C$9)/5*100,0)</f>
        <v>78</v>
      </c>
      <c r="W35" s="26" t="str">
        <f t="shared" si="4"/>
        <v>High</v>
      </c>
      <c r="X35" s="26" t="s">
        <v>126</v>
      </c>
      <c r="Y35" s="26" t="s">
        <v>141</v>
      </c>
      <c r="Z35" s="29" t="s">
        <v>142</v>
      </c>
    </row>
    <row r="36" ht="15.75" customHeight="1">
      <c r="A36" s="9" t="s">
        <v>428</v>
      </c>
      <c r="B36" s="11" t="s">
        <v>173</v>
      </c>
      <c r="C36" s="11" t="s">
        <v>121</v>
      </c>
      <c r="D36" s="11" t="s">
        <v>121</v>
      </c>
      <c r="E36" s="11" t="s">
        <v>60</v>
      </c>
      <c r="F36" s="11" t="s">
        <v>61</v>
      </c>
      <c r="G36" s="11" t="s">
        <v>150</v>
      </c>
      <c r="H36" s="14">
        <v>320.0</v>
      </c>
      <c r="I36" s="11" t="s">
        <v>71</v>
      </c>
      <c r="J36" s="11">
        <v>50.0</v>
      </c>
      <c r="K36" s="11" t="s">
        <v>74</v>
      </c>
      <c r="L36" s="15">
        <v>10.29</v>
      </c>
      <c r="M36" s="11" t="s">
        <v>77</v>
      </c>
      <c r="N36" s="11" t="str">
        <f t="shared" si="1"/>
        <v>Competitive</v>
      </c>
      <c r="O36" s="19" t="s">
        <v>97</v>
      </c>
      <c r="P36" s="21">
        <v>4.0</v>
      </c>
      <c r="Q36" s="11">
        <f t="shared" si="2"/>
        <v>3</v>
      </c>
      <c r="R36" s="11">
        <f t="shared" si="3"/>
        <v>3</v>
      </c>
      <c r="S36" s="21">
        <v>5.0</v>
      </c>
      <c r="T36" s="21">
        <v>5.0</v>
      </c>
      <c r="U36" s="21">
        <v>5.0</v>
      </c>
      <c r="V36" s="24">
        <f>ROUND((P36*'Scoring Model'!$C$4+Q36*'Scoring Model'!$C$5+R36*'Scoring Model'!$C$6+S36*'Scoring Model'!$C$7+T36*'Scoring Model'!$C$8+U36*'Scoring Model'!$C$9)/5*100,0)</f>
        <v>81</v>
      </c>
      <c r="W36" s="11" t="str">
        <f t="shared" si="4"/>
        <v>High</v>
      </c>
      <c r="X36" s="11" t="s">
        <v>126</v>
      </c>
      <c r="Y36" s="11" t="s">
        <v>141</v>
      </c>
      <c r="Z36" s="19" t="s">
        <v>142</v>
      </c>
    </row>
    <row r="37" ht="15.75" customHeight="1">
      <c r="A37" s="25" t="s">
        <v>673</v>
      </c>
      <c r="B37" s="26" t="s">
        <v>190</v>
      </c>
      <c r="C37" s="26" t="s">
        <v>121</v>
      </c>
      <c r="D37" s="26" t="s">
        <v>121</v>
      </c>
      <c r="E37" s="26" t="s">
        <v>120</v>
      </c>
      <c r="F37" s="26" t="s">
        <v>191</v>
      </c>
      <c r="G37" s="26" t="s">
        <v>150</v>
      </c>
      <c r="H37" s="27">
        <v>60.0</v>
      </c>
      <c r="I37" s="26" t="s">
        <v>71</v>
      </c>
      <c r="J37" s="26">
        <v>41.0</v>
      </c>
      <c r="K37" s="26" t="s">
        <v>74</v>
      </c>
      <c r="L37" s="28">
        <v>8.33</v>
      </c>
      <c r="M37" s="26" t="s">
        <v>77</v>
      </c>
      <c r="N37" s="26" t="str">
        <f t="shared" si="1"/>
        <v>Competitive</v>
      </c>
      <c r="O37" s="29" t="s">
        <v>97</v>
      </c>
      <c r="P37" s="30">
        <v>3.0</v>
      </c>
      <c r="Q37" s="26">
        <f t="shared" si="2"/>
        <v>2</v>
      </c>
      <c r="R37" s="26">
        <f t="shared" si="3"/>
        <v>3</v>
      </c>
      <c r="S37" s="30">
        <v>4.0</v>
      </c>
      <c r="T37" s="30">
        <v>3.0</v>
      </c>
      <c r="U37" s="30">
        <v>5.0</v>
      </c>
      <c r="V37" s="31">
        <f>ROUND((P37*'Scoring Model'!$C$4+Q37*'Scoring Model'!$C$5+R37*'Scoring Model'!$C$6+S37*'Scoring Model'!$C$7+T37*'Scoring Model'!$C$8+U37*'Scoring Model'!$C$9)/5*100,0)</f>
        <v>64</v>
      </c>
      <c r="W37" s="26" t="str">
        <f t="shared" si="4"/>
        <v>Medium</v>
      </c>
      <c r="X37" s="26" t="s">
        <v>126</v>
      </c>
      <c r="Y37" s="26" t="s">
        <v>141</v>
      </c>
      <c r="Z37" s="29" t="s">
        <v>249</v>
      </c>
    </row>
    <row r="38" ht="15.75" customHeight="1">
      <c r="A38" s="9" t="s">
        <v>699</v>
      </c>
      <c r="B38" s="11" t="s">
        <v>256</v>
      </c>
      <c r="C38" s="11" t="s">
        <v>121</v>
      </c>
      <c r="D38" s="11" t="s">
        <v>121</v>
      </c>
      <c r="E38" s="11" t="s">
        <v>60</v>
      </c>
      <c r="F38" s="11" t="s">
        <v>61</v>
      </c>
      <c r="G38" s="11" t="s">
        <v>150</v>
      </c>
      <c r="H38" s="14">
        <v>70.0</v>
      </c>
      <c r="I38" s="11" t="s">
        <v>71</v>
      </c>
      <c r="J38" s="11">
        <v>40.0</v>
      </c>
      <c r="K38" s="11" t="s">
        <v>74</v>
      </c>
      <c r="L38" s="15">
        <v>7.84</v>
      </c>
      <c r="M38" s="11" t="s">
        <v>77</v>
      </c>
      <c r="N38" s="11" t="str">
        <f t="shared" si="1"/>
        <v>Moderate</v>
      </c>
      <c r="O38" s="19" t="s">
        <v>97</v>
      </c>
      <c r="P38" s="21">
        <v>4.0</v>
      </c>
      <c r="Q38" s="11">
        <f t="shared" si="2"/>
        <v>2</v>
      </c>
      <c r="R38" s="11">
        <f t="shared" si="3"/>
        <v>4</v>
      </c>
      <c r="S38" s="21">
        <v>5.0</v>
      </c>
      <c r="T38" s="21">
        <v>4.0</v>
      </c>
      <c r="U38" s="21">
        <v>5.0</v>
      </c>
      <c r="V38" s="24">
        <f>ROUND((P38*'Scoring Model'!$C$4+Q38*'Scoring Model'!$C$5+R38*'Scoring Model'!$C$6+S38*'Scoring Model'!$C$7+T38*'Scoring Model'!$C$8+U38*'Scoring Model'!$C$9)/5*100,0)</f>
        <v>79</v>
      </c>
      <c r="W38" s="11" t="str">
        <f t="shared" si="4"/>
        <v>High</v>
      </c>
      <c r="X38" s="11" t="s">
        <v>126</v>
      </c>
      <c r="Y38" s="11" t="s">
        <v>141</v>
      </c>
      <c r="Z38" s="19" t="s">
        <v>142</v>
      </c>
    </row>
    <row r="39" ht="15.75" customHeight="1">
      <c r="A39" s="25" t="s">
        <v>128</v>
      </c>
      <c r="B39" s="26" t="s">
        <v>280</v>
      </c>
      <c r="C39" s="26" t="s">
        <v>121</v>
      </c>
      <c r="D39" s="26" t="s">
        <v>127</v>
      </c>
      <c r="E39" s="26" t="s">
        <v>95</v>
      </c>
      <c r="F39" s="26" t="s">
        <v>100</v>
      </c>
      <c r="G39" s="26" t="s">
        <v>62</v>
      </c>
      <c r="H39" s="27">
        <v>460.0</v>
      </c>
      <c r="I39" s="26" t="s">
        <v>71</v>
      </c>
      <c r="J39" s="26">
        <v>30.0</v>
      </c>
      <c r="K39" s="26" t="s">
        <v>74</v>
      </c>
      <c r="L39" s="28">
        <v>2.45</v>
      </c>
      <c r="M39" s="26" t="s">
        <v>77</v>
      </c>
      <c r="N39" s="26" t="str">
        <f t="shared" si="1"/>
        <v>Moderate</v>
      </c>
      <c r="O39" s="29" t="s">
        <v>282</v>
      </c>
      <c r="P39" s="30">
        <v>2.0</v>
      </c>
      <c r="Q39" s="26">
        <f t="shared" si="2"/>
        <v>4</v>
      </c>
      <c r="R39" s="26">
        <f t="shared" si="3"/>
        <v>4</v>
      </c>
      <c r="S39" s="30">
        <v>1.0</v>
      </c>
      <c r="T39" s="30">
        <v>1.0</v>
      </c>
      <c r="U39" s="30">
        <v>5.0</v>
      </c>
      <c r="V39" s="31">
        <f>ROUND((P39*'Scoring Model'!$C$4+Q39*'Scoring Model'!$C$5+R39*'Scoring Model'!$C$6+S39*'Scoring Model'!$C$7+T39*'Scoring Model'!$C$8+U39*'Scoring Model'!$C$9)/5*100,0)</f>
        <v>54</v>
      </c>
      <c r="W39" s="26" t="str">
        <f t="shared" si="4"/>
        <v>Low</v>
      </c>
      <c r="X39" s="26" t="s">
        <v>130</v>
      </c>
      <c r="Y39" s="26" t="s">
        <v>293</v>
      </c>
      <c r="Z39" s="29" t="s">
        <v>294</v>
      </c>
    </row>
    <row r="40" ht="15.75" customHeight="1">
      <c r="A40" s="9" t="s">
        <v>727</v>
      </c>
      <c r="B40" s="11" t="s">
        <v>56</v>
      </c>
      <c r="C40" s="11" t="s">
        <v>121</v>
      </c>
      <c r="D40" s="11" t="s">
        <v>121</v>
      </c>
      <c r="E40" s="11" t="s">
        <v>60</v>
      </c>
      <c r="F40" s="11" t="s">
        <v>61</v>
      </c>
      <c r="G40" s="11" t="s">
        <v>150</v>
      </c>
      <c r="H40" s="14">
        <v>140.0</v>
      </c>
      <c r="I40" s="11" t="s">
        <v>71</v>
      </c>
      <c r="J40" s="11">
        <v>42.0</v>
      </c>
      <c r="K40" s="11" t="s">
        <v>74</v>
      </c>
      <c r="L40" s="15">
        <v>10.4</v>
      </c>
      <c r="M40" s="11" t="s">
        <v>77</v>
      </c>
      <c r="N40" s="11" t="str">
        <f t="shared" si="1"/>
        <v>Competitive</v>
      </c>
      <c r="O40" s="19" t="s">
        <v>97</v>
      </c>
      <c r="P40" s="21">
        <v>4.0</v>
      </c>
      <c r="Q40" s="11">
        <f t="shared" si="2"/>
        <v>2</v>
      </c>
      <c r="R40" s="11">
        <f t="shared" si="3"/>
        <v>3</v>
      </c>
      <c r="S40" s="21">
        <v>5.0</v>
      </c>
      <c r="T40" s="21">
        <v>5.0</v>
      </c>
      <c r="U40" s="21">
        <v>5.0</v>
      </c>
      <c r="V40" s="24">
        <f>ROUND((P40*'Scoring Model'!$C$4+Q40*'Scoring Model'!$C$5+R40*'Scoring Model'!$C$6+S40*'Scoring Model'!$C$7+T40*'Scoring Model'!$C$8+U40*'Scoring Model'!$C$9)/5*100,0)</f>
        <v>78</v>
      </c>
      <c r="W40" s="11" t="str">
        <f t="shared" si="4"/>
        <v>High</v>
      </c>
      <c r="X40" s="11" t="s">
        <v>126</v>
      </c>
      <c r="Y40" s="11" t="s">
        <v>141</v>
      </c>
      <c r="Z40" s="19" t="s">
        <v>142</v>
      </c>
    </row>
    <row r="41" ht="15.75" customHeight="1">
      <c r="A41" s="25" t="s">
        <v>766</v>
      </c>
      <c r="B41" s="26" t="s">
        <v>652</v>
      </c>
      <c r="C41" s="26" t="s">
        <v>121</v>
      </c>
      <c r="D41" s="26" t="s">
        <v>121</v>
      </c>
      <c r="E41" s="26" t="s">
        <v>120</v>
      </c>
      <c r="F41" s="26" t="s">
        <v>191</v>
      </c>
      <c r="G41" s="26" t="s">
        <v>150</v>
      </c>
      <c r="H41" s="27">
        <v>480.0</v>
      </c>
      <c r="I41" s="26" t="s">
        <v>71</v>
      </c>
      <c r="J41" s="26">
        <v>28.0</v>
      </c>
      <c r="K41" s="26" t="s">
        <v>74</v>
      </c>
      <c r="L41" s="28">
        <v>3.2</v>
      </c>
      <c r="M41" s="26" t="s">
        <v>77</v>
      </c>
      <c r="N41" s="26" t="str">
        <f t="shared" si="1"/>
        <v>Moderate</v>
      </c>
      <c r="O41" s="29" t="s">
        <v>282</v>
      </c>
      <c r="P41" s="30">
        <v>3.0</v>
      </c>
      <c r="Q41" s="26">
        <f t="shared" si="2"/>
        <v>4</v>
      </c>
      <c r="R41" s="26">
        <f t="shared" si="3"/>
        <v>4</v>
      </c>
      <c r="S41" s="30">
        <v>3.0</v>
      </c>
      <c r="T41" s="30">
        <v>3.0</v>
      </c>
      <c r="U41" s="30">
        <v>5.0</v>
      </c>
      <c r="V41" s="31">
        <f>ROUND((P41*'Scoring Model'!$C$4+Q41*'Scoring Model'!$C$5+R41*'Scoring Model'!$C$6+S41*'Scoring Model'!$C$7+T41*'Scoring Model'!$C$8+U41*'Scoring Model'!$C$9)/5*100,0)</f>
        <v>71</v>
      </c>
      <c r="W41" s="26" t="str">
        <f t="shared" si="4"/>
        <v>Medium</v>
      </c>
      <c r="X41" s="26" t="s">
        <v>126</v>
      </c>
      <c r="Y41" s="26" t="s">
        <v>141</v>
      </c>
      <c r="Z41" s="29" t="s">
        <v>249</v>
      </c>
    </row>
    <row r="42" ht="15.75" customHeight="1">
      <c r="A42" s="9" t="s">
        <v>436</v>
      </c>
      <c r="B42" s="11" t="s">
        <v>280</v>
      </c>
      <c r="C42" s="11" t="s">
        <v>121</v>
      </c>
      <c r="D42" s="11" t="s">
        <v>127</v>
      </c>
      <c r="E42" s="11" t="s">
        <v>95</v>
      </c>
      <c r="F42" s="11" t="s">
        <v>100</v>
      </c>
      <c r="G42" s="11" t="s">
        <v>150</v>
      </c>
      <c r="H42" s="14">
        <v>720.0</v>
      </c>
      <c r="I42" s="11" t="s">
        <v>71</v>
      </c>
      <c r="J42" s="11">
        <v>33.0</v>
      </c>
      <c r="K42" s="11" t="s">
        <v>74</v>
      </c>
      <c r="L42" s="15">
        <v>2.2</v>
      </c>
      <c r="M42" s="11" t="s">
        <v>77</v>
      </c>
      <c r="N42" s="11" t="str">
        <f t="shared" si="1"/>
        <v>Moderate</v>
      </c>
      <c r="O42" s="19" t="s">
        <v>282</v>
      </c>
      <c r="P42" s="21">
        <v>2.0</v>
      </c>
      <c r="Q42" s="11">
        <f t="shared" si="2"/>
        <v>4</v>
      </c>
      <c r="R42" s="11">
        <f t="shared" si="3"/>
        <v>4</v>
      </c>
      <c r="S42" s="21">
        <v>1.0</v>
      </c>
      <c r="T42" s="21">
        <v>1.0</v>
      </c>
      <c r="U42" s="21">
        <v>5.0</v>
      </c>
      <c r="V42" s="24">
        <f>ROUND((P42*'Scoring Model'!$C$4+Q42*'Scoring Model'!$C$5+R42*'Scoring Model'!$C$6+S42*'Scoring Model'!$C$7+T42*'Scoring Model'!$C$8+U42*'Scoring Model'!$C$9)/5*100,0)</f>
        <v>54</v>
      </c>
      <c r="W42" s="11" t="str">
        <f t="shared" si="4"/>
        <v>Low</v>
      </c>
      <c r="X42" s="11" t="s">
        <v>130</v>
      </c>
      <c r="Y42" s="11" t="s">
        <v>293</v>
      </c>
      <c r="Z42" s="19" t="s">
        <v>294</v>
      </c>
    </row>
    <row r="43" ht="15.75" customHeight="1">
      <c r="A43" s="25" t="s">
        <v>777</v>
      </c>
      <c r="B43" s="26" t="s">
        <v>280</v>
      </c>
      <c r="C43" s="26" t="s">
        <v>121</v>
      </c>
      <c r="D43" s="26" t="s">
        <v>127</v>
      </c>
      <c r="E43" s="26" t="s">
        <v>95</v>
      </c>
      <c r="F43" s="26" t="s">
        <v>100</v>
      </c>
      <c r="G43" s="26" t="s">
        <v>150</v>
      </c>
      <c r="H43" s="27">
        <v>480.0</v>
      </c>
      <c r="I43" s="26" t="s">
        <v>71</v>
      </c>
      <c r="J43" s="26">
        <v>30.0</v>
      </c>
      <c r="K43" s="26" t="s">
        <v>74</v>
      </c>
      <c r="L43" s="28">
        <v>2.0</v>
      </c>
      <c r="M43" s="26" t="s">
        <v>77</v>
      </c>
      <c r="N43" s="26" t="str">
        <f t="shared" si="1"/>
        <v>Moderate</v>
      </c>
      <c r="O43" s="29" t="s">
        <v>282</v>
      </c>
      <c r="P43" s="30">
        <v>2.0</v>
      </c>
      <c r="Q43" s="26">
        <f t="shared" si="2"/>
        <v>4</v>
      </c>
      <c r="R43" s="26">
        <f t="shared" si="3"/>
        <v>4</v>
      </c>
      <c r="S43" s="30">
        <v>1.0</v>
      </c>
      <c r="T43" s="30">
        <v>1.0</v>
      </c>
      <c r="U43" s="30">
        <v>5.0</v>
      </c>
      <c r="V43" s="31">
        <f>ROUND((P43*'Scoring Model'!$C$4+Q43*'Scoring Model'!$C$5+R43*'Scoring Model'!$C$6+S43*'Scoring Model'!$C$7+T43*'Scoring Model'!$C$8+U43*'Scoring Model'!$C$9)/5*100,0)</f>
        <v>54</v>
      </c>
      <c r="W43" s="26" t="str">
        <f t="shared" si="4"/>
        <v>Low</v>
      </c>
      <c r="X43" s="26" t="s">
        <v>130</v>
      </c>
      <c r="Y43" s="26" t="s">
        <v>293</v>
      </c>
      <c r="Z43" s="29" t="s">
        <v>294</v>
      </c>
    </row>
    <row r="44" ht="15.75" customHeight="1">
      <c r="A44" s="9" t="s">
        <v>132</v>
      </c>
      <c r="B44" s="11" t="s">
        <v>56</v>
      </c>
      <c r="C44" s="11" t="s">
        <v>131</v>
      </c>
      <c r="D44" s="11" t="s">
        <v>131</v>
      </c>
      <c r="E44" s="11" t="s">
        <v>60</v>
      </c>
      <c r="F44" s="11" t="s">
        <v>61</v>
      </c>
      <c r="G44" s="11" t="s">
        <v>62</v>
      </c>
      <c r="H44" s="14">
        <v>260.0</v>
      </c>
      <c r="I44" s="11" t="s">
        <v>71</v>
      </c>
      <c r="J44" s="11">
        <v>38.0</v>
      </c>
      <c r="K44" s="11" t="s">
        <v>74</v>
      </c>
      <c r="L44" s="15">
        <v>5.2</v>
      </c>
      <c r="M44" s="11" t="s">
        <v>77</v>
      </c>
      <c r="N44" s="11" t="str">
        <f t="shared" si="1"/>
        <v>Moderate</v>
      </c>
      <c r="O44" s="19" t="s">
        <v>97</v>
      </c>
      <c r="P44" s="21">
        <v>3.0</v>
      </c>
      <c r="Q44" s="11">
        <f t="shared" si="2"/>
        <v>3</v>
      </c>
      <c r="R44" s="11">
        <f t="shared" si="3"/>
        <v>4</v>
      </c>
      <c r="S44" s="21">
        <v>5.0</v>
      </c>
      <c r="T44" s="21">
        <v>5.0</v>
      </c>
      <c r="U44" s="21">
        <v>4.0</v>
      </c>
      <c r="V44" s="24">
        <f>ROUND((P44*'Scoring Model'!$C$4+Q44*'Scoring Model'!$C$5+R44*'Scoring Model'!$C$6+S44*'Scoring Model'!$C$7+T44*'Scoring Model'!$C$8+U44*'Scoring Model'!$C$9)/5*100,0)</f>
        <v>78</v>
      </c>
      <c r="W44" s="11" t="str">
        <f t="shared" si="4"/>
        <v>High</v>
      </c>
      <c r="X44" s="11" t="s">
        <v>136</v>
      </c>
      <c r="Y44" s="11" t="s">
        <v>141</v>
      </c>
      <c r="Z44" s="19" t="s">
        <v>142</v>
      </c>
    </row>
    <row r="45" ht="15.75" customHeight="1">
      <c r="A45" s="25" t="s">
        <v>778</v>
      </c>
      <c r="B45" s="26" t="s">
        <v>56</v>
      </c>
      <c r="C45" s="26" t="s">
        <v>131</v>
      </c>
      <c r="D45" s="26" t="s">
        <v>131</v>
      </c>
      <c r="E45" s="26" t="s">
        <v>60</v>
      </c>
      <c r="F45" s="26" t="s">
        <v>61</v>
      </c>
      <c r="G45" s="26" t="s">
        <v>150</v>
      </c>
      <c r="H45" s="27">
        <v>120.0</v>
      </c>
      <c r="I45" s="26" t="s">
        <v>71</v>
      </c>
      <c r="J45" s="26">
        <v>36.0</v>
      </c>
      <c r="K45" s="26" t="s">
        <v>74</v>
      </c>
      <c r="L45" s="28">
        <v>5.2</v>
      </c>
      <c r="M45" s="26" t="s">
        <v>77</v>
      </c>
      <c r="N45" s="26" t="str">
        <f t="shared" si="1"/>
        <v>Moderate</v>
      </c>
      <c r="O45" s="29" t="s">
        <v>97</v>
      </c>
      <c r="P45" s="30">
        <v>3.0</v>
      </c>
      <c r="Q45" s="26">
        <f t="shared" si="2"/>
        <v>2</v>
      </c>
      <c r="R45" s="26">
        <f t="shared" si="3"/>
        <v>4</v>
      </c>
      <c r="S45" s="30">
        <v>5.0</v>
      </c>
      <c r="T45" s="30">
        <v>5.0</v>
      </c>
      <c r="U45" s="30">
        <v>4.0</v>
      </c>
      <c r="V45" s="31">
        <f>ROUND((P45*'Scoring Model'!$C$4+Q45*'Scoring Model'!$C$5+R45*'Scoring Model'!$C$6+S45*'Scoring Model'!$C$7+T45*'Scoring Model'!$C$8+U45*'Scoring Model'!$C$9)/5*100,0)</f>
        <v>75</v>
      </c>
      <c r="W45" s="26" t="str">
        <f t="shared" si="4"/>
        <v>High</v>
      </c>
      <c r="X45" s="26" t="s">
        <v>136</v>
      </c>
      <c r="Y45" s="26" t="s">
        <v>141</v>
      </c>
      <c r="Z45" s="29" t="s">
        <v>142</v>
      </c>
    </row>
    <row r="46" ht="15.75" customHeight="1">
      <c r="A46" s="9" t="s">
        <v>779</v>
      </c>
      <c r="B46" s="11" t="s">
        <v>173</v>
      </c>
      <c r="C46" s="11" t="s">
        <v>131</v>
      </c>
      <c r="D46" s="11" t="s">
        <v>131</v>
      </c>
      <c r="E46" s="11" t="s">
        <v>60</v>
      </c>
      <c r="F46" s="11" t="s">
        <v>61</v>
      </c>
      <c r="G46" s="11" t="s">
        <v>150</v>
      </c>
      <c r="H46" s="14">
        <v>390.0</v>
      </c>
      <c r="I46" s="11" t="s">
        <v>71</v>
      </c>
      <c r="J46" s="11">
        <v>44.0</v>
      </c>
      <c r="K46" s="11" t="s">
        <v>74</v>
      </c>
      <c r="L46" s="15">
        <v>5.46</v>
      </c>
      <c r="M46" s="11" t="s">
        <v>77</v>
      </c>
      <c r="N46" s="11" t="str">
        <f t="shared" si="1"/>
        <v>Competitive</v>
      </c>
      <c r="O46" s="19" t="s">
        <v>97</v>
      </c>
      <c r="P46" s="21">
        <v>3.0</v>
      </c>
      <c r="Q46" s="11">
        <f t="shared" si="2"/>
        <v>3</v>
      </c>
      <c r="R46" s="11">
        <f t="shared" si="3"/>
        <v>3</v>
      </c>
      <c r="S46" s="21">
        <v>5.0</v>
      </c>
      <c r="T46" s="21">
        <v>5.0</v>
      </c>
      <c r="U46" s="21">
        <v>4.0</v>
      </c>
      <c r="V46" s="24">
        <f>ROUND((P46*'Scoring Model'!$C$4+Q46*'Scoring Model'!$C$5+R46*'Scoring Model'!$C$6+S46*'Scoring Model'!$C$7+T46*'Scoring Model'!$C$8+U46*'Scoring Model'!$C$9)/5*100,0)</f>
        <v>74</v>
      </c>
      <c r="W46" s="11" t="str">
        <f t="shared" si="4"/>
        <v>Medium</v>
      </c>
      <c r="X46" s="11" t="s">
        <v>136</v>
      </c>
      <c r="Y46" s="11" t="s">
        <v>141</v>
      </c>
      <c r="Z46" s="19" t="s">
        <v>142</v>
      </c>
    </row>
    <row r="47" ht="15.75" customHeight="1">
      <c r="A47" s="25" t="s">
        <v>780</v>
      </c>
      <c r="B47" s="26" t="s">
        <v>190</v>
      </c>
      <c r="C47" s="26" t="s">
        <v>131</v>
      </c>
      <c r="D47" s="26" t="s">
        <v>131</v>
      </c>
      <c r="E47" s="26" t="s">
        <v>120</v>
      </c>
      <c r="F47" s="26" t="s">
        <v>191</v>
      </c>
      <c r="G47" s="26" t="s">
        <v>150</v>
      </c>
      <c r="H47" s="27">
        <v>80.0</v>
      </c>
      <c r="I47" s="26" t="s">
        <v>71</v>
      </c>
      <c r="J47" s="26">
        <v>35.0</v>
      </c>
      <c r="K47" s="26" t="s">
        <v>74</v>
      </c>
      <c r="L47" s="28">
        <v>4.42</v>
      </c>
      <c r="M47" s="26" t="s">
        <v>77</v>
      </c>
      <c r="N47" s="26" t="str">
        <f t="shared" si="1"/>
        <v>Moderate</v>
      </c>
      <c r="O47" s="29" t="s">
        <v>97</v>
      </c>
      <c r="P47" s="30">
        <v>2.0</v>
      </c>
      <c r="Q47" s="26">
        <f t="shared" si="2"/>
        <v>2</v>
      </c>
      <c r="R47" s="26">
        <f t="shared" si="3"/>
        <v>4</v>
      </c>
      <c r="S47" s="30">
        <v>4.0</v>
      </c>
      <c r="T47" s="30">
        <v>3.0</v>
      </c>
      <c r="U47" s="30">
        <v>4.0</v>
      </c>
      <c r="V47" s="31">
        <f>ROUND((P47*'Scoring Model'!$C$4+Q47*'Scoring Model'!$C$5+R47*'Scoring Model'!$C$6+S47*'Scoring Model'!$C$7+T47*'Scoring Model'!$C$8+U47*'Scoring Model'!$C$9)/5*100,0)</f>
        <v>61</v>
      </c>
      <c r="W47" s="26" t="str">
        <f t="shared" si="4"/>
        <v>Medium</v>
      </c>
      <c r="X47" s="26" t="s">
        <v>136</v>
      </c>
      <c r="Y47" s="26" t="s">
        <v>141</v>
      </c>
      <c r="Z47" s="29" t="s">
        <v>249</v>
      </c>
    </row>
    <row r="48" ht="15.75" customHeight="1">
      <c r="A48" s="9" t="s">
        <v>781</v>
      </c>
      <c r="B48" s="11" t="s">
        <v>256</v>
      </c>
      <c r="C48" s="11" t="s">
        <v>131</v>
      </c>
      <c r="D48" s="11" t="s">
        <v>131</v>
      </c>
      <c r="E48" s="11" t="s">
        <v>60</v>
      </c>
      <c r="F48" s="11" t="s">
        <v>61</v>
      </c>
      <c r="G48" s="11" t="s">
        <v>150</v>
      </c>
      <c r="H48" s="14">
        <v>90.0</v>
      </c>
      <c r="I48" s="11" t="s">
        <v>71</v>
      </c>
      <c r="J48" s="11">
        <v>34.0</v>
      </c>
      <c r="K48" s="11" t="s">
        <v>74</v>
      </c>
      <c r="L48" s="15">
        <v>4.16</v>
      </c>
      <c r="M48" s="11" t="s">
        <v>77</v>
      </c>
      <c r="N48" s="11" t="str">
        <f t="shared" si="1"/>
        <v>Moderate</v>
      </c>
      <c r="O48" s="19" t="s">
        <v>97</v>
      </c>
      <c r="P48" s="21">
        <v>3.0</v>
      </c>
      <c r="Q48" s="11">
        <f t="shared" si="2"/>
        <v>2</v>
      </c>
      <c r="R48" s="11">
        <f t="shared" si="3"/>
        <v>4</v>
      </c>
      <c r="S48" s="21">
        <v>5.0</v>
      </c>
      <c r="T48" s="21">
        <v>4.0</v>
      </c>
      <c r="U48" s="21">
        <v>4.0</v>
      </c>
      <c r="V48" s="24">
        <f>ROUND((P48*'Scoring Model'!$C$4+Q48*'Scoring Model'!$C$5+R48*'Scoring Model'!$C$6+S48*'Scoring Model'!$C$7+T48*'Scoring Model'!$C$8+U48*'Scoring Model'!$C$9)/5*100,0)</f>
        <v>72</v>
      </c>
      <c r="W48" s="11" t="str">
        <f t="shared" si="4"/>
        <v>Medium</v>
      </c>
      <c r="X48" s="11" t="s">
        <v>136</v>
      </c>
      <c r="Y48" s="11" t="s">
        <v>141</v>
      </c>
      <c r="Z48" s="19" t="s">
        <v>142</v>
      </c>
    </row>
    <row r="49" ht="15.75" customHeight="1">
      <c r="A49" s="25" t="s">
        <v>786</v>
      </c>
      <c r="B49" s="26" t="s">
        <v>56</v>
      </c>
      <c r="C49" s="26" t="s">
        <v>131</v>
      </c>
      <c r="D49" s="26" t="s">
        <v>131</v>
      </c>
      <c r="E49" s="26" t="s">
        <v>60</v>
      </c>
      <c r="F49" s="26" t="s">
        <v>61</v>
      </c>
      <c r="G49" s="26" t="s">
        <v>150</v>
      </c>
      <c r="H49" s="27">
        <v>140.0</v>
      </c>
      <c r="I49" s="26" t="s">
        <v>71</v>
      </c>
      <c r="J49" s="26">
        <v>36.0</v>
      </c>
      <c r="K49" s="26" t="s">
        <v>74</v>
      </c>
      <c r="L49" s="28">
        <v>6.1</v>
      </c>
      <c r="M49" s="26" t="s">
        <v>77</v>
      </c>
      <c r="N49" s="26" t="str">
        <f t="shared" si="1"/>
        <v>Moderate</v>
      </c>
      <c r="O49" s="29" t="s">
        <v>97</v>
      </c>
      <c r="P49" s="30">
        <v>3.0</v>
      </c>
      <c r="Q49" s="26">
        <f t="shared" si="2"/>
        <v>2</v>
      </c>
      <c r="R49" s="26">
        <f t="shared" si="3"/>
        <v>4</v>
      </c>
      <c r="S49" s="30">
        <v>5.0</v>
      </c>
      <c r="T49" s="30">
        <v>5.0</v>
      </c>
      <c r="U49" s="30">
        <v>4.0</v>
      </c>
      <c r="V49" s="31">
        <f>ROUND((P49*'Scoring Model'!$C$4+Q49*'Scoring Model'!$C$5+R49*'Scoring Model'!$C$6+S49*'Scoring Model'!$C$7+T49*'Scoring Model'!$C$8+U49*'Scoring Model'!$C$9)/5*100,0)</f>
        <v>75</v>
      </c>
      <c r="W49" s="26" t="str">
        <f t="shared" si="4"/>
        <v>High</v>
      </c>
      <c r="X49" s="26" t="s">
        <v>136</v>
      </c>
      <c r="Y49" s="26" t="s">
        <v>141</v>
      </c>
      <c r="Z49" s="29" t="s">
        <v>142</v>
      </c>
    </row>
    <row r="50" ht="15.75" customHeight="1">
      <c r="A50" s="9" t="s">
        <v>138</v>
      </c>
      <c r="B50" s="11" t="s">
        <v>280</v>
      </c>
      <c r="C50" s="11" t="s">
        <v>131</v>
      </c>
      <c r="D50" s="11" t="s">
        <v>137</v>
      </c>
      <c r="E50" s="11" t="s">
        <v>95</v>
      </c>
      <c r="F50" s="11" t="s">
        <v>100</v>
      </c>
      <c r="G50" s="11" t="s">
        <v>62</v>
      </c>
      <c r="H50" s="14">
        <v>390.0</v>
      </c>
      <c r="I50" s="11" t="s">
        <v>71</v>
      </c>
      <c r="J50" s="11">
        <v>24.0</v>
      </c>
      <c r="K50" s="11" t="s">
        <v>74</v>
      </c>
      <c r="L50" s="15">
        <v>1.9</v>
      </c>
      <c r="M50" s="11" t="s">
        <v>77</v>
      </c>
      <c r="N50" s="11" t="str">
        <f t="shared" si="1"/>
        <v>Moderate</v>
      </c>
      <c r="O50" s="19" t="s">
        <v>282</v>
      </c>
      <c r="P50" s="21">
        <v>1.0</v>
      </c>
      <c r="Q50" s="11">
        <f t="shared" si="2"/>
        <v>3</v>
      </c>
      <c r="R50" s="11">
        <f t="shared" si="3"/>
        <v>5</v>
      </c>
      <c r="S50" s="21">
        <v>1.0</v>
      </c>
      <c r="T50" s="21">
        <v>1.0</v>
      </c>
      <c r="U50" s="21">
        <v>4.0</v>
      </c>
      <c r="V50" s="24">
        <f>ROUND((P50*'Scoring Model'!$C$4+Q50*'Scoring Model'!$C$5+R50*'Scoring Model'!$C$6+S50*'Scoring Model'!$C$7+T50*'Scoring Model'!$C$8+U50*'Scoring Model'!$C$9)/5*100,0)</f>
        <v>48</v>
      </c>
      <c r="W50" s="11" t="str">
        <f t="shared" si="4"/>
        <v>Low</v>
      </c>
      <c r="X50" s="11" t="s">
        <v>140</v>
      </c>
      <c r="Y50" s="11" t="s">
        <v>293</v>
      </c>
      <c r="Z50" s="19" t="s">
        <v>294</v>
      </c>
    </row>
    <row r="51" ht="15.75" customHeight="1">
      <c r="A51" s="25" t="s">
        <v>832</v>
      </c>
      <c r="B51" s="26" t="s">
        <v>280</v>
      </c>
      <c r="C51" s="26" t="s">
        <v>131</v>
      </c>
      <c r="D51" s="26" t="s">
        <v>137</v>
      </c>
      <c r="E51" s="26" t="s">
        <v>95</v>
      </c>
      <c r="F51" s="26" t="s">
        <v>100</v>
      </c>
      <c r="G51" s="26" t="s">
        <v>150</v>
      </c>
      <c r="H51" s="27">
        <v>1300.0</v>
      </c>
      <c r="I51" s="26" t="s">
        <v>71</v>
      </c>
      <c r="J51" s="26">
        <v>30.0</v>
      </c>
      <c r="K51" s="26" t="s">
        <v>74</v>
      </c>
      <c r="L51" s="28">
        <v>1.5</v>
      </c>
      <c r="M51" s="26" t="s">
        <v>77</v>
      </c>
      <c r="N51" s="26" t="str">
        <f t="shared" si="1"/>
        <v>Moderate</v>
      </c>
      <c r="O51" s="29" t="s">
        <v>282</v>
      </c>
      <c r="P51" s="30">
        <v>1.0</v>
      </c>
      <c r="Q51" s="26">
        <f t="shared" si="2"/>
        <v>5</v>
      </c>
      <c r="R51" s="26">
        <f t="shared" si="3"/>
        <v>4</v>
      </c>
      <c r="S51" s="30">
        <v>1.0</v>
      </c>
      <c r="T51" s="30">
        <v>1.0</v>
      </c>
      <c r="U51" s="30">
        <v>4.0</v>
      </c>
      <c r="V51" s="31">
        <f>ROUND((P51*'Scoring Model'!$C$4+Q51*'Scoring Model'!$C$5+R51*'Scoring Model'!$C$6+S51*'Scoring Model'!$C$7+T51*'Scoring Model'!$C$8+U51*'Scoring Model'!$C$9)/5*100,0)</f>
        <v>50</v>
      </c>
      <c r="W51" s="26" t="str">
        <f t="shared" si="4"/>
        <v>Low</v>
      </c>
      <c r="X51" s="26" t="s">
        <v>140</v>
      </c>
      <c r="Y51" s="26" t="s">
        <v>293</v>
      </c>
      <c r="Z51" s="29" t="s">
        <v>294</v>
      </c>
    </row>
    <row r="52" ht="15.75" customHeight="1">
      <c r="A52" s="9" t="s">
        <v>448</v>
      </c>
      <c r="B52" s="11" t="s">
        <v>371</v>
      </c>
      <c r="C52" s="11" t="s">
        <v>131</v>
      </c>
      <c r="D52" s="11" t="s">
        <v>137</v>
      </c>
      <c r="E52" s="11" t="s">
        <v>95</v>
      </c>
      <c r="F52" s="11" t="s">
        <v>100</v>
      </c>
      <c r="G52" s="11" t="s">
        <v>150</v>
      </c>
      <c r="H52" s="14">
        <v>260.0</v>
      </c>
      <c r="I52" s="11" t="s">
        <v>71</v>
      </c>
      <c r="J52" s="11">
        <v>22.0</v>
      </c>
      <c r="K52" s="11" t="s">
        <v>74</v>
      </c>
      <c r="L52" s="15">
        <v>1.3</v>
      </c>
      <c r="M52" s="11" t="s">
        <v>77</v>
      </c>
      <c r="N52" s="11" t="str">
        <f t="shared" si="1"/>
        <v>Moderate</v>
      </c>
      <c r="O52" s="19" t="s">
        <v>282</v>
      </c>
      <c r="P52" s="21">
        <v>1.0</v>
      </c>
      <c r="Q52" s="11">
        <f t="shared" si="2"/>
        <v>3</v>
      </c>
      <c r="R52" s="11">
        <f t="shared" si="3"/>
        <v>5</v>
      </c>
      <c r="S52" s="21">
        <v>2.0</v>
      </c>
      <c r="T52" s="21">
        <v>2.0</v>
      </c>
      <c r="U52" s="21">
        <v>4.0</v>
      </c>
      <c r="V52" s="24">
        <f>ROUND((P52*'Scoring Model'!$C$4+Q52*'Scoring Model'!$C$5+R52*'Scoring Model'!$C$6+S52*'Scoring Model'!$C$7+T52*'Scoring Model'!$C$8+U52*'Scoring Model'!$C$9)/5*100,0)</f>
        <v>54</v>
      </c>
      <c r="W52" s="11" t="str">
        <f t="shared" si="4"/>
        <v>Low</v>
      </c>
      <c r="X52" s="11" t="s">
        <v>140</v>
      </c>
      <c r="Y52" s="11" t="s">
        <v>293</v>
      </c>
      <c r="Z52" s="19" t="s">
        <v>294</v>
      </c>
    </row>
    <row r="53" ht="15.75" customHeight="1">
      <c r="A53" s="25" t="s">
        <v>145</v>
      </c>
      <c r="B53" s="26" t="s">
        <v>56</v>
      </c>
      <c r="C53" s="26" t="s">
        <v>144</v>
      </c>
      <c r="D53" s="26" t="s">
        <v>144</v>
      </c>
      <c r="E53" s="26" t="s">
        <v>60</v>
      </c>
      <c r="F53" s="26" t="s">
        <v>61</v>
      </c>
      <c r="G53" s="26" t="s">
        <v>62</v>
      </c>
      <c r="H53" s="27">
        <v>260.0</v>
      </c>
      <c r="I53" s="26" t="s">
        <v>71</v>
      </c>
      <c r="J53" s="26">
        <v>45.0</v>
      </c>
      <c r="K53" s="26" t="s">
        <v>74</v>
      </c>
      <c r="L53" s="28">
        <v>7.9</v>
      </c>
      <c r="M53" s="26" t="s">
        <v>77</v>
      </c>
      <c r="N53" s="26" t="str">
        <f t="shared" si="1"/>
        <v>Competitive</v>
      </c>
      <c r="O53" s="29" t="s">
        <v>97</v>
      </c>
      <c r="P53" s="30">
        <v>4.0</v>
      </c>
      <c r="Q53" s="26">
        <f t="shared" si="2"/>
        <v>3</v>
      </c>
      <c r="R53" s="26">
        <f t="shared" si="3"/>
        <v>3</v>
      </c>
      <c r="S53" s="30">
        <v>5.0</v>
      </c>
      <c r="T53" s="30">
        <v>5.0</v>
      </c>
      <c r="U53" s="30">
        <v>4.0</v>
      </c>
      <c r="V53" s="31">
        <f>ROUND((P53*'Scoring Model'!$C$4+Q53*'Scoring Model'!$C$5+R53*'Scoring Model'!$C$6+S53*'Scoring Model'!$C$7+T53*'Scoring Model'!$C$8+U53*'Scoring Model'!$C$9)/5*100,0)</f>
        <v>79</v>
      </c>
      <c r="W53" s="26" t="str">
        <f t="shared" si="4"/>
        <v>High</v>
      </c>
      <c r="X53" s="26" t="s">
        <v>149</v>
      </c>
      <c r="Y53" s="26" t="s">
        <v>141</v>
      </c>
      <c r="Z53" s="29" t="s">
        <v>142</v>
      </c>
    </row>
    <row r="54" ht="15.75" customHeight="1">
      <c r="A54" s="9" t="s">
        <v>838</v>
      </c>
      <c r="B54" s="11" t="s">
        <v>56</v>
      </c>
      <c r="C54" s="11" t="s">
        <v>144</v>
      </c>
      <c r="D54" s="11" t="s">
        <v>144</v>
      </c>
      <c r="E54" s="11" t="s">
        <v>60</v>
      </c>
      <c r="F54" s="11" t="s">
        <v>61</v>
      </c>
      <c r="G54" s="11" t="s">
        <v>150</v>
      </c>
      <c r="H54" s="14">
        <v>120.0</v>
      </c>
      <c r="I54" s="11" t="s">
        <v>71</v>
      </c>
      <c r="J54" s="11">
        <v>43.0</v>
      </c>
      <c r="K54" s="11" t="s">
        <v>74</v>
      </c>
      <c r="L54" s="15">
        <v>7.9</v>
      </c>
      <c r="M54" s="11" t="s">
        <v>77</v>
      </c>
      <c r="N54" s="11" t="str">
        <f t="shared" si="1"/>
        <v>Competitive</v>
      </c>
      <c r="O54" s="19" t="s">
        <v>97</v>
      </c>
      <c r="P54" s="21">
        <v>4.0</v>
      </c>
      <c r="Q54" s="11">
        <f t="shared" si="2"/>
        <v>2</v>
      </c>
      <c r="R54" s="11">
        <f t="shared" si="3"/>
        <v>3</v>
      </c>
      <c r="S54" s="21">
        <v>5.0</v>
      </c>
      <c r="T54" s="21">
        <v>5.0</v>
      </c>
      <c r="U54" s="21">
        <v>4.0</v>
      </c>
      <c r="V54" s="24">
        <f>ROUND((P54*'Scoring Model'!$C$4+Q54*'Scoring Model'!$C$5+R54*'Scoring Model'!$C$6+S54*'Scoring Model'!$C$7+T54*'Scoring Model'!$C$8+U54*'Scoring Model'!$C$9)/5*100,0)</f>
        <v>76</v>
      </c>
      <c r="W54" s="11" t="str">
        <f t="shared" si="4"/>
        <v>High</v>
      </c>
      <c r="X54" s="11" t="s">
        <v>149</v>
      </c>
      <c r="Y54" s="11" t="s">
        <v>141</v>
      </c>
      <c r="Z54" s="19" t="s">
        <v>142</v>
      </c>
    </row>
    <row r="55" ht="15.75" customHeight="1">
      <c r="A55" s="25" t="s">
        <v>839</v>
      </c>
      <c r="B55" s="26" t="s">
        <v>173</v>
      </c>
      <c r="C55" s="26" t="s">
        <v>144</v>
      </c>
      <c r="D55" s="26" t="s">
        <v>144</v>
      </c>
      <c r="E55" s="26" t="s">
        <v>60</v>
      </c>
      <c r="F55" s="26" t="s">
        <v>61</v>
      </c>
      <c r="G55" s="26" t="s">
        <v>150</v>
      </c>
      <c r="H55" s="27">
        <v>390.0</v>
      </c>
      <c r="I55" s="26" t="s">
        <v>71</v>
      </c>
      <c r="J55" s="26">
        <v>51.0</v>
      </c>
      <c r="K55" s="26" t="s">
        <v>74</v>
      </c>
      <c r="L55" s="28">
        <v>8.29</v>
      </c>
      <c r="M55" s="26" t="s">
        <v>77</v>
      </c>
      <c r="N55" s="26" t="str">
        <f t="shared" si="1"/>
        <v>Competitive</v>
      </c>
      <c r="O55" s="29" t="s">
        <v>97</v>
      </c>
      <c r="P55" s="30">
        <v>4.0</v>
      </c>
      <c r="Q55" s="26">
        <f t="shared" si="2"/>
        <v>3</v>
      </c>
      <c r="R55" s="26">
        <f t="shared" si="3"/>
        <v>3</v>
      </c>
      <c r="S55" s="30">
        <v>5.0</v>
      </c>
      <c r="T55" s="30">
        <v>5.0</v>
      </c>
      <c r="U55" s="30">
        <v>4.0</v>
      </c>
      <c r="V55" s="31">
        <f>ROUND((P55*'Scoring Model'!$C$4+Q55*'Scoring Model'!$C$5+R55*'Scoring Model'!$C$6+S55*'Scoring Model'!$C$7+T55*'Scoring Model'!$C$8+U55*'Scoring Model'!$C$9)/5*100,0)</f>
        <v>79</v>
      </c>
      <c r="W55" s="26" t="str">
        <f t="shared" si="4"/>
        <v>High</v>
      </c>
      <c r="X55" s="26" t="s">
        <v>149</v>
      </c>
      <c r="Y55" s="26" t="s">
        <v>141</v>
      </c>
      <c r="Z55" s="29" t="s">
        <v>142</v>
      </c>
    </row>
    <row r="56" ht="15.75" customHeight="1">
      <c r="A56" s="9" t="s">
        <v>840</v>
      </c>
      <c r="B56" s="11" t="s">
        <v>256</v>
      </c>
      <c r="C56" s="11" t="s">
        <v>144</v>
      </c>
      <c r="D56" s="11" t="s">
        <v>144</v>
      </c>
      <c r="E56" s="11" t="s">
        <v>60</v>
      </c>
      <c r="F56" s="11" t="s">
        <v>61</v>
      </c>
      <c r="G56" s="11" t="s">
        <v>150</v>
      </c>
      <c r="H56" s="14">
        <v>90.0</v>
      </c>
      <c r="I56" s="11" t="s">
        <v>71</v>
      </c>
      <c r="J56" s="11">
        <v>41.0</v>
      </c>
      <c r="K56" s="11" t="s">
        <v>74</v>
      </c>
      <c r="L56" s="15">
        <v>6.32</v>
      </c>
      <c r="M56" s="11" t="s">
        <v>77</v>
      </c>
      <c r="N56" s="11" t="str">
        <f t="shared" si="1"/>
        <v>Competitive</v>
      </c>
      <c r="O56" s="19" t="s">
        <v>97</v>
      </c>
      <c r="P56" s="21">
        <v>4.0</v>
      </c>
      <c r="Q56" s="11">
        <f t="shared" si="2"/>
        <v>2</v>
      </c>
      <c r="R56" s="11">
        <f t="shared" si="3"/>
        <v>3</v>
      </c>
      <c r="S56" s="21">
        <v>5.0</v>
      </c>
      <c r="T56" s="21">
        <v>4.0</v>
      </c>
      <c r="U56" s="21">
        <v>4.0</v>
      </c>
      <c r="V56" s="24">
        <f>ROUND((P56*'Scoring Model'!$C$4+Q56*'Scoring Model'!$C$5+R56*'Scoring Model'!$C$6+S56*'Scoring Model'!$C$7+T56*'Scoring Model'!$C$8+U56*'Scoring Model'!$C$9)/5*100,0)</f>
        <v>73</v>
      </c>
      <c r="W56" s="11" t="str">
        <f t="shared" si="4"/>
        <v>Medium</v>
      </c>
      <c r="X56" s="11" t="s">
        <v>149</v>
      </c>
      <c r="Y56" s="11" t="s">
        <v>141</v>
      </c>
      <c r="Z56" s="19" t="s">
        <v>142</v>
      </c>
    </row>
    <row r="57" ht="15.75" customHeight="1">
      <c r="A57" s="25" t="s">
        <v>455</v>
      </c>
      <c r="B57" s="26" t="s">
        <v>56</v>
      </c>
      <c r="C57" s="26" t="s">
        <v>144</v>
      </c>
      <c r="D57" s="26" t="s">
        <v>144</v>
      </c>
      <c r="E57" s="26" t="s">
        <v>60</v>
      </c>
      <c r="F57" s="26" t="s">
        <v>61</v>
      </c>
      <c r="G57" s="26" t="s">
        <v>150</v>
      </c>
      <c r="H57" s="27">
        <v>590.0</v>
      </c>
      <c r="I57" s="26" t="s">
        <v>71</v>
      </c>
      <c r="J57" s="26">
        <v>52.0</v>
      </c>
      <c r="K57" s="26" t="s">
        <v>74</v>
      </c>
      <c r="L57" s="28">
        <v>8.2</v>
      </c>
      <c r="M57" s="26" t="s">
        <v>77</v>
      </c>
      <c r="N57" s="26" t="str">
        <f t="shared" si="1"/>
        <v>Competitive</v>
      </c>
      <c r="O57" s="29" t="s">
        <v>97</v>
      </c>
      <c r="P57" s="30">
        <v>4.0</v>
      </c>
      <c r="Q57" s="26">
        <f t="shared" si="2"/>
        <v>4</v>
      </c>
      <c r="R57" s="26">
        <f t="shared" si="3"/>
        <v>3</v>
      </c>
      <c r="S57" s="30">
        <v>5.0</v>
      </c>
      <c r="T57" s="30">
        <v>5.0</v>
      </c>
      <c r="U57" s="30">
        <v>4.0</v>
      </c>
      <c r="V57" s="31">
        <f>ROUND((P57*'Scoring Model'!$C$4+Q57*'Scoring Model'!$C$5+R57*'Scoring Model'!$C$6+S57*'Scoring Model'!$C$7+T57*'Scoring Model'!$C$8+U57*'Scoring Model'!$C$9)/5*100,0)</f>
        <v>82</v>
      </c>
      <c r="W57" s="26" t="str">
        <f t="shared" si="4"/>
        <v>High</v>
      </c>
      <c r="X57" s="26" t="s">
        <v>149</v>
      </c>
      <c r="Y57" s="26" t="s">
        <v>141</v>
      </c>
      <c r="Z57" s="29" t="s">
        <v>142</v>
      </c>
    </row>
    <row r="58" ht="15.75" customHeight="1">
      <c r="A58" s="9" t="s">
        <v>841</v>
      </c>
      <c r="B58" s="11" t="s">
        <v>56</v>
      </c>
      <c r="C58" s="11" t="s">
        <v>144</v>
      </c>
      <c r="D58" s="11" t="s">
        <v>144</v>
      </c>
      <c r="E58" s="11" t="s">
        <v>60</v>
      </c>
      <c r="F58" s="11" t="s">
        <v>61</v>
      </c>
      <c r="G58" s="11" t="s">
        <v>150</v>
      </c>
      <c r="H58" s="14">
        <v>480.0</v>
      </c>
      <c r="I58" s="11" t="s">
        <v>71</v>
      </c>
      <c r="J58" s="11">
        <v>50.0</v>
      </c>
      <c r="K58" s="11" t="s">
        <v>74</v>
      </c>
      <c r="L58" s="15">
        <v>9.1</v>
      </c>
      <c r="M58" s="11" t="s">
        <v>77</v>
      </c>
      <c r="N58" s="11" t="str">
        <f t="shared" si="1"/>
        <v>Competitive</v>
      </c>
      <c r="O58" s="19" t="s">
        <v>97</v>
      </c>
      <c r="P58" s="21">
        <v>4.0</v>
      </c>
      <c r="Q58" s="11">
        <f t="shared" si="2"/>
        <v>4</v>
      </c>
      <c r="R58" s="11">
        <f t="shared" si="3"/>
        <v>3</v>
      </c>
      <c r="S58" s="21">
        <v>5.0</v>
      </c>
      <c r="T58" s="21">
        <v>5.0</v>
      </c>
      <c r="U58" s="21">
        <v>4.0</v>
      </c>
      <c r="V58" s="24">
        <f>ROUND((P58*'Scoring Model'!$C$4+Q58*'Scoring Model'!$C$5+R58*'Scoring Model'!$C$6+S58*'Scoring Model'!$C$7+T58*'Scoring Model'!$C$8+U58*'Scoring Model'!$C$9)/5*100,0)</f>
        <v>82</v>
      </c>
      <c r="W58" s="11" t="str">
        <f t="shared" si="4"/>
        <v>High</v>
      </c>
      <c r="X58" s="11" t="s">
        <v>149</v>
      </c>
      <c r="Y58" s="11" t="s">
        <v>141</v>
      </c>
      <c r="Z58" s="19" t="s">
        <v>303</v>
      </c>
    </row>
    <row r="59" ht="15.75" customHeight="1">
      <c r="A59" s="25" t="s">
        <v>842</v>
      </c>
      <c r="B59" s="26" t="s">
        <v>56</v>
      </c>
      <c r="C59" s="26" t="s">
        <v>144</v>
      </c>
      <c r="D59" s="26" t="s">
        <v>144</v>
      </c>
      <c r="E59" s="26" t="s">
        <v>60</v>
      </c>
      <c r="F59" s="26" t="s">
        <v>61</v>
      </c>
      <c r="G59" s="26" t="s">
        <v>150</v>
      </c>
      <c r="H59" s="27">
        <v>90.0</v>
      </c>
      <c r="I59" s="26" t="s">
        <v>71</v>
      </c>
      <c r="J59" s="26">
        <v>38.0</v>
      </c>
      <c r="K59" s="26" t="s">
        <v>74</v>
      </c>
      <c r="L59" s="28">
        <v>8.0</v>
      </c>
      <c r="M59" s="26" t="s">
        <v>77</v>
      </c>
      <c r="N59" s="26" t="str">
        <f t="shared" si="1"/>
        <v>Moderate</v>
      </c>
      <c r="O59" s="29" t="s">
        <v>97</v>
      </c>
      <c r="P59" s="30">
        <v>4.0</v>
      </c>
      <c r="Q59" s="26">
        <f t="shared" si="2"/>
        <v>2</v>
      </c>
      <c r="R59" s="26">
        <f t="shared" si="3"/>
        <v>4</v>
      </c>
      <c r="S59" s="30">
        <v>5.0</v>
      </c>
      <c r="T59" s="30">
        <v>5.0</v>
      </c>
      <c r="U59" s="30">
        <v>4.0</v>
      </c>
      <c r="V59" s="31">
        <f>ROUND((P59*'Scoring Model'!$C$4+Q59*'Scoring Model'!$C$5+R59*'Scoring Model'!$C$6+S59*'Scoring Model'!$C$7+T59*'Scoring Model'!$C$8+U59*'Scoring Model'!$C$9)/5*100,0)</f>
        <v>80</v>
      </c>
      <c r="W59" s="26" t="str">
        <f t="shared" si="4"/>
        <v>High</v>
      </c>
      <c r="X59" s="26" t="s">
        <v>149</v>
      </c>
      <c r="Y59" s="26" t="s">
        <v>141</v>
      </c>
      <c r="Z59" s="29" t="s">
        <v>303</v>
      </c>
    </row>
    <row r="60" ht="15.75" customHeight="1">
      <c r="A60" s="9" t="s">
        <v>848</v>
      </c>
      <c r="B60" s="11" t="s">
        <v>56</v>
      </c>
      <c r="C60" s="11" t="s">
        <v>144</v>
      </c>
      <c r="D60" s="11" t="s">
        <v>144</v>
      </c>
      <c r="E60" s="11" t="s">
        <v>60</v>
      </c>
      <c r="F60" s="11" t="s">
        <v>61</v>
      </c>
      <c r="G60" s="11" t="s">
        <v>150</v>
      </c>
      <c r="H60" s="14">
        <v>90.0</v>
      </c>
      <c r="I60" s="11" t="s">
        <v>71</v>
      </c>
      <c r="J60" s="11">
        <v>35.0</v>
      </c>
      <c r="K60" s="11" t="s">
        <v>74</v>
      </c>
      <c r="L60" s="15">
        <v>7.4</v>
      </c>
      <c r="M60" s="11" t="s">
        <v>77</v>
      </c>
      <c r="N60" s="11" t="str">
        <f t="shared" si="1"/>
        <v>Moderate</v>
      </c>
      <c r="O60" s="19" t="s">
        <v>97</v>
      </c>
      <c r="P60" s="21">
        <v>4.0</v>
      </c>
      <c r="Q60" s="11">
        <f t="shared" si="2"/>
        <v>2</v>
      </c>
      <c r="R60" s="11">
        <f t="shared" si="3"/>
        <v>4</v>
      </c>
      <c r="S60" s="21">
        <v>5.0</v>
      </c>
      <c r="T60" s="21">
        <v>5.0</v>
      </c>
      <c r="U60" s="21">
        <v>4.0</v>
      </c>
      <c r="V60" s="24">
        <f>ROUND((P60*'Scoring Model'!$C$4+Q60*'Scoring Model'!$C$5+R60*'Scoring Model'!$C$6+S60*'Scoring Model'!$C$7+T60*'Scoring Model'!$C$8+U60*'Scoring Model'!$C$9)/5*100,0)</f>
        <v>80</v>
      </c>
      <c r="W60" s="11" t="str">
        <f t="shared" si="4"/>
        <v>High</v>
      </c>
      <c r="X60" s="11" t="s">
        <v>149</v>
      </c>
      <c r="Y60" s="11" t="s">
        <v>141</v>
      </c>
      <c r="Z60" s="19" t="s">
        <v>303</v>
      </c>
    </row>
    <row r="61" ht="15.75" customHeight="1">
      <c r="A61" s="25" t="s">
        <v>147</v>
      </c>
      <c r="B61" s="26" t="s">
        <v>280</v>
      </c>
      <c r="C61" s="26" t="s">
        <v>144</v>
      </c>
      <c r="D61" s="26" t="s">
        <v>151</v>
      </c>
      <c r="E61" s="26" t="s">
        <v>95</v>
      </c>
      <c r="F61" s="26" t="s">
        <v>100</v>
      </c>
      <c r="G61" s="26" t="s">
        <v>62</v>
      </c>
      <c r="H61" s="27">
        <v>1600.0</v>
      </c>
      <c r="I61" s="26" t="s">
        <v>71</v>
      </c>
      <c r="J61" s="26">
        <v>38.0</v>
      </c>
      <c r="K61" s="26" t="s">
        <v>74</v>
      </c>
      <c r="L61" s="28">
        <v>1.8</v>
      </c>
      <c r="M61" s="26" t="s">
        <v>77</v>
      </c>
      <c r="N61" s="26" t="str">
        <f t="shared" si="1"/>
        <v>Moderate</v>
      </c>
      <c r="O61" s="29" t="s">
        <v>282</v>
      </c>
      <c r="P61" s="30">
        <v>2.0</v>
      </c>
      <c r="Q61" s="26">
        <f t="shared" si="2"/>
        <v>5</v>
      </c>
      <c r="R61" s="26">
        <f t="shared" si="3"/>
        <v>4</v>
      </c>
      <c r="S61" s="30">
        <v>1.0</v>
      </c>
      <c r="T61" s="30">
        <v>1.0</v>
      </c>
      <c r="U61" s="30">
        <v>4.0</v>
      </c>
      <c r="V61" s="31">
        <f>ROUND((P61*'Scoring Model'!$C$4+Q61*'Scoring Model'!$C$5+R61*'Scoring Model'!$C$6+S61*'Scoring Model'!$C$7+T61*'Scoring Model'!$C$8+U61*'Scoring Model'!$C$9)/5*100,0)</f>
        <v>55</v>
      </c>
      <c r="W61" s="26" t="str">
        <f t="shared" si="4"/>
        <v>Low</v>
      </c>
      <c r="X61" s="26" t="s">
        <v>152</v>
      </c>
      <c r="Y61" s="26" t="s">
        <v>293</v>
      </c>
      <c r="Z61" s="29" t="s">
        <v>294</v>
      </c>
    </row>
    <row r="62" ht="15.75" customHeight="1">
      <c r="A62" s="9" t="s">
        <v>154</v>
      </c>
      <c r="B62" s="11" t="s">
        <v>56</v>
      </c>
      <c r="C62" s="11" t="s">
        <v>153</v>
      </c>
      <c r="D62" s="11" t="s">
        <v>153</v>
      </c>
      <c r="E62" s="11" t="s">
        <v>60</v>
      </c>
      <c r="F62" s="11" t="s">
        <v>61</v>
      </c>
      <c r="G62" s="11" t="s">
        <v>62</v>
      </c>
      <c r="H62" s="14">
        <v>170.0</v>
      </c>
      <c r="I62" s="11" t="s">
        <v>71</v>
      </c>
      <c r="J62" s="11">
        <v>36.0</v>
      </c>
      <c r="K62" s="11" t="s">
        <v>74</v>
      </c>
      <c r="L62" s="15">
        <v>8.4</v>
      </c>
      <c r="M62" s="11" t="s">
        <v>77</v>
      </c>
      <c r="N62" s="11" t="str">
        <f t="shared" si="1"/>
        <v>Moderate</v>
      </c>
      <c r="O62" s="19" t="s">
        <v>97</v>
      </c>
      <c r="P62" s="21">
        <v>4.0</v>
      </c>
      <c r="Q62" s="11">
        <f t="shared" si="2"/>
        <v>3</v>
      </c>
      <c r="R62" s="11">
        <f t="shared" si="3"/>
        <v>4</v>
      </c>
      <c r="S62" s="21">
        <v>5.0</v>
      </c>
      <c r="T62" s="21">
        <v>5.0</v>
      </c>
      <c r="U62" s="21">
        <v>4.0</v>
      </c>
      <c r="V62" s="24">
        <f>ROUND((P62*'Scoring Model'!$C$4+Q62*'Scoring Model'!$C$5+R62*'Scoring Model'!$C$6+S62*'Scoring Model'!$C$7+T62*'Scoring Model'!$C$8+U62*'Scoring Model'!$C$9)/5*100,0)</f>
        <v>83</v>
      </c>
      <c r="W62" s="11" t="str">
        <f t="shared" si="4"/>
        <v>High</v>
      </c>
      <c r="X62" s="11" t="s">
        <v>158</v>
      </c>
      <c r="Y62" s="11" t="s">
        <v>141</v>
      </c>
      <c r="Z62" s="19" t="s">
        <v>142</v>
      </c>
    </row>
    <row r="63" ht="15.75" customHeight="1">
      <c r="A63" s="25" t="s">
        <v>855</v>
      </c>
      <c r="B63" s="26" t="s">
        <v>56</v>
      </c>
      <c r="C63" s="26" t="s">
        <v>153</v>
      </c>
      <c r="D63" s="26" t="s">
        <v>153</v>
      </c>
      <c r="E63" s="26" t="s">
        <v>60</v>
      </c>
      <c r="F63" s="26" t="s">
        <v>61</v>
      </c>
      <c r="G63" s="26" t="s">
        <v>150</v>
      </c>
      <c r="H63" s="27">
        <v>80.0</v>
      </c>
      <c r="I63" s="26" t="s">
        <v>71</v>
      </c>
      <c r="J63" s="26">
        <v>34.0</v>
      </c>
      <c r="K63" s="26" t="s">
        <v>74</v>
      </c>
      <c r="L63" s="28">
        <v>8.4</v>
      </c>
      <c r="M63" s="26" t="s">
        <v>77</v>
      </c>
      <c r="N63" s="26" t="str">
        <f t="shared" si="1"/>
        <v>Moderate</v>
      </c>
      <c r="O63" s="29" t="s">
        <v>97</v>
      </c>
      <c r="P63" s="30">
        <v>4.0</v>
      </c>
      <c r="Q63" s="26">
        <f t="shared" si="2"/>
        <v>2</v>
      </c>
      <c r="R63" s="26">
        <f t="shared" si="3"/>
        <v>4</v>
      </c>
      <c r="S63" s="30">
        <v>5.0</v>
      </c>
      <c r="T63" s="30">
        <v>5.0</v>
      </c>
      <c r="U63" s="30">
        <v>4.0</v>
      </c>
      <c r="V63" s="31">
        <f>ROUND((P63*'Scoring Model'!$C$4+Q63*'Scoring Model'!$C$5+R63*'Scoring Model'!$C$6+S63*'Scoring Model'!$C$7+T63*'Scoring Model'!$C$8+U63*'Scoring Model'!$C$9)/5*100,0)</f>
        <v>80</v>
      </c>
      <c r="W63" s="26" t="str">
        <f t="shared" si="4"/>
        <v>High</v>
      </c>
      <c r="X63" s="26" t="s">
        <v>158</v>
      </c>
      <c r="Y63" s="26" t="s">
        <v>141</v>
      </c>
      <c r="Z63" s="29" t="s">
        <v>142</v>
      </c>
    </row>
    <row r="64" ht="15.75" customHeight="1">
      <c r="A64" s="9" t="s">
        <v>858</v>
      </c>
      <c r="B64" s="11" t="s">
        <v>173</v>
      </c>
      <c r="C64" s="11" t="s">
        <v>153</v>
      </c>
      <c r="D64" s="11" t="s">
        <v>153</v>
      </c>
      <c r="E64" s="11" t="s">
        <v>60</v>
      </c>
      <c r="F64" s="11" t="s">
        <v>61</v>
      </c>
      <c r="G64" s="11" t="s">
        <v>150</v>
      </c>
      <c r="H64" s="14">
        <v>260.0</v>
      </c>
      <c r="I64" s="11" t="s">
        <v>71</v>
      </c>
      <c r="J64" s="11">
        <v>42.0</v>
      </c>
      <c r="K64" s="11" t="s">
        <v>74</v>
      </c>
      <c r="L64" s="15">
        <v>8.82</v>
      </c>
      <c r="M64" s="11" t="s">
        <v>77</v>
      </c>
      <c r="N64" s="11" t="str">
        <f t="shared" si="1"/>
        <v>Competitive</v>
      </c>
      <c r="O64" s="19" t="s">
        <v>97</v>
      </c>
      <c r="P64" s="21">
        <v>4.0</v>
      </c>
      <c r="Q64" s="11">
        <f t="shared" si="2"/>
        <v>3</v>
      </c>
      <c r="R64" s="11">
        <f t="shared" si="3"/>
        <v>3</v>
      </c>
      <c r="S64" s="21">
        <v>5.0</v>
      </c>
      <c r="T64" s="21">
        <v>5.0</v>
      </c>
      <c r="U64" s="21">
        <v>4.0</v>
      </c>
      <c r="V64" s="24">
        <f>ROUND((P64*'Scoring Model'!$C$4+Q64*'Scoring Model'!$C$5+R64*'Scoring Model'!$C$6+S64*'Scoring Model'!$C$7+T64*'Scoring Model'!$C$8+U64*'Scoring Model'!$C$9)/5*100,0)</f>
        <v>79</v>
      </c>
      <c r="W64" s="11" t="str">
        <f t="shared" si="4"/>
        <v>High</v>
      </c>
      <c r="X64" s="11" t="s">
        <v>158</v>
      </c>
      <c r="Y64" s="11" t="s">
        <v>141</v>
      </c>
      <c r="Z64" s="19" t="s">
        <v>142</v>
      </c>
    </row>
    <row r="65" ht="15.75" customHeight="1">
      <c r="A65" s="25" t="s">
        <v>859</v>
      </c>
      <c r="B65" s="26" t="s">
        <v>190</v>
      </c>
      <c r="C65" s="26" t="s">
        <v>153</v>
      </c>
      <c r="D65" s="26" t="s">
        <v>153</v>
      </c>
      <c r="E65" s="26" t="s">
        <v>120</v>
      </c>
      <c r="F65" s="26" t="s">
        <v>191</v>
      </c>
      <c r="G65" s="26" t="s">
        <v>150</v>
      </c>
      <c r="H65" s="27">
        <v>50.0</v>
      </c>
      <c r="I65" s="26" t="s">
        <v>71</v>
      </c>
      <c r="J65" s="26">
        <v>33.0</v>
      </c>
      <c r="K65" s="26" t="s">
        <v>74</v>
      </c>
      <c r="L65" s="28">
        <v>7.14</v>
      </c>
      <c r="M65" s="26" t="s">
        <v>77</v>
      </c>
      <c r="N65" s="26" t="str">
        <f t="shared" si="1"/>
        <v>Moderate</v>
      </c>
      <c r="O65" s="29" t="s">
        <v>97</v>
      </c>
      <c r="P65" s="30">
        <v>3.0</v>
      </c>
      <c r="Q65" s="26">
        <f t="shared" si="2"/>
        <v>2</v>
      </c>
      <c r="R65" s="26">
        <f t="shared" si="3"/>
        <v>4</v>
      </c>
      <c r="S65" s="30">
        <v>4.0</v>
      </c>
      <c r="T65" s="30">
        <v>3.0</v>
      </c>
      <c r="U65" s="30">
        <v>4.0</v>
      </c>
      <c r="V65" s="31">
        <f>ROUND((P65*'Scoring Model'!$C$4+Q65*'Scoring Model'!$C$5+R65*'Scoring Model'!$C$6+S65*'Scoring Model'!$C$7+T65*'Scoring Model'!$C$8+U65*'Scoring Model'!$C$9)/5*100,0)</f>
        <v>66</v>
      </c>
      <c r="W65" s="26" t="str">
        <f t="shared" si="4"/>
        <v>Medium</v>
      </c>
      <c r="X65" s="26" t="s">
        <v>158</v>
      </c>
      <c r="Y65" s="26" t="s">
        <v>141</v>
      </c>
      <c r="Z65" s="29" t="s">
        <v>249</v>
      </c>
    </row>
    <row r="66" ht="15.75" customHeight="1">
      <c r="A66" s="9" t="s">
        <v>871</v>
      </c>
      <c r="B66" s="11" t="s">
        <v>256</v>
      </c>
      <c r="C66" s="11" t="s">
        <v>153</v>
      </c>
      <c r="D66" s="11" t="s">
        <v>153</v>
      </c>
      <c r="E66" s="11" t="s">
        <v>60</v>
      </c>
      <c r="F66" s="11" t="s">
        <v>61</v>
      </c>
      <c r="G66" s="11" t="s">
        <v>150</v>
      </c>
      <c r="H66" s="14">
        <v>60.0</v>
      </c>
      <c r="I66" s="11" t="s">
        <v>71</v>
      </c>
      <c r="J66" s="11">
        <v>32.0</v>
      </c>
      <c r="K66" s="11" t="s">
        <v>74</v>
      </c>
      <c r="L66" s="15">
        <v>6.72</v>
      </c>
      <c r="M66" s="11" t="s">
        <v>77</v>
      </c>
      <c r="N66" s="11" t="str">
        <f t="shared" si="1"/>
        <v>Moderate</v>
      </c>
      <c r="O66" s="19" t="s">
        <v>97</v>
      </c>
      <c r="P66" s="21">
        <v>4.0</v>
      </c>
      <c r="Q66" s="11">
        <f t="shared" si="2"/>
        <v>2</v>
      </c>
      <c r="R66" s="11">
        <f t="shared" si="3"/>
        <v>4</v>
      </c>
      <c r="S66" s="21">
        <v>5.0</v>
      </c>
      <c r="T66" s="21">
        <v>4.0</v>
      </c>
      <c r="U66" s="21">
        <v>4.0</v>
      </c>
      <c r="V66" s="24">
        <f>ROUND((P66*'Scoring Model'!$C$4+Q66*'Scoring Model'!$C$5+R66*'Scoring Model'!$C$6+S66*'Scoring Model'!$C$7+T66*'Scoring Model'!$C$8+U66*'Scoring Model'!$C$9)/5*100,0)</f>
        <v>77</v>
      </c>
      <c r="W66" s="11" t="str">
        <f t="shared" si="4"/>
        <v>High</v>
      </c>
      <c r="X66" s="11" t="s">
        <v>158</v>
      </c>
      <c r="Y66" s="11" t="s">
        <v>141</v>
      </c>
      <c r="Z66" s="19" t="s">
        <v>142</v>
      </c>
    </row>
    <row r="67" ht="15.75" customHeight="1">
      <c r="A67" s="25" t="s">
        <v>160</v>
      </c>
      <c r="B67" s="26" t="s">
        <v>280</v>
      </c>
      <c r="C67" s="26" t="s">
        <v>153</v>
      </c>
      <c r="D67" s="26" t="s">
        <v>159</v>
      </c>
      <c r="E67" s="26" t="s">
        <v>95</v>
      </c>
      <c r="F67" s="26" t="s">
        <v>100</v>
      </c>
      <c r="G67" s="26" t="s">
        <v>62</v>
      </c>
      <c r="H67" s="27">
        <v>370.0</v>
      </c>
      <c r="I67" s="26" t="s">
        <v>71</v>
      </c>
      <c r="J67" s="26">
        <v>22.0</v>
      </c>
      <c r="K67" s="26" t="s">
        <v>74</v>
      </c>
      <c r="L67" s="28">
        <v>2.1</v>
      </c>
      <c r="M67" s="26" t="s">
        <v>77</v>
      </c>
      <c r="N67" s="26" t="str">
        <f t="shared" si="1"/>
        <v>Moderate</v>
      </c>
      <c r="O67" s="29" t="s">
        <v>282</v>
      </c>
      <c r="P67" s="30">
        <v>2.0</v>
      </c>
      <c r="Q67" s="26">
        <f t="shared" si="2"/>
        <v>3</v>
      </c>
      <c r="R67" s="26">
        <f t="shared" si="3"/>
        <v>5</v>
      </c>
      <c r="S67" s="30">
        <v>1.0</v>
      </c>
      <c r="T67" s="30">
        <v>1.0</v>
      </c>
      <c r="U67" s="30">
        <v>4.0</v>
      </c>
      <c r="V67" s="31">
        <f>ROUND((P67*'Scoring Model'!$C$4+Q67*'Scoring Model'!$C$5+R67*'Scoring Model'!$C$6+S67*'Scoring Model'!$C$7+T67*'Scoring Model'!$C$8+U67*'Scoring Model'!$C$9)/5*100,0)</f>
        <v>53</v>
      </c>
      <c r="W67" s="26" t="str">
        <f t="shared" si="4"/>
        <v>Low</v>
      </c>
      <c r="X67" s="26" t="s">
        <v>162</v>
      </c>
      <c r="Y67" s="26" t="s">
        <v>293</v>
      </c>
      <c r="Z67" s="29" t="s">
        <v>294</v>
      </c>
    </row>
    <row r="68" ht="15.75" customHeight="1">
      <c r="A68" s="9" t="s">
        <v>893</v>
      </c>
      <c r="B68" s="11" t="s">
        <v>56</v>
      </c>
      <c r="C68" s="11" t="s">
        <v>153</v>
      </c>
      <c r="D68" s="11" t="s">
        <v>153</v>
      </c>
      <c r="E68" s="11" t="s">
        <v>60</v>
      </c>
      <c r="F68" s="11" t="s">
        <v>61</v>
      </c>
      <c r="G68" s="11" t="s">
        <v>150</v>
      </c>
      <c r="H68" s="14">
        <v>80.0</v>
      </c>
      <c r="I68" s="11" t="s">
        <v>71</v>
      </c>
      <c r="J68" s="11">
        <v>34.0</v>
      </c>
      <c r="K68" s="11" t="s">
        <v>74</v>
      </c>
      <c r="L68" s="15">
        <v>9.3</v>
      </c>
      <c r="M68" s="11" t="s">
        <v>77</v>
      </c>
      <c r="N68" s="11" t="str">
        <f t="shared" si="1"/>
        <v>Moderate</v>
      </c>
      <c r="O68" s="19" t="s">
        <v>97</v>
      </c>
      <c r="P68" s="21">
        <v>4.0</v>
      </c>
      <c r="Q68" s="11">
        <f t="shared" si="2"/>
        <v>2</v>
      </c>
      <c r="R68" s="11">
        <f t="shared" si="3"/>
        <v>4</v>
      </c>
      <c r="S68" s="21">
        <v>5.0</v>
      </c>
      <c r="T68" s="21">
        <v>5.0</v>
      </c>
      <c r="U68" s="21">
        <v>4.0</v>
      </c>
      <c r="V68" s="24">
        <f>ROUND((P68*'Scoring Model'!$C$4+Q68*'Scoring Model'!$C$5+R68*'Scoring Model'!$C$6+S68*'Scoring Model'!$C$7+T68*'Scoring Model'!$C$8+U68*'Scoring Model'!$C$9)/5*100,0)</f>
        <v>80</v>
      </c>
      <c r="W68" s="11" t="str">
        <f t="shared" si="4"/>
        <v>High</v>
      </c>
      <c r="X68" s="11" t="s">
        <v>158</v>
      </c>
      <c r="Y68" s="11" t="s">
        <v>141</v>
      </c>
      <c r="Z68" s="19" t="s">
        <v>303</v>
      </c>
    </row>
    <row r="69" ht="15.75" customHeight="1">
      <c r="A69" s="25" t="s">
        <v>904</v>
      </c>
      <c r="B69" s="26" t="s">
        <v>280</v>
      </c>
      <c r="C69" s="26" t="s">
        <v>153</v>
      </c>
      <c r="D69" s="26" t="s">
        <v>159</v>
      </c>
      <c r="E69" s="26" t="s">
        <v>95</v>
      </c>
      <c r="F69" s="26" t="s">
        <v>100</v>
      </c>
      <c r="G69" s="26" t="s">
        <v>150</v>
      </c>
      <c r="H69" s="27">
        <v>1000.0</v>
      </c>
      <c r="I69" s="26" t="s">
        <v>71</v>
      </c>
      <c r="J69" s="26">
        <v>34.0</v>
      </c>
      <c r="K69" s="26" t="s">
        <v>74</v>
      </c>
      <c r="L69" s="28">
        <v>2.0</v>
      </c>
      <c r="M69" s="26" t="s">
        <v>77</v>
      </c>
      <c r="N69" s="26" t="str">
        <f t="shared" si="1"/>
        <v>Moderate</v>
      </c>
      <c r="O69" s="29" t="s">
        <v>282</v>
      </c>
      <c r="P69" s="30">
        <v>2.0</v>
      </c>
      <c r="Q69" s="26">
        <f t="shared" si="2"/>
        <v>5</v>
      </c>
      <c r="R69" s="26">
        <f t="shared" si="3"/>
        <v>4</v>
      </c>
      <c r="S69" s="30">
        <v>1.0</v>
      </c>
      <c r="T69" s="30">
        <v>1.0</v>
      </c>
      <c r="U69" s="30">
        <v>4.0</v>
      </c>
      <c r="V69" s="31">
        <f>ROUND((P69*'Scoring Model'!$C$4+Q69*'Scoring Model'!$C$5+R69*'Scoring Model'!$C$6+S69*'Scoring Model'!$C$7+T69*'Scoring Model'!$C$8+U69*'Scoring Model'!$C$9)/5*100,0)</f>
        <v>55</v>
      </c>
      <c r="W69" s="26" t="str">
        <f t="shared" si="4"/>
        <v>Low</v>
      </c>
      <c r="X69" s="26" t="s">
        <v>162</v>
      </c>
      <c r="Y69" s="26" t="s">
        <v>293</v>
      </c>
      <c r="Z69" s="29" t="s">
        <v>294</v>
      </c>
    </row>
    <row r="70" ht="15.75" customHeight="1">
      <c r="A70" s="9" t="s">
        <v>920</v>
      </c>
      <c r="B70" s="11" t="s">
        <v>280</v>
      </c>
      <c r="C70" s="11" t="s">
        <v>153</v>
      </c>
      <c r="D70" s="11" t="s">
        <v>159</v>
      </c>
      <c r="E70" s="11" t="s">
        <v>95</v>
      </c>
      <c r="F70" s="11" t="s">
        <v>100</v>
      </c>
      <c r="G70" s="11" t="s">
        <v>150</v>
      </c>
      <c r="H70" s="14">
        <v>880.0</v>
      </c>
      <c r="I70" s="11" t="s">
        <v>71</v>
      </c>
      <c r="J70" s="11">
        <v>31.0</v>
      </c>
      <c r="K70" s="11" t="s">
        <v>74</v>
      </c>
      <c r="L70" s="15">
        <v>2.1</v>
      </c>
      <c r="M70" s="11" t="s">
        <v>77</v>
      </c>
      <c r="N70" s="11" t="str">
        <f t="shared" si="1"/>
        <v>Moderate</v>
      </c>
      <c r="O70" s="19" t="s">
        <v>282</v>
      </c>
      <c r="P70" s="21">
        <v>2.0</v>
      </c>
      <c r="Q70" s="11">
        <f t="shared" si="2"/>
        <v>4</v>
      </c>
      <c r="R70" s="11">
        <f t="shared" si="3"/>
        <v>4</v>
      </c>
      <c r="S70" s="21">
        <v>1.0</v>
      </c>
      <c r="T70" s="21">
        <v>1.0</v>
      </c>
      <c r="U70" s="21">
        <v>4.0</v>
      </c>
      <c r="V70" s="24">
        <f>ROUND((P70*'Scoring Model'!$C$4+Q70*'Scoring Model'!$C$5+R70*'Scoring Model'!$C$6+S70*'Scoring Model'!$C$7+T70*'Scoring Model'!$C$8+U70*'Scoring Model'!$C$9)/5*100,0)</f>
        <v>52</v>
      </c>
      <c r="W70" s="11" t="str">
        <f t="shared" si="4"/>
        <v>Low</v>
      </c>
      <c r="X70" s="11" t="s">
        <v>162</v>
      </c>
      <c r="Y70" s="11" t="s">
        <v>293</v>
      </c>
      <c r="Z70" s="19" t="s">
        <v>294</v>
      </c>
    </row>
    <row r="71" ht="15.75" customHeight="1">
      <c r="A71" s="25" t="s">
        <v>466</v>
      </c>
      <c r="B71" s="26" t="s">
        <v>371</v>
      </c>
      <c r="C71" s="26" t="s">
        <v>153</v>
      </c>
      <c r="D71" s="26" t="s">
        <v>159</v>
      </c>
      <c r="E71" s="26" t="s">
        <v>95</v>
      </c>
      <c r="F71" s="26" t="s">
        <v>100</v>
      </c>
      <c r="G71" s="26" t="s">
        <v>150</v>
      </c>
      <c r="H71" s="27">
        <v>590.0</v>
      </c>
      <c r="I71" s="26" t="s">
        <v>71</v>
      </c>
      <c r="J71" s="26">
        <v>22.0</v>
      </c>
      <c r="K71" s="26" t="s">
        <v>74</v>
      </c>
      <c r="L71" s="28">
        <v>2.0</v>
      </c>
      <c r="M71" s="26" t="s">
        <v>77</v>
      </c>
      <c r="N71" s="26" t="str">
        <f t="shared" si="1"/>
        <v>Moderate</v>
      </c>
      <c r="O71" s="29" t="s">
        <v>282</v>
      </c>
      <c r="P71" s="30">
        <v>2.0</v>
      </c>
      <c r="Q71" s="26">
        <f t="shared" si="2"/>
        <v>4</v>
      </c>
      <c r="R71" s="26">
        <f t="shared" si="3"/>
        <v>5</v>
      </c>
      <c r="S71" s="30">
        <v>2.0</v>
      </c>
      <c r="T71" s="30">
        <v>2.0</v>
      </c>
      <c r="U71" s="30">
        <v>4.0</v>
      </c>
      <c r="V71" s="31">
        <f>ROUND((P71*'Scoring Model'!$C$4+Q71*'Scoring Model'!$C$5+R71*'Scoring Model'!$C$6+S71*'Scoring Model'!$C$7+T71*'Scoring Model'!$C$8+U71*'Scoring Model'!$C$9)/5*100,0)</f>
        <v>62</v>
      </c>
      <c r="W71" s="26" t="str">
        <f t="shared" si="4"/>
        <v>Medium</v>
      </c>
      <c r="X71" s="26" t="s">
        <v>162</v>
      </c>
      <c r="Y71" s="26" t="s">
        <v>293</v>
      </c>
      <c r="Z71" s="29" t="s">
        <v>294</v>
      </c>
    </row>
    <row r="72" ht="15.75" customHeight="1">
      <c r="A72" s="9" t="s">
        <v>164</v>
      </c>
      <c r="B72" s="11" t="s">
        <v>56</v>
      </c>
      <c r="C72" s="11" t="s">
        <v>163</v>
      </c>
      <c r="D72" s="11" t="s">
        <v>163</v>
      </c>
      <c r="E72" s="11" t="s">
        <v>60</v>
      </c>
      <c r="F72" s="11" t="s">
        <v>61</v>
      </c>
      <c r="G72" s="11" t="s">
        <v>62</v>
      </c>
      <c r="H72" s="14">
        <v>90.0</v>
      </c>
      <c r="I72" s="11" t="s">
        <v>71</v>
      </c>
      <c r="J72" s="11">
        <v>30.0</v>
      </c>
      <c r="K72" s="11" t="s">
        <v>74</v>
      </c>
      <c r="L72" s="15">
        <v>7.1</v>
      </c>
      <c r="M72" s="11" t="s">
        <v>77</v>
      </c>
      <c r="N72" s="11" t="str">
        <f t="shared" si="1"/>
        <v>Moderate</v>
      </c>
      <c r="O72" s="19" t="s">
        <v>97</v>
      </c>
      <c r="P72" s="21">
        <v>3.0</v>
      </c>
      <c r="Q72" s="11">
        <f t="shared" si="2"/>
        <v>2</v>
      </c>
      <c r="R72" s="11">
        <f t="shared" si="3"/>
        <v>4</v>
      </c>
      <c r="S72" s="21">
        <v>5.0</v>
      </c>
      <c r="T72" s="21">
        <v>5.0</v>
      </c>
      <c r="U72" s="21">
        <v>4.0</v>
      </c>
      <c r="V72" s="24">
        <f>ROUND((P72*'Scoring Model'!$C$4+Q72*'Scoring Model'!$C$5+R72*'Scoring Model'!$C$6+S72*'Scoring Model'!$C$7+T72*'Scoring Model'!$C$8+U72*'Scoring Model'!$C$9)/5*100,0)</f>
        <v>75</v>
      </c>
      <c r="W72" s="11" t="str">
        <f t="shared" si="4"/>
        <v>High</v>
      </c>
      <c r="X72" s="11" t="s">
        <v>168</v>
      </c>
      <c r="Y72" s="11" t="s">
        <v>141</v>
      </c>
      <c r="Z72" s="19" t="s">
        <v>142</v>
      </c>
    </row>
    <row r="73" ht="15.75" customHeight="1">
      <c r="A73" s="25" t="s">
        <v>958</v>
      </c>
      <c r="B73" s="26" t="s">
        <v>56</v>
      </c>
      <c r="C73" s="26" t="s">
        <v>163</v>
      </c>
      <c r="D73" s="26" t="s">
        <v>163</v>
      </c>
      <c r="E73" s="26" t="s">
        <v>60</v>
      </c>
      <c r="F73" s="26" t="s">
        <v>61</v>
      </c>
      <c r="G73" s="26" t="s">
        <v>150</v>
      </c>
      <c r="H73" s="27">
        <v>40.0</v>
      </c>
      <c r="I73" s="26" t="s">
        <v>71</v>
      </c>
      <c r="J73" s="26">
        <v>28.0</v>
      </c>
      <c r="K73" s="26" t="s">
        <v>74</v>
      </c>
      <c r="L73" s="28">
        <v>7.1</v>
      </c>
      <c r="M73" s="26" t="s">
        <v>77</v>
      </c>
      <c r="N73" s="26" t="str">
        <f t="shared" si="1"/>
        <v>Moderate</v>
      </c>
      <c r="O73" s="29" t="s">
        <v>97</v>
      </c>
      <c r="P73" s="30">
        <v>3.0</v>
      </c>
      <c r="Q73" s="26">
        <f t="shared" si="2"/>
        <v>1</v>
      </c>
      <c r="R73" s="26">
        <f t="shared" si="3"/>
        <v>4</v>
      </c>
      <c r="S73" s="30">
        <v>5.0</v>
      </c>
      <c r="T73" s="30">
        <v>5.0</v>
      </c>
      <c r="U73" s="30">
        <v>4.0</v>
      </c>
      <c r="V73" s="31">
        <f>ROUND((P73*'Scoring Model'!$C$4+Q73*'Scoring Model'!$C$5+R73*'Scoring Model'!$C$6+S73*'Scoring Model'!$C$7+T73*'Scoring Model'!$C$8+U73*'Scoring Model'!$C$9)/5*100,0)</f>
        <v>72</v>
      </c>
      <c r="W73" s="26" t="str">
        <f t="shared" si="4"/>
        <v>Medium</v>
      </c>
      <c r="X73" s="26" t="s">
        <v>168</v>
      </c>
      <c r="Y73" s="26" t="s">
        <v>141</v>
      </c>
      <c r="Z73" s="29" t="s">
        <v>142</v>
      </c>
    </row>
    <row r="74" ht="15.75" customHeight="1">
      <c r="A74" s="9" t="s">
        <v>474</v>
      </c>
      <c r="B74" s="11" t="s">
        <v>173</v>
      </c>
      <c r="C74" s="11" t="s">
        <v>163</v>
      </c>
      <c r="D74" s="11" t="s">
        <v>163</v>
      </c>
      <c r="E74" s="11" t="s">
        <v>60</v>
      </c>
      <c r="F74" s="11" t="s">
        <v>61</v>
      </c>
      <c r="G74" s="11" t="s">
        <v>150</v>
      </c>
      <c r="H74" s="14">
        <v>140.0</v>
      </c>
      <c r="I74" s="11" t="s">
        <v>71</v>
      </c>
      <c r="J74" s="11">
        <v>36.0</v>
      </c>
      <c r="K74" s="11" t="s">
        <v>74</v>
      </c>
      <c r="L74" s="15">
        <v>7.46</v>
      </c>
      <c r="M74" s="11" t="s">
        <v>77</v>
      </c>
      <c r="N74" s="11" t="str">
        <f t="shared" si="1"/>
        <v>Moderate</v>
      </c>
      <c r="O74" s="19" t="s">
        <v>97</v>
      </c>
      <c r="P74" s="21">
        <v>3.0</v>
      </c>
      <c r="Q74" s="11">
        <f t="shared" si="2"/>
        <v>2</v>
      </c>
      <c r="R74" s="11">
        <f t="shared" si="3"/>
        <v>4</v>
      </c>
      <c r="S74" s="21">
        <v>5.0</v>
      </c>
      <c r="T74" s="21">
        <v>5.0</v>
      </c>
      <c r="U74" s="21">
        <v>4.0</v>
      </c>
      <c r="V74" s="24">
        <f>ROUND((P74*'Scoring Model'!$C$4+Q74*'Scoring Model'!$C$5+R74*'Scoring Model'!$C$6+S74*'Scoring Model'!$C$7+T74*'Scoring Model'!$C$8+U74*'Scoring Model'!$C$9)/5*100,0)</f>
        <v>75</v>
      </c>
      <c r="W74" s="11" t="str">
        <f t="shared" si="4"/>
        <v>High</v>
      </c>
      <c r="X74" s="11" t="s">
        <v>168</v>
      </c>
      <c r="Y74" s="11" t="s">
        <v>141</v>
      </c>
      <c r="Z74" s="19" t="s">
        <v>142</v>
      </c>
    </row>
    <row r="75" ht="15.75" customHeight="1">
      <c r="A75" s="25" t="s">
        <v>971</v>
      </c>
      <c r="B75" s="26" t="s">
        <v>256</v>
      </c>
      <c r="C75" s="26" t="s">
        <v>163</v>
      </c>
      <c r="D75" s="26" t="s">
        <v>163</v>
      </c>
      <c r="E75" s="26" t="s">
        <v>60</v>
      </c>
      <c r="F75" s="26" t="s">
        <v>61</v>
      </c>
      <c r="G75" s="26" t="s">
        <v>150</v>
      </c>
      <c r="H75" s="27">
        <v>30.0</v>
      </c>
      <c r="I75" s="26" t="s">
        <v>71</v>
      </c>
      <c r="J75" s="26">
        <v>26.0</v>
      </c>
      <c r="K75" s="26" t="s">
        <v>74</v>
      </c>
      <c r="L75" s="28">
        <v>5.68</v>
      </c>
      <c r="M75" s="26" t="s">
        <v>77</v>
      </c>
      <c r="N75" s="26" t="str">
        <f t="shared" si="1"/>
        <v>Moderate</v>
      </c>
      <c r="O75" s="29" t="s">
        <v>97</v>
      </c>
      <c r="P75" s="30">
        <v>3.0</v>
      </c>
      <c r="Q75" s="26">
        <f t="shared" si="2"/>
        <v>1</v>
      </c>
      <c r="R75" s="26">
        <f t="shared" si="3"/>
        <v>4</v>
      </c>
      <c r="S75" s="30">
        <v>5.0</v>
      </c>
      <c r="T75" s="30">
        <v>4.0</v>
      </c>
      <c r="U75" s="30">
        <v>4.0</v>
      </c>
      <c r="V75" s="31">
        <f>ROUND((P75*'Scoring Model'!$C$4+Q75*'Scoring Model'!$C$5+R75*'Scoring Model'!$C$6+S75*'Scoring Model'!$C$7+T75*'Scoring Model'!$C$8+U75*'Scoring Model'!$C$9)/5*100,0)</f>
        <v>69</v>
      </c>
      <c r="W75" s="26" t="str">
        <f t="shared" si="4"/>
        <v>Medium</v>
      </c>
      <c r="X75" s="26" t="s">
        <v>168</v>
      </c>
      <c r="Y75" s="26" t="s">
        <v>141</v>
      </c>
      <c r="Z75" s="29" t="s">
        <v>142</v>
      </c>
    </row>
    <row r="76" ht="15.75" customHeight="1">
      <c r="A76" s="9" t="s">
        <v>170</v>
      </c>
      <c r="B76" s="11" t="s">
        <v>280</v>
      </c>
      <c r="C76" s="11" t="s">
        <v>163</v>
      </c>
      <c r="D76" s="11" t="s">
        <v>169</v>
      </c>
      <c r="E76" s="11" t="s">
        <v>95</v>
      </c>
      <c r="F76" s="11" t="s">
        <v>100</v>
      </c>
      <c r="G76" s="11" t="s">
        <v>62</v>
      </c>
      <c r="H76" s="14">
        <v>200.0</v>
      </c>
      <c r="I76" s="11" t="s">
        <v>71</v>
      </c>
      <c r="J76" s="11">
        <v>16.0</v>
      </c>
      <c r="K76" s="11" t="s">
        <v>74</v>
      </c>
      <c r="L76" s="15">
        <v>1.77</v>
      </c>
      <c r="M76" s="11" t="s">
        <v>77</v>
      </c>
      <c r="N76" s="11" t="str">
        <f t="shared" si="1"/>
        <v>Easy</v>
      </c>
      <c r="O76" s="19" t="s">
        <v>282</v>
      </c>
      <c r="P76" s="21">
        <v>1.0</v>
      </c>
      <c r="Q76" s="11">
        <f t="shared" si="2"/>
        <v>3</v>
      </c>
      <c r="R76" s="11">
        <f t="shared" si="3"/>
        <v>5</v>
      </c>
      <c r="S76" s="21">
        <v>1.0</v>
      </c>
      <c r="T76" s="21">
        <v>1.0</v>
      </c>
      <c r="U76" s="21">
        <v>4.0</v>
      </c>
      <c r="V76" s="24">
        <f>ROUND((P76*'Scoring Model'!$C$4+Q76*'Scoring Model'!$C$5+R76*'Scoring Model'!$C$6+S76*'Scoring Model'!$C$7+T76*'Scoring Model'!$C$8+U76*'Scoring Model'!$C$9)/5*100,0)</f>
        <v>48</v>
      </c>
      <c r="W76" s="11" t="str">
        <f t="shared" si="4"/>
        <v>Low</v>
      </c>
      <c r="X76" s="11" t="s">
        <v>174</v>
      </c>
      <c r="Y76" s="11" t="s">
        <v>293</v>
      </c>
      <c r="Z76" s="19" t="s">
        <v>294</v>
      </c>
    </row>
    <row r="77" ht="15.75" customHeight="1">
      <c r="A77" s="25" t="s">
        <v>973</v>
      </c>
      <c r="B77" s="26" t="s">
        <v>280</v>
      </c>
      <c r="C77" s="26" t="s">
        <v>163</v>
      </c>
      <c r="D77" s="26" t="s">
        <v>169</v>
      </c>
      <c r="E77" s="26" t="s">
        <v>95</v>
      </c>
      <c r="F77" s="26" t="s">
        <v>100</v>
      </c>
      <c r="G77" s="26" t="s">
        <v>150</v>
      </c>
      <c r="H77" s="27">
        <v>590.0</v>
      </c>
      <c r="I77" s="26" t="s">
        <v>71</v>
      </c>
      <c r="J77" s="26">
        <v>30.0</v>
      </c>
      <c r="K77" s="26" t="s">
        <v>74</v>
      </c>
      <c r="L77" s="28">
        <v>1.9</v>
      </c>
      <c r="M77" s="26" t="s">
        <v>77</v>
      </c>
      <c r="N77" s="26" t="str">
        <f t="shared" si="1"/>
        <v>Moderate</v>
      </c>
      <c r="O77" s="29" t="s">
        <v>282</v>
      </c>
      <c r="P77" s="30">
        <v>1.0</v>
      </c>
      <c r="Q77" s="26">
        <f t="shared" si="2"/>
        <v>4</v>
      </c>
      <c r="R77" s="26">
        <f t="shared" si="3"/>
        <v>4</v>
      </c>
      <c r="S77" s="30">
        <v>1.0</v>
      </c>
      <c r="T77" s="30">
        <v>1.0</v>
      </c>
      <c r="U77" s="30">
        <v>4.0</v>
      </c>
      <c r="V77" s="31">
        <f>ROUND((P77*'Scoring Model'!$C$4+Q77*'Scoring Model'!$C$5+R77*'Scoring Model'!$C$6+S77*'Scoring Model'!$C$7+T77*'Scoring Model'!$C$8+U77*'Scoring Model'!$C$9)/5*100,0)</f>
        <v>47</v>
      </c>
      <c r="W77" s="26" t="str">
        <f t="shared" si="4"/>
        <v>Low</v>
      </c>
      <c r="X77" s="26" t="s">
        <v>174</v>
      </c>
      <c r="Y77" s="26" t="s">
        <v>293</v>
      </c>
      <c r="Z77" s="29" t="s">
        <v>294</v>
      </c>
    </row>
    <row r="78" ht="15.75" customHeight="1">
      <c r="A78" s="9" t="s">
        <v>975</v>
      </c>
      <c r="B78" s="11" t="s">
        <v>280</v>
      </c>
      <c r="C78" s="11" t="s">
        <v>163</v>
      </c>
      <c r="D78" s="11" t="s">
        <v>169</v>
      </c>
      <c r="E78" s="11" t="s">
        <v>95</v>
      </c>
      <c r="F78" s="11" t="s">
        <v>100</v>
      </c>
      <c r="G78" s="11" t="s">
        <v>150</v>
      </c>
      <c r="H78" s="14">
        <v>480.0</v>
      </c>
      <c r="I78" s="11" t="s">
        <v>71</v>
      </c>
      <c r="J78" s="11">
        <v>27.0</v>
      </c>
      <c r="K78" s="11" t="s">
        <v>74</v>
      </c>
      <c r="L78" s="15">
        <v>2.0</v>
      </c>
      <c r="M78" s="11" t="s">
        <v>77</v>
      </c>
      <c r="N78" s="11" t="str">
        <f t="shared" si="1"/>
        <v>Moderate</v>
      </c>
      <c r="O78" s="19" t="s">
        <v>282</v>
      </c>
      <c r="P78" s="21">
        <v>1.0</v>
      </c>
      <c r="Q78" s="11">
        <f t="shared" si="2"/>
        <v>4</v>
      </c>
      <c r="R78" s="11">
        <f t="shared" si="3"/>
        <v>4</v>
      </c>
      <c r="S78" s="21">
        <v>1.0</v>
      </c>
      <c r="T78" s="21">
        <v>1.0</v>
      </c>
      <c r="U78" s="21">
        <v>4.0</v>
      </c>
      <c r="V78" s="24">
        <f>ROUND((P78*'Scoring Model'!$C$4+Q78*'Scoring Model'!$C$5+R78*'Scoring Model'!$C$6+S78*'Scoring Model'!$C$7+T78*'Scoring Model'!$C$8+U78*'Scoring Model'!$C$9)/5*100,0)</f>
        <v>47</v>
      </c>
      <c r="W78" s="11" t="str">
        <f t="shared" si="4"/>
        <v>Low</v>
      </c>
      <c r="X78" s="11" t="s">
        <v>174</v>
      </c>
      <c r="Y78" s="11" t="s">
        <v>293</v>
      </c>
      <c r="Z78" s="19" t="s">
        <v>294</v>
      </c>
    </row>
    <row r="79" ht="15.75" customHeight="1">
      <c r="A79" s="25" t="s">
        <v>176</v>
      </c>
      <c r="B79" s="26" t="s">
        <v>56</v>
      </c>
      <c r="C79" s="26" t="s">
        <v>175</v>
      </c>
      <c r="D79" s="26" t="s">
        <v>175</v>
      </c>
      <c r="E79" s="26" t="s">
        <v>60</v>
      </c>
      <c r="F79" s="26" t="s">
        <v>61</v>
      </c>
      <c r="G79" s="26" t="s">
        <v>62</v>
      </c>
      <c r="H79" s="27">
        <v>190.0</v>
      </c>
      <c r="I79" s="26" t="s">
        <v>71</v>
      </c>
      <c r="J79" s="26">
        <v>35.0</v>
      </c>
      <c r="K79" s="26" t="s">
        <v>74</v>
      </c>
      <c r="L79" s="28">
        <v>6.6</v>
      </c>
      <c r="M79" s="26" t="s">
        <v>77</v>
      </c>
      <c r="N79" s="26" t="str">
        <f t="shared" si="1"/>
        <v>Moderate</v>
      </c>
      <c r="O79" s="29" t="s">
        <v>97</v>
      </c>
      <c r="P79" s="30">
        <v>4.0</v>
      </c>
      <c r="Q79" s="26">
        <f t="shared" si="2"/>
        <v>3</v>
      </c>
      <c r="R79" s="26">
        <f t="shared" si="3"/>
        <v>4</v>
      </c>
      <c r="S79" s="30">
        <v>5.0</v>
      </c>
      <c r="T79" s="30">
        <v>5.0</v>
      </c>
      <c r="U79" s="30">
        <v>4.0</v>
      </c>
      <c r="V79" s="31">
        <f>ROUND((P79*'Scoring Model'!$C$4+Q79*'Scoring Model'!$C$5+R79*'Scoring Model'!$C$6+S79*'Scoring Model'!$C$7+T79*'Scoring Model'!$C$8+U79*'Scoring Model'!$C$9)/5*100,0)</f>
        <v>83</v>
      </c>
      <c r="W79" s="26" t="str">
        <f t="shared" si="4"/>
        <v>High</v>
      </c>
      <c r="X79" s="26" t="s">
        <v>180</v>
      </c>
      <c r="Y79" s="26" t="s">
        <v>141</v>
      </c>
      <c r="Z79" s="29" t="s">
        <v>142</v>
      </c>
    </row>
    <row r="80" ht="15.75" customHeight="1">
      <c r="A80" s="9" t="s">
        <v>978</v>
      </c>
      <c r="B80" s="11" t="s">
        <v>56</v>
      </c>
      <c r="C80" s="11" t="s">
        <v>175</v>
      </c>
      <c r="D80" s="11" t="s">
        <v>175</v>
      </c>
      <c r="E80" s="11" t="s">
        <v>60</v>
      </c>
      <c r="F80" s="11" t="s">
        <v>61</v>
      </c>
      <c r="G80" s="11" t="s">
        <v>150</v>
      </c>
      <c r="H80" s="14">
        <v>90.0</v>
      </c>
      <c r="I80" s="11" t="s">
        <v>71</v>
      </c>
      <c r="J80" s="11">
        <v>33.0</v>
      </c>
      <c r="K80" s="11" t="s">
        <v>74</v>
      </c>
      <c r="L80" s="15">
        <v>6.6</v>
      </c>
      <c r="M80" s="11" t="s">
        <v>77</v>
      </c>
      <c r="N80" s="11" t="str">
        <f t="shared" si="1"/>
        <v>Moderate</v>
      </c>
      <c r="O80" s="19" t="s">
        <v>97</v>
      </c>
      <c r="P80" s="21">
        <v>4.0</v>
      </c>
      <c r="Q80" s="11">
        <f t="shared" si="2"/>
        <v>2</v>
      </c>
      <c r="R80" s="11">
        <f t="shared" si="3"/>
        <v>4</v>
      </c>
      <c r="S80" s="21">
        <v>5.0</v>
      </c>
      <c r="T80" s="21">
        <v>5.0</v>
      </c>
      <c r="U80" s="21">
        <v>4.0</v>
      </c>
      <c r="V80" s="24">
        <f>ROUND((P80*'Scoring Model'!$C$4+Q80*'Scoring Model'!$C$5+R80*'Scoring Model'!$C$6+S80*'Scoring Model'!$C$7+T80*'Scoring Model'!$C$8+U80*'Scoring Model'!$C$9)/5*100,0)</f>
        <v>80</v>
      </c>
      <c r="W80" s="11" t="str">
        <f t="shared" si="4"/>
        <v>High</v>
      </c>
      <c r="X80" s="11" t="s">
        <v>180</v>
      </c>
      <c r="Y80" s="11" t="s">
        <v>141</v>
      </c>
      <c r="Z80" s="19" t="s">
        <v>142</v>
      </c>
    </row>
    <row r="81" ht="15.75" customHeight="1">
      <c r="A81" s="25" t="s">
        <v>980</v>
      </c>
      <c r="B81" s="26" t="s">
        <v>173</v>
      </c>
      <c r="C81" s="26" t="s">
        <v>175</v>
      </c>
      <c r="D81" s="26" t="s">
        <v>175</v>
      </c>
      <c r="E81" s="26" t="s">
        <v>60</v>
      </c>
      <c r="F81" s="26" t="s">
        <v>61</v>
      </c>
      <c r="G81" s="26" t="s">
        <v>150</v>
      </c>
      <c r="H81" s="27">
        <v>280.0</v>
      </c>
      <c r="I81" s="26" t="s">
        <v>71</v>
      </c>
      <c r="J81" s="26">
        <v>41.0</v>
      </c>
      <c r="K81" s="26" t="s">
        <v>74</v>
      </c>
      <c r="L81" s="28">
        <v>6.93</v>
      </c>
      <c r="M81" s="26" t="s">
        <v>77</v>
      </c>
      <c r="N81" s="26" t="str">
        <f t="shared" si="1"/>
        <v>Competitive</v>
      </c>
      <c r="O81" s="29" t="s">
        <v>97</v>
      </c>
      <c r="P81" s="30">
        <v>4.0</v>
      </c>
      <c r="Q81" s="26">
        <f t="shared" si="2"/>
        <v>3</v>
      </c>
      <c r="R81" s="26">
        <f t="shared" si="3"/>
        <v>3</v>
      </c>
      <c r="S81" s="30">
        <v>5.0</v>
      </c>
      <c r="T81" s="30">
        <v>5.0</v>
      </c>
      <c r="U81" s="30">
        <v>4.0</v>
      </c>
      <c r="V81" s="31">
        <f>ROUND((P81*'Scoring Model'!$C$4+Q81*'Scoring Model'!$C$5+R81*'Scoring Model'!$C$6+S81*'Scoring Model'!$C$7+T81*'Scoring Model'!$C$8+U81*'Scoring Model'!$C$9)/5*100,0)</f>
        <v>79</v>
      </c>
      <c r="W81" s="26" t="str">
        <f t="shared" si="4"/>
        <v>High</v>
      </c>
      <c r="X81" s="26" t="s">
        <v>180</v>
      </c>
      <c r="Y81" s="26" t="s">
        <v>141</v>
      </c>
      <c r="Z81" s="29" t="s">
        <v>142</v>
      </c>
    </row>
    <row r="82" ht="15.75" customHeight="1">
      <c r="A82" s="9" t="s">
        <v>981</v>
      </c>
      <c r="B82" s="11" t="s">
        <v>190</v>
      </c>
      <c r="C82" s="11" t="s">
        <v>175</v>
      </c>
      <c r="D82" s="11" t="s">
        <v>175</v>
      </c>
      <c r="E82" s="11" t="s">
        <v>120</v>
      </c>
      <c r="F82" s="11" t="s">
        <v>191</v>
      </c>
      <c r="G82" s="11" t="s">
        <v>150</v>
      </c>
      <c r="H82" s="14">
        <v>60.0</v>
      </c>
      <c r="I82" s="11" t="s">
        <v>71</v>
      </c>
      <c r="J82" s="11">
        <v>32.0</v>
      </c>
      <c r="K82" s="11" t="s">
        <v>74</v>
      </c>
      <c r="L82" s="15">
        <v>5.61</v>
      </c>
      <c r="M82" s="11" t="s">
        <v>77</v>
      </c>
      <c r="N82" s="11" t="str">
        <f t="shared" si="1"/>
        <v>Moderate</v>
      </c>
      <c r="O82" s="19" t="s">
        <v>97</v>
      </c>
      <c r="P82" s="21">
        <v>3.0</v>
      </c>
      <c r="Q82" s="11">
        <f t="shared" si="2"/>
        <v>2</v>
      </c>
      <c r="R82" s="11">
        <f t="shared" si="3"/>
        <v>4</v>
      </c>
      <c r="S82" s="21">
        <v>4.0</v>
      </c>
      <c r="T82" s="21">
        <v>3.0</v>
      </c>
      <c r="U82" s="21">
        <v>4.0</v>
      </c>
      <c r="V82" s="24">
        <f>ROUND((P82*'Scoring Model'!$C$4+Q82*'Scoring Model'!$C$5+R82*'Scoring Model'!$C$6+S82*'Scoring Model'!$C$7+T82*'Scoring Model'!$C$8+U82*'Scoring Model'!$C$9)/5*100,0)</f>
        <v>66</v>
      </c>
      <c r="W82" s="11" t="str">
        <f t="shared" si="4"/>
        <v>Medium</v>
      </c>
      <c r="X82" s="11" t="s">
        <v>180</v>
      </c>
      <c r="Y82" s="11" t="s">
        <v>141</v>
      </c>
      <c r="Z82" s="19" t="s">
        <v>249</v>
      </c>
    </row>
    <row r="83" ht="15.75" customHeight="1">
      <c r="A83" s="25" t="s">
        <v>984</v>
      </c>
      <c r="B83" s="26" t="s">
        <v>256</v>
      </c>
      <c r="C83" s="26" t="s">
        <v>175</v>
      </c>
      <c r="D83" s="26" t="s">
        <v>175</v>
      </c>
      <c r="E83" s="26" t="s">
        <v>60</v>
      </c>
      <c r="F83" s="26" t="s">
        <v>61</v>
      </c>
      <c r="G83" s="26" t="s">
        <v>150</v>
      </c>
      <c r="H83" s="27">
        <v>70.0</v>
      </c>
      <c r="I83" s="26" t="s">
        <v>71</v>
      </c>
      <c r="J83" s="26">
        <v>31.0</v>
      </c>
      <c r="K83" s="26" t="s">
        <v>74</v>
      </c>
      <c r="L83" s="28">
        <v>5.28</v>
      </c>
      <c r="M83" s="26" t="s">
        <v>77</v>
      </c>
      <c r="N83" s="26" t="str">
        <f t="shared" si="1"/>
        <v>Moderate</v>
      </c>
      <c r="O83" s="29" t="s">
        <v>97</v>
      </c>
      <c r="P83" s="30">
        <v>4.0</v>
      </c>
      <c r="Q83" s="26">
        <f t="shared" si="2"/>
        <v>2</v>
      </c>
      <c r="R83" s="26">
        <f t="shared" si="3"/>
        <v>4</v>
      </c>
      <c r="S83" s="30">
        <v>5.0</v>
      </c>
      <c r="T83" s="30">
        <v>4.0</v>
      </c>
      <c r="U83" s="30">
        <v>4.0</v>
      </c>
      <c r="V83" s="31">
        <f>ROUND((P83*'Scoring Model'!$C$4+Q83*'Scoring Model'!$C$5+R83*'Scoring Model'!$C$6+S83*'Scoring Model'!$C$7+T83*'Scoring Model'!$C$8+U83*'Scoring Model'!$C$9)/5*100,0)</f>
        <v>77</v>
      </c>
      <c r="W83" s="26" t="str">
        <f t="shared" si="4"/>
        <v>High</v>
      </c>
      <c r="X83" s="26" t="s">
        <v>180</v>
      </c>
      <c r="Y83" s="26" t="s">
        <v>141</v>
      </c>
      <c r="Z83" s="29" t="s">
        <v>142</v>
      </c>
    </row>
    <row r="84" ht="15.75" customHeight="1">
      <c r="A84" s="9" t="s">
        <v>985</v>
      </c>
      <c r="B84" s="11" t="s">
        <v>56</v>
      </c>
      <c r="C84" s="11" t="s">
        <v>175</v>
      </c>
      <c r="D84" s="11" t="s">
        <v>175</v>
      </c>
      <c r="E84" s="11" t="s">
        <v>60</v>
      </c>
      <c r="F84" s="11" t="s">
        <v>61</v>
      </c>
      <c r="G84" s="11" t="s">
        <v>150</v>
      </c>
      <c r="H84" s="14">
        <v>70.0</v>
      </c>
      <c r="I84" s="11" t="s">
        <v>71</v>
      </c>
      <c r="J84" s="11">
        <v>31.0</v>
      </c>
      <c r="K84" s="11" t="s">
        <v>74</v>
      </c>
      <c r="L84" s="15">
        <v>6.9</v>
      </c>
      <c r="M84" s="11" t="s">
        <v>77</v>
      </c>
      <c r="N84" s="11" t="str">
        <f t="shared" si="1"/>
        <v>Moderate</v>
      </c>
      <c r="O84" s="19" t="s">
        <v>97</v>
      </c>
      <c r="P84" s="21">
        <v>4.0</v>
      </c>
      <c r="Q84" s="11">
        <f t="shared" si="2"/>
        <v>2</v>
      </c>
      <c r="R84" s="11">
        <f t="shared" si="3"/>
        <v>4</v>
      </c>
      <c r="S84" s="21">
        <v>5.0</v>
      </c>
      <c r="T84" s="21">
        <v>5.0</v>
      </c>
      <c r="U84" s="21">
        <v>4.0</v>
      </c>
      <c r="V84" s="24">
        <f>ROUND((P84*'Scoring Model'!$C$4+Q84*'Scoring Model'!$C$5+R84*'Scoring Model'!$C$6+S84*'Scoring Model'!$C$7+T84*'Scoring Model'!$C$8+U84*'Scoring Model'!$C$9)/5*100,0)</f>
        <v>80</v>
      </c>
      <c r="W84" s="11" t="str">
        <f t="shared" si="4"/>
        <v>High</v>
      </c>
      <c r="X84" s="11" t="s">
        <v>180</v>
      </c>
      <c r="Y84" s="11" t="s">
        <v>141</v>
      </c>
      <c r="Z84" s="19" t="s">
        <v>142</v>
      </c>
    </row>
    <row r="85" ht="15.75" customHeight="1">
      <c r="A85" s="25" t="s">
        <v>488</v>
      </c>
      <c r="B85" s="26" t="s">
        <v>56</v>
      </c>
      <c r="C85" s="26" t="s">
        <v>175</v>
      </c>
      <c r="D85" s="26" t="s">
        <v>175</v>
      </c>
      <c r="E85" s="26" t="s">
        <v>60</v>
      </c>
      <c r="F85" s="26" t="s">
        <v>61</v>
      </c>
      <c r="G85" s="26" t="s">
        <v>150</v>
      </c>
      <c r="H85" s="27">
        <v>50.0</v>
      </c>
      <c r="I85" s="26" t="s">
        <v>71</v>
      </c>
      <c r="J85" s="26">
        <v>22.0</v>
      </c>
      <c r="K85" s="26" t="s">
        <v>74</v>
      </c>
      <c r="L85" s="28">
        <v>5.8</v>
      </c>
      <c r="M85" s="26" t="s">
        <v>77</v>
      </c>
      <c r="N85" s="26" t="str">
        <f t="shared" si="1"/>
        <v>Moderate</v>
      </c>
      <c r="O85" s="29" t="s">
        <v>97</v>
      </c>
      <c r="P85" s="30">
        <v>4.0</v>
      </c>
      <c r="Q85" s="26">
        <f t="shared" si="2"/>
        <v>2</v>
      </c>
      <c r="R85" s="26">
        <f t="shared" si="3"/>
        <v>5</v>
      </c>
      <c r="S85" s="30">
        <v>5.0</v>
      </c>
      <c r="T85" s="30">
        <v>5.0</v>
      </c>
      <c r="U85" s="30">
        <v>4.0</v>
      </c>
      <c r="V85" s="31">
        <f>ROUND((P85*'Scoring Model'!$C$4+Q85*'Scoring Model'!$C$5+R85*'Scoring Model'!$C$6+S85*'Scoring Model'!$C$7+T85*'Scoring Model'!$C$8+U85*'Scoring Model'!$C$9)/5*100,0)</f>
        <v>84</v>
      </c>
      <c r="W85" s="26" t="str">
        <f t="shared" si="4"/>
        <v>High</v>
      </c>
      <c r="X85" s="26" t="s">
        <v>180</v>
      </c>
      <c r="Y85" s="26" t="s">
        <v>141</v>
      </c>
      <c r="Z85" s="29" t="s">
        <v>142</v>
      </c>
    </row>
    <row r="86" ht="15.75" customHeight="1">
      <c r="A86" s="9" t="s">
        <v>991</v>
      </c>
      <c r="B86" s="11" t="s">
        <v>652</v>
      </c>
      <c r="C86" s="11" t="s">
        <v>175</v>
      </c>
      <c r="D86" s="11" t="s">
        <v>175</v>
      </c>
      <c r="E86" s="11" t="s">
        <v>120</v>
      </c>
      <c r="F86" s="11" t="s">
        <v>191</v>
      </c>
      <c r="G86" s="11" t="s">
        <v>150</v>
      </c>
      <c r="H86" s="14">
        <v>480.0</v>
      </c>
      <c r="I86" s="11" t="s">
        <v>71</v>
      </c>
      <c r="J86" s="11">
        <v>28.0</v>
      </c>
      <c r="K86" s="11" t="s">
        <v>74</v>
      </c>
      <c r="L86" s="15">
        <v>2.7</v>
      </c>
      <c r="M86" s="11" t="s">
        <v>77</v>
      </c>
      <c r="N86" s="11" t="str">
        <f t="shared" si="1"/>
        <v>Moderate</v>
      </c>
      <c r="O86" s="19" t="s">
        <v>282</v>
      </c>
      <c r="P86" s="21">
        <v>3.0</v>
      </c>
      <c r="Q86" s="11">
        <f t="shared" si="2"/>
        <v>4</v>
      </c>
      <c r="R86" s="11">
        <f t="shared" si="3"/>
        <v>4</v>
      </c>
      <c r="S86" s="21">
        <v>3.0</v>
      </c>
      <c r="T86" s="21">
        <v>3.0</v>
      </c>
      <c r="U86" s="21">
        <v>4.0</v>
      </c>
      <c r="V86" s="24">
        <f>ROUND((P86*'Scoring Model'!$C$4+Q86*'Scoring Model'!$C$5+R86*'Scoring Model'!$C$6+S86*'Scoring Model'!$C$7+T86*'Scoring Model'!$C$8+U86*'Scoring Model'!$C$9)/5*100,0)</f>
        <v>69</v>
      </c>
      <c r="W86" s="11" t="str">
        <f t="shared" si="4"/>
        <v>Medium</v>
      </c>
      <c r="X86" s="11" t="s">
        <v>180</v>
      </c>
      <c r="Y86" s="11" t="s">
        <v>141</v>
      </c>
      <c r="Z86" s="19" t="s">
        <v>249</v>
      </c>
    </row>
    <row r="87" ht="15.75" customHeight="1">
      <c r="A87" s="25" t="s">
        <v>178</v>
      </c>
      <c r="B87" s="26" t="s">
        <v>280</v>
      </c>
      <c r="C87" s="26" t="s">
        <v>175</v>
      </c>
      <c r="D87" s="26" t="s">
        <v>181</v>
      </c>
      <c r="E87" s="26" t="s">
        <v>95</v>
      </c>
      <c r="F87" s="26" t="s">
        <v>100</v>
      </c>
      <c r="G87" s="26" t="s">
        <v>62</v>
      </c>
      <c r="H87" s="27">
        <v>1900.0</v>
      </c>
      <c r="I87" s="26" t="s">
        <v>71</v>
      </c>
      <c r="J87" s="26">
        <v>26.0</v>
      </c>
      <c r="K87" s="26" t="s">
        <v>74</v>
      </c>
      <c r="L87" s="28">
        <v>1.0</v>
      </c>
      <c r="M87" s="26" t="s">
        <v>77</v>
      </c>
      <c r="N87" s="26" t="str">
        <f t="shared" si="1"/>
        <v>Moderate</v>
      </c>
      <c r="O87" s="29" t="s">
        <v>282</v>
      </c>
      <c r="P87" s="30">
        <v>2.0</v>
      </c>
      <c r="Q87" s="26">
        <f t="shared" si="2"/>
        <v>5</v>
      </c>
      <c r="R87" s="26">
        <f t="shared" si="3"/>
        <v>4</v>
      </c>
      <c r="S87" s="30">
        <v>1.0</v>
      </c>
      <c r="T87" s="30">
        <v>1.0</v>
      </c>
      <c r="U87" s="30">
        <v>4.0</v>
      </c>
      <c r="V87" s="31">
        <f>ROUND((P87*'Scoring Model'!$C$4+Q87*'Scoring Model'!$C$5+R87*'Scoring Model'!$C$6+S87*'Scoring Model'!$C$7+T87*'Scoring Model'!$C$8+U87*'Scoring Model'!$C$9)/5*100,0)</f>
        <v>55</v>
      </c>
      <c r="W87" s="26" t="str">
        <f t="shared" si="4"/>
        <v>Low</v>
      </c>
      <c r="X87" s="26" t="s">
        <v>182</v>
      </c>
      <c r="Y87" s="26" t="s">
        <v>293</v>
      </c>
      <c r="Z87" s="29" t="s">
        <v>294</v>
      </c>
    </row>
    <row r="88" ht="15.75" customHeight="1">
      <c r="A88" s="9" t="s">
        <v>184</v>
      </c>
      <c r="B88" s="11" t="s">
        <v>56</v>
      </c>
      <c r="C88" s="11" t="s">
        <v>183</v>
      </c>
      <c r="D88" s="11" t="s">
        <v>183</v>
      </c>
      <c r="E88" s="11" t="s">
        <v>60</v>
      </c>
      <c r="F88" s="11" t="s">
        <v>61</v>
      </c>
      <c r="G88" s="11" t="s">
        <v>62</v>
      </c>
      <c r="H88" s="14">
        <v>320.0</v>
      </c>
      <c r="I88" s="11" t="s">
        <v>71</v>
      </c>
      <c r="J88" s="11">
        <v>42.0</v>
      </c>
      <c r="K88" s="11" t="s">
        <v>74</v>
      </c>
      <c r="L88" s="15">
        <v>10.2</v>
      </c>
      <c r="M88" s="11" t="s">
        <v>77</v>
      </c>
      <c r="N88" s="11" t="str">
        <f t="shared" si="1"/>
        <v>Competitive</v>
      </c>
      <c r="O88" s="19" t="s">
        <v>97</v>
      </c>
      <c r="P88" s="21">
        <v>5.0</v>
      </c>
      <c r="Q88" s="11">
        <f t="shared" si="2"/>
        <v>3</v>
      </c>
      <c r="R88" s="11">
        <f t="shared" si="3"/>
        <v>3</v>
      </c>
      <c r="S88" s="21">
        <v>5.0</v>
      </c>
      <c r="T88" s="21">
        <v>5.0</v>
      </c>
      <c r="U88" s="21">
        <v>4.0</v>
      </c>
      <c r="V88" s="24">
        <f>ROUND((P88*'Scoring Model'!$C$4+Q88*'Scoring Model'!$C$5+R88*'Scoring Model'!$C$6+S88*'Scoring Model'!$C$7+T88*'Scoring Model'!$C$8+U88*'Scoring Model'!$C$9)/5*100,0)</f>
        <v>84</v>
      </c>
      <c r="W88" s="11" t="str">
        <f t="shared" si="4"/>
        <v>High</v>
      </c>
      <c r="X88" s="11" t="s">
        <v>188</v>
      </c>
      <c r="Y88" s="11" t="s">
        <v>141</v>
      </c>
      <c r="Z88" s="19" t="s">
        <v>142</v>
      </c>
    </row>
    <row r="89" ht="15.75" customHeight="1">
      <c r="A89" s="25" t="s">
        <v>995</v>
      </c>
      <c r="B89" s="26" t="s">
        <v>56</v>
      </c>
      <c r="C89" s="26" t="s">
        <v>183</v>
      </c>
      <c r="D89" s="26" t="s">
        <v>183</v>
      </c>
      <c r="E89" s="26" t="s">
        <v>60</v>
      </c>
      <c r="F89" s="26" t="s">
        <v>61</v>
      </c>
      <c r="G89" s="26" t="s">
        <v>150</v>
      </c>
      <c r="H89" s="27">
        <v>140.0</v>
      </c>
      <c r="I89" s="26" t="s">
        <v>71</v>
      </c>
      <c r="J89" s="26">
        <v>40.0</v>
      </c>
      <c r="K89" s="26" t="s">
        <v>74</v>
      </c>
      <c r="L89" s="28">
        <v>10.2</v>
      </c>
      <c r="M89" s="26" t="s">
        <v>77</v>
      </c>
      <c r="N89" s="26" t="str">
        <f t="shared" si="1"/>
        <v>Moderate</v>
      </c>
      <c r="O89" s="29" t="s">
        <v>97</v>
      </c>
      <c r="P89" s="30">
        <v>5.0</v>
      </c>
      <c r="Q89" s="26">
        <f t="shared" si="2"/>
        <v>2</v>
      </c>
      <c r="R89" s="26">
        <f t="shared" si="3"/>
        <v>4</v>
      </c>
      <c r="S89" s="30">
        <v>5.0</v>
      </c>
      <c r="T89" s="30">
        <v>5.0</v>
      </c>
      <c r="U89" s="30">
        <v>4.0</v>
      </c>
      <c r="V89" s="31">
        <f>ROUND((P89*'Scoring Model'!$C$4+Q89*'Scoring Model'!$C$5+R89*'Scoring Model'!$C$6+S89*'Scoring Model'!$C$7+T89*'Scoring Model'!$C$8+U89*'Scoring Model'!$C$9)/5*100,0)</f>
        <v>85</v>
      </c>
      <c r="W89" s="26" t="str">
        <f t="shared" si="4"/>
        <v>High</v>
      </c>
      <c r="X89" s="26" t="s">
        <v>188</v>
      </c>
      <c r="Y89" s="26" t="s">
        <v>141</v>
      </c>
      <c r="Z89" s="29" t="s">
        <v>142</v>
      </c>
    </row>
    <row r="90" ht="15.75" customHeight="1">
      <c r="A90" s="9" t="s">
        <v>500</v>
      </c>
      <c r="B90" s="11" t="s">
        <v>173</v>
      </c>
      <c r="C90" s="11" t="s">
        <v>183</v>
      </c>
      <c r="D90" s="11" t="s">
        <v>183</v>
      </c>
      <c r="E90" s="11" t="s">
        <v>60</v>
      </c>
      <c r="F90" s="11" t="s">
        <v>61</v>
      </c>
      <c r="G90" s="11" t="s">
        <v>150</v>
      </c>
      <c r="H90" s="14">
        <v>480.0</v>
      </c>
      <c r="I90" s="11" t="s">
        <v>71</v>
      </c>
      <c r="J90" s="11">
        <v>48.0</v>
      </c>
      <c r="K90" s="11" t="s">
        <v>74</v>
      </c>
      <c r="L90" s="15">
        <v>10.71</v>
      </c>
      <c r="M90" s="11" t="s">
        <v>77</v>
      </c>
      <c r="N90" s="11" t="str">
        <f t="shared" si="1"/>
        <v>Competitive</v>
      </c>
      <c r="O90" s="19" t="s">
        <v>97</v>
      </c>
      <c r="P90" s="21">
        <v>5.0</v>
      </c>
      <c r="Q90" s="11">
        <f t="shared" si="2"/>
        <v>4</v>
      </c>
      <c r="R90" s="11">
        <f t="shared" si="3"/>
        <v>3</v>
      </c>
      <c r="S90" s="21">
        <v>5.0</v>
      </c>
      <c r="T90" s="21">
        <v>5.0</v>
      </c>
      <c r="U90" s="21">
        <v>4.0</v>
      </c>
      <c r="V90" s="24">
        <f>ROUND((P90*'Scoring Model'!$C$4+Q90*'Scoring Model'!$C$5+R90*'Scoring Model'!$C$6+S90*'Scoring Model'!$C$7+T90*'Scoring Model'!$C$8+U90*'Scoring Model'!$C$9)/5*100,0)</f>
        <v>87</v>
      </c>
      <c r="W90" s="11" t="str">
        <f t="shared" si="4"/>
        <v>High</v>
      </c>
      <c r="X90" s="11" t="s">
        <v>188</v>
      </c>
      <c r="Y90" s="11" t="s">
        <v>141</v>
      </c>
      <c r="Z90" s="19" t="s">
        <v>142</v>
      </c>
    </row>
    <row r="91" ht="15.75" customHeight="1">
      <c r="A91" s="25" t="s">
        <v>997</v>
      </c>
      <c r="B91" s="26" t="s">
        <v>190</v>
      </c>
      <c r="C91" s="26" t="s">
        <v>183</v>
      </c>
      <c r="D91" s="26" t="s">
        <v>183</v>
      </c>
      <c r="E91" s="26" t="s">
        <v>120</v>
      </c>
      <c r="F91" s="26" t="s">
        <v>191</v>
      </c>
      <c r="G91" s="26" t="s">
        <v>150</v>
      </c>
      <c r="H91" s="27">
        <v>100.0</v>
      </c>
      <c r="I91" s="26" t="s">
        <v>71</v>
      </c>
      <c r="J91" s="26">
        <v>39.0</v>
      </c>
      <c r="K91" s="26" t="s">
        <v>74</v>
      </c>
      <c r="L91" s="28">
        <v>8.67</v>
      </c>
      <c r="M91" s="26" t="s">
        <v>77</v>
      </c>
      <c r="N91" s="26" t="str">
        <f t="shared" si="1"/>
        <v>Moderate</v>
      </c>
      <c r="O91" s="29" t="s">
        <v>97</v>
      </c>
      <c r="P91" s="30">
        <v>4.0</v>
      </c>
      <c r="Q91" s="26">
        <f t="shared" si="2"/>
        <v>2</v>
      </c>
      <c r="R91" s="26">
        <f t="shared" si="3"/>
        <v>4</v>
      </c>
      <c r="S91" s="30">
        <v>4.0</v>
      </c>
      <c r="T91" s="30">
        <v>3.0</v>
      </c>
      <c r="U91" s="30">
        <v>4.0</v>
      </c>
      <c r="V91" s="31">
        <f>ROUND((P91*'Scoring Model'!$C$4+Q91*'Scoring Model'!$C$5+R91*'Scoring Model'!$C$6+S91*'Scoring Model'!$C$7+T91*'Scoring Model'!$C$8+U91*'Scoring Model'!$C$9)/5*100,0)</f>
        <v>71</v>
      </c>
      <c r="W91" s="26" t="str">
        <f t="shared" si="4"/>
        <v>Medium</v>
      </c>
      <c r="X91" s="26" t="s">
        <v>188</v>
      </c>
      <c r="Y91" s="26" t="s">
        <v>141</v>
      </c>
      <c r="Z91" s="29" t="s">
        <v>249</v>
      </c>
    </row>
    <row r="92" ht="15.75" customHeight="1">
      <c r="A92" s="9" t="s">
        <v>1000</v>
      </c>
      <c r="B92" s="11" t="s">
        <v>256</v>
      </c>
      <c r="C92" s="11" t="s">
        <v>183</v>
      </c>
      <c r="D92" s="11" t="s">
        <v>183</v>
      </c>
      <c r="E92" s="11" t="s">
        <v>60</v>
      </c>
      <c r="F92" s="11" t="s">
        <v>61</v>
      </c>
      <c r="G92" s="11" t="s">
        <v>150</v>
      </c>
      <c r="H92" s="14">
        <v>110.0</v>
      </c>
      <c r="I92" s="11" t="s">
        <v>71</v>
      </c>
      <c r="J92" s="11">
        <v>38.0</v>
      </c>
      <c r="K92" s="11" t="s">
        <v>74</v>
      </c>
      <c r="L92" s="15">
        <v>8.16</v>
      </c>
      <c r="M92" s="11" t="s">
        <v>77</v>
      </c>
      <c r="N92" s="11" t="str">
        <f t="shared" si="1"/>
        <v>Moderate</v>
      </c>
      <c r="O92" s="19" t="s">
        <v>97</v>
      </c>
      <c r="P92" s="21">
        <v>5.0</v>
      </c>
      <c r="Q92" s="11">
        <f t="shared" si="2"/>
        <v>2</v>
      </c>
      <c r="R92" s="11">
        <f t="shared" si="3"/>
        <v>4</v>
      </c>
      <c r="S92" s="21">
        <v>5.0</v>
      </c>
      <c r="T92" s="21">
        <v>4.0</v>
      </c>
      <c r="U92" s="21">
        <v>4.0</v>
      </c>
      <c r="V92" s="24">
        <f>ROUND((P92*'Scoring Model'!$C$4+Q92*'Scoring Model'!$C$5+R92*'Scoring Model'!$C$6+S92*'Scoring Model'!$C$7+T92*'Scoring Model'!$C$8+U92*'Scoring Model'!$C$9)/5*100,0)</f>
        <v>82</v>
      </c>
      <c r="W92" s="11" t="str">
        <f t="shared" si="4"/>
        <v>High</v>
      </c>
      <c r="X92" s="11" t="s">
        <v>188</v>
      </c>
      <c r="Y92" s="11" t="s">
        <v>141</v>
      </c>
      <c r="Z92" s="19" t="s">
        <v>142</v>
      </c>
    </row>
    <row r="93" ht="15.75" customHeight="1">
      <c r="A93" s="25" t="s">
        <v>193</v>
      </c>
      <c r="B93" s="26" t="s">
        <v>280</v>
      </c>
      <c r="C93" s="26" t="s">
        <v>183</v>
      </c>
      <c r="D93" s="26" t="s">
        <v>192</v>
      </c>
      <c r="E93" s="26" t="s">
        <v>95</v>
      </c>
      <c r="F93" s="26" t="s">
        <v>100</v>
      </c>
      <c r="G93" s="26" t="s">
        <v>62</v>
      </c>
      <c r="H93" s="27">
        <v>700.0</v>
      </c>
      <c r="I93" s="26" t="s">
        <v>71</v>
      </c>
      <c r="J93" s="26">
        <v>28.0</v>
      </c>
      <c r="K93" s="26" t="s">
        <v>74</v>
      </c>
      <c r="L93" s="28">
        <v>2.55</v>
      </c>
      <c r="M93" s="26" t="s">
        <v>77</v>
      </c>
      <c r="N93" s="26" t="str">
        <f t="shared" si="1"/>
        <v>Moderate</v>
      </c>
      <c r="O93" s="29" t="s">
        <v>282</v>
      </c>
      <c r="P93" s="30">
        <v>3.0</v>
      </c>
      <c r="Q93" s="26">
        <f t="shared" si="2"/>
        <v>4</v>
      </c>
      <c r="R93" s="26">
        <f t="shared" si="3"/>
        <v>4</v>
      </c>
      <c r="S93" s="30">
        <v>1.0</v>
      </c>
      <c r="T93" s="30">
        <v>1.0</v>
      </c>
      <c r="U93" s="30">
        <v>4.0</v>
      </c>
      <c r="V93" s="31">
        <f>ROUND((P93*'Scoring Model'!$C$4+Q93*'Scoring Model'!$C$5+R93*'Scoring Model'!$C$6+S93*'Scoring Model'!$C$7+T93*'Scoring Model'!$C$8+U93*'Scoring Model'!$C$9)/5*100,0)</f>
        <v>57</v>
      </c>
      <c r="W93" s="26" t="str">
        <f t="shared" si="4"/>
        <v>Low</v>
      </c>
      <c r="X93" s="26" t="s">
        <v>195</v>
      </c>
      <c r="Y93" s="26" t="s">
        <v>293</v>
      </c>
      <c r="Z93" s="29" t="s">
        <v>294</v>
      </c>
    </row>
    <row r="94" ht="15.75" customHeight="1">
      <c r="A94" s="9" t="s">
        <v>1008</v>
      </c>
      <c r="B94" s="11" t="s">
        <v>56</v>
      </c>
      <c r="C94" s="11" t="s">
        <v>183</v>
      </c>
      <c r="D94" s="11" t="s">
        <v>183</v>
      </c>
      <c r="E94" s="11" t="s">
        <v>60</v>
      </c>
      <c r="F94" s="11" t="s">
        <v>61</v>
      </c>
      <c r="G94" s="11" t="s">
        <v>150</v>
      </c>
      <c r="H94" s="14">
        <v>120.0</v>
      </c>
      <c r="I94" s="11" t="s">
        <v>71</v>
      </c>
      <c r="J94" s="11">
        <v>38.0</v>
      </c>
      <c r="K94" s="11" t="s">
        <v>74</v>
      </c>
      <c r="L94" s="15">
        <v>10.8</v>
      </c>
      <c r="M94" s="11" t="s">
        <v>77</v>
      </c>
      <c r="N94" s="11" t="str">
        <f t="shared" si="1"/>
        <v>Moderate</v>
      </c>
      <c r="O94" s="19" t="s">
        <v>97</v>
      </c>
      <c r="P94" s="21">
        <v>5.0</v>
      </c>
      <c r="Q94" s="11">
        <f t="shared" si="2"/>
        <v>2</v>
      </c>
      <c r="R94" s="11">
        <f t="shared" si="3"/>
        <v>4</v>
      </c>
      <c r="S94" s="21">
        <v>5.0</v>
      </c>
      <c r="T94" s="21">
        <v>5.0</v>
      </c>
      <c r="U94" s="21">
        <v>4.0</v>
      </c>
      <c r="V94" s="24">
        <f>ROUND((P94*'Scoring Model'!$C$4+Q94*'Scoring Model'!$C$5+R94*'Scoring Model'!$C$6+S94*'Scoring Model'!$C$7+T94*'Scoring Model'!$C$8+U94*'Scoring Model'!$C$9)/5*100,0)</f>
        <v>85</v>
      </c>
      <c r="W94" s="11" t="str">
        <f t="shared" si="4"/>
        <v>High</v>
      </c>
      <c r="X94" s="11" t="s">
        <v>188</v>
      </c>
      <c r="Y94" s="11" t="s">
        <v>141</v>
      </c>
      <c r="Z94" s="19" t="s">
        <v>142</v>
      </c>
    </row>
    <row r="95" ht="15.75" customHeight="1">
      <c r="A95" s="25" t="s">
        <v>1025</v>
      </c>
      <c r="B95" s="26" t="s">
        <v>280</v>
      </c>
      <c r="C95" s="26" t="s">
        <v>183</v>
      </c>
      <c r="D95" s="26" t="s">
        <v>192</v>
      </c>
      <c r="E95" s="26" t="s">
        <v>95</v>
      </c>
      <c r="F95" s="26" t="s">
        <v>100</v>
      </c>
      <c r="G95" s="26" t="s">
        <v>150</v>
      </c>
      <c r="H95" s="27">
        <v>1300.0</v>
      </c>
      <c r="I95" s="26" t="s">
        <v>71</v>
      </c>
      <c r="J95" s="26">
        <v>31.0</v>
      </c>
      <c r="K95" s="26" t="s">
        <v>74</v>
      </c>
      <c r="L95" s="28">
        <v>2.0</v>
      </c>
      <c r="M95" s="26" t="s">
        <v>77</v>
      </c>
      <c r="N95" s="26" t="str">
        <f t="shared" si="1"/>
        <v>Moderate</v>
      </c>
      <c r="O95" s="29" t="s">
        <v>282</v>
      </c>
      <c r="P95" s="30">
        <v>3.0</v>
      </c>
      <c r="Q95" s="26">
        <f t="shared" si="2"/>
        <v>5</v>
      </c>
      <c r="R95" s="26">
        <f t="shared" si="3"/>
        <v>4</v>
      </c>
      <c r="S95" s="30">
        <v>1.0</v>
      </c>
      <c r="T95" s="30">
        <v>1.0</v>
      </c>
      <c r="U95" s="30">
        <v>4.0</v>
      </c>
      <c r="V95" s="31">
        <f>ROUND((P95*'Scoring Model'!$C$4+Q95*'Scoring Model'!$C$5+R95*'Scoring Model'!$C$6+S95*'Scoring Model'!$C$7+T95*'Scoring Model'!$C$8+U95*'Scoring Model'!$C$9)/5*100,0)</f>
        <v>60</v>
      </c>
      <c r="W95" s="26" t="str">
        <f t="shared" si="4"/>
        <v>Medium</v>
      </c>
      <c r="X95" s="26" t="s">
        <v>195</v>
      </c>
      <c r="Y95" s="26" t="s">
        <v>293</v>
      </c>
      <c r="Z95" s="29" t="s">
        <v>294</v>
      </c>
    </row>
    <row r="96" ht="15.75" customHeight="1">
      <c r="A96" s="9" t="s">
        <v>506</v>
      </c>
      <c r="B96" s="11" t="s">
        <v>371</v>
      </c>
      <c r="C96" s="11" t="s">
        <v>183</v>
      </c>
      <c r="D96" s="11" t="s">
        <v>192</v>
      </c>
      <c r="E96" s="11" t="s">
        <v>95</v>
      </c>
      <c r="F96" s="11" t="s">
        <v>100</v>
      </c>
      <c r="G96" s="11" t="s">
        <v>150</v>
      </c>
      <c r="H96" s="14">
        <v>880.0</v>
      </c>
      <c r="I96" s="11" t="s">
        <v>71</v>
      </c>
      <c r="J96" s="11">
        <v>29.0</v>
      </c>
      <c r="K96" s="11" t="s">
        <v>74</v>
      </c>
      <c r="L96" s="15">
        <v>2.3</v>
      </c>
      <c r="M96" s="11" t="s">
        <v>77</v>
      </c>
      <c r="N96" s="11" t="str">
        <f t="shared" si="1"/>
        <v>Moderate</v>
      </c>
      <c r="O96" s="19" t="s">
        <v>282</v>
      </c>
      <c r="P96" s="21">
        <v>3.0</v>
      </c>
      <c r="Q96" s="11">
        <f t="shared" si="2"/>
        <v>4</v>
      </c>
      <c r="R96" s="11">
        <f t="shared" si="3"/>
        <v>4</v>
      </c>
      <c r="S96" s="21">
        <v>2.0</v>
      </c>
      <c r="T96" s="21">
        <v>2.0</v>
      </c>
      <c r="U96" s="21">
        <v>4.0</v>
      </c>
      <c r="V96" s="24">
        <f>ROUND((P96*'Scoring Model'!$C$4+Q96*'Scoring Model'!$C$5+R96*'Scoring Model'!$C$6+S96*'Scoring Model'!$C$7+T96*'Scoring Model'!$C$8+U96*'Scoring Model'!$C$9)/5*100,0)</f>
        <v>63</v>
      </c>
      <c r="W96" s="11" t="str">
        <f t="shared" si="4"/>
        <v>Medium</v>
      </c>
      <c r="X96" s="11" t="s">
        <v>195</v>
      </c>
      <c r="Y96" s="11" t="s">
        <v>293</v>
      </c>
      <c r="Z96" s="19" t="s">
        <v>294</v>
      </c>
    </row>
    <row r="97" ht="15.75" customHeight="1">
      <c r="A97" s="25" t="s">
        <v>1041</v>
      </c>
      <c r="B97" s="26" t="s">
        <v>371</v>
      </c>
      <c r="C97" s="26" t="s">
        <v>183</v>
      </c>
      <c r="D97" s="26" t="s">
        <v>192</v>
      </c>
      <c r="E97" s="26" t="s">
        <v>95</v>
      </c>
      <c r="F97" s="26" t="s">
        <v>100</v>
      </c>
      <c r="G97" s="26" t="s">
        <v>150</v>
      </c>
      <c r="H97" s="27">
        <v>5400.0</v>
      </c>
      <c r="I97" s="26" t="s">
        <v>71</v>
      </c>
      <c r="J97" s="26">
        <v>48.0</v>
      </c>
      <c r="K97" s="26" t="s">
        <v>74</v>
      </c>
      <c r="L97" s="28">
        <v>1.8</v>
      </c>
      <c r="M97" s="26" t="s">
        <v>77</v>
      </c>
      <c r="N97" s="26" t="str">
        <f t="shared" si="1"/>
        <v>Competitive</v>
      </c>
      <c r="O97" s="29" t="s">
        <v>282</v>
      </c>
      <c r="P97" s="30">
        <v>3.0</v>
      </c>
      <c r="Q97" s="26">
        <f t="shared" si="2"/>
        <v>5</v>
      </c>
      <c r="R97" s="26">
        <f t="shared" si="3"/>
        <v>3</v>
      </c>
      <c r="S97" s="30">
        <v>2.0</v>
      </c>
      <c r="T97" s="30">
        <v>2.0</v>
      </c>
      <c r="U97" s="30">
        <v>4.0</v>
      </c>
      <c r="V97" s="31">
        <f>ROUND((P97*'Scoring Model'!$C$4+Q97*'Scoring Model'!$C$5+R97*'Scoring Model'!$C$6+S97*'Scoring Model'!$C$7+T97*'Scoring Model'!$C$8+U97*'Scoring Model'!$C$9)/5*100,0)</f>
        <v>62</v>
      </c>
      <c r="W97" s="26" t="str">
        <f t="shared" si="4"/>
        <v>Medium</v>
      </c>
      <c r="X97" s="26" t="s">
        <v>195</v>
      </c>
      <c r="Y97" s="26" t="s">
        <v>293</v>
      </c>
      <c r="Z97" s="29" t="s">
        <v>294</v>
      </c>
    </row>
    <row r="98" ht="15.75" customHeight="1">
      <c r="A98" s="9" t="s">
        <v>197</v>
      </c>
      <c r="B98" s="11" t="s">
        <v>56</v>
      </c>
      <c r="C98" s="11" t="s">
        <v>196</v>
      </c>
      <c r="D98" s="11" t="s">
        <v>196</v>
      </c>
      <c r="E98" s="11" t="s">
        <v>60</v>
      </c>
      <c r="F98" s="11" t="s">
        <v>61</v>
      </c>
      <c r="G98" s="11" t="s">
        <v>62</v>
      </c>
      <c r="H98" s="14">
        <v>110.0</v>
      </c>
      <c r="I98" s="11" t="s">
        <v>71</v>
      </c>
      <c r="J98" s="11">
        <v>28.0</v>
      </c>
      <c r="K98" s="11" t="s">
        <v>74</v>
      </c>
      <c r="L98" s="15">
        <v>5.4</v>
      </c>
      <c r="M98" s="11" t="s">
        <v>77</v>
      </c>
      <c r="N98" s="11" t="str">
        <f t="shared" si="1"/>
        <v>Moderate</v>
      </c>
      <c r="O98" s="19" t="s">
        <v>97</v>
      </c>
      <c r="P98" s="21">
        <v>3.0</v>
      </c>
      <c r="Q98" s="11">
        <f t="shared" si="2"/>
        <v>2</v>
      </c>
      <c r="R98" s="11">
        <f t="shared" si="3"/>
        <v>4</v>
      </c>
      <c r="S98" s="21">
        <v>5.0</v>
      </c>
      <c r="T98" s="21">
        <v>5.0</v>
      </c>
      <c r="U98" s="21">
        <v>3.0</v>
      </c>
      <c r="V98" s="24">
        <f>ROUND((P98*'Scoring Model'!$C$4+Q98*'Scoring Model'!$C$5+R98*'Scoring Model'!$C$6+S98*'Scoring Model'!$C$7+T98*'Scoring Model'!$C$8+U98*'Scoring Model'!$C$9)/5*100,0)</f>
        <v>73</v>
      </c>
      <c r="W98" s="11" t="str">
        <f t="shared" si="4"/>
        <v>Medium</v>
      </c>
      <c r="X98" s="11" t="s">
        <v>201</v>
      </c>
      <c r="Y98" s="11" t="s">
        <v>141</v>
      </c>
      <c r="Z98" s="19" t="s">
        <v>142</v>
      </c>
    </row>
    <row r="99" ht="15.75" customHeight="1">
      <c r="A99" s="25" t="s">
        <v>1046</v>
      </c>
      <c r="B99" s="26" t="s">
        <v>56</v>
      </c>
      <c r="C99" s="26" t="s">
        <v>196</v>
      </c>
      <c r="D99" s="26" t="s">
        <v>196</v>
      </c>
      <c r="E99" s="26" t="s">
        <v>60</v>
      </c>
      <c r="F99" s="26" t="s">
        <v>61</v>
      </c>
      <c r="G99" s="26" t="s">
        <v>150</v>
      </c>
      <c r="H99" s="27">
        <v>50.0</v>
      </c>
      <c r="I99" s="26" t="s">
        <v>71</v>
      </c>
      <c r="J99" s="26">
        <v>26.0</v>
      </c>
      <c r="K99" s="26" t="s">
        <v>74</v>
      </c>
      <c r="L99" s="28">
        <v>5.4</v>
      </c>
      <c r="M99" s="26" t="s">
        <v>77</v>
      </c>
      <c r="N99" s="26" t="str">
        <f t="shared" si="1"/>
        <v>Moderate</v>
      </c>
      <c r="O99" s="29" t="s">
        <v>97</v>
      </c>
      <c r="P99" s="30">
        <v>3.0</v>
      </c>
      <c r="Q99" s="26">
        <f t="shared" si="2"/>
        <v>2</v>
      </c>
      <c r="R99" s="26">
        <f t="shared" si="3"/>
        <v>4</v>
      </c>
      <c r="S99" s="30">
        <v>5.0</v>
      </c>
      <c r="T99" s="30">
        <v>5.0</v>
      </c>
      <c r="U99" s="30">
        <v>3.0</v>
      </c>
      <c r="V99" s="31">
        <f>ROUND((P99*'Scoring Model'!$C$4+Q99*'Scoring Model'!$C$5+R99*'Scoring Model'!$C$6+S99*'Scoring Model'!$C$7+T99*'Scoring Model'!$C$8+U99*'Scoring Model'!$C$9)/5*100,0)</f>
        <v>73</v>
      </c>
      <c r="W99" s="26" t="str">
        <f t="shared" si="4"/>
        <v>Medium</v>
      </c>
      <c r="X99" s="26" t="s">
        <v>201</v>
      </c>
      <c r="Y99" s="26" t="s">
        <v>141</v>
      </c>
      <c r="Z99" s="29" t="s">
        <v>142</v>
      </c>
    </row>
    <row r="100" ht="15.75" customHeight="1">
      <c r="A100" s="9" t="s">
        <v>515</v>
      </c>
      <c r="B100" s="11" t="s">
        <v>173</v>
      </c>
      <c r="C100" s="11" t="s">
        <v>196</v>
      </c>
      <c r="D100" s="11" t="s">
        <v>196</v>
      </c>
      <c r="E100" s="11" t="s">
        <v>60</v>
      </c>
      <c r="F100" s="11" t="s">
        <v>61</v>
      </c>
      <c r="G100" s="11" t="s">
        <v>150</v>
      </c>
      <c r="H100" s="14">
        <v>160.0</v>
      </c>
      <c r="I100" s="11" t="s">
        <v>71</v>
      </c>
      <c r="J100" s="11">
        <v>34.0</v>
      </c>
      <c r="K100" s="11" t="s">
        <v>74</v>
      </c>
      <c r="L100" s="15">
        <v>5.67</v>
      </c>
      <c r="M100" s="11" t="s">
        <v>77</v>
      </c>
      <c r="N100" s="11" t="str">
        <f t="shared" si="1"/>
        <v>Moderate</v>
      </c>
      <c r="O100" s="19" t="s">
        <v>97</v>
      </c>
      <c r="P100" s="21">
        <v>3.0</v>
      </c>
      <c r="Q100" s="11">
        <f t="shared" si="2"/>
        <v>3</v>
      </c>
      <c r="R100" s="11">
        <f t="shared" si="3"/>
        <v>4</v>
      </c>
      <c r="S100" s="21">
        <v>5.0</v>
      </c>
      <c r="T100" s="21">
        <v>5.0</v>
      </c>
      <c r="U100" s="21">
        <v>3.0</v>
      </c>
      <c r="V100" s="24">
        <f>ROUND((P100*'Scoring Model'!$C$4+Q100*'Scoring Model'!$C$5+R100*'Scoring Model'!$C$6+S100*'Scoring Model'!$C$7+T100*'Scoring Model'!$C$8+U100*'Scoring Model'!$C$9)/5*100,0)</f>
        <v>76</v>
      </c>
      <c r="W100" s="11" t="str">
        <f t="shared" si="4"/>
        <v>High</v>
      </c>
      <c r="X100" s="11" t="s">
        <v>201</v>
      </c>
      <c r="Y100" s="11" t="s">
        <v>141</v>
      </c>
      <c r="Z100" s="19" t="s">
        <v>142</v>
      </c>
    </row>
    <row r="101" ht="15.75" customHeight="1">
      <c r="A101" s="25" t="s">
        <v>1052</v>
      </c>
      <c r="B101" s="26" t="s">
        <v>256</v>
      </c>
      <c r="C101" s="26" t="s">
        <v>196</v>
      </c>
      <c r="D101" s="26" t="s">
        <v>196</v>
      </c>
      <c r="E101" s="26" t="s">
        <v>60</v>
      </c>
      <c r="F101" s="26" t="s">
        <v>61</v>
      </c>
      <c r="G101" s="26" t="s">
        <v>150</v>
      </c>
      <c r="H101" s="27">
        <v>40.0</v>
      </c>
      <c r="I101" s="26" t="s">
        <v>71</v>
      </c>
      <c r="J101" s="26">
        <v>24.0</v>
      </c>
      <c r="K101" s="26" t="s">
        <v>74</v>
      </c>
      <c r="L101" s="28">
        <v>4.32</v>
      </c>
      <c r="M101" s="26" t="s">
        <v>77</v>
      </c>
      <c r="N101" s="26" t="str">
        <f t="shared" si="1"/>
        <v>Moderate</v>
      </c>
      <c r="O101" s="29" t="s">
        <v>97</v>
      </c>
      <c r="P101" s="30">
        <v>3.0</v>
      </c>
      <c r="Q101" s="26">
        <f t="shared" si="2"/>
        <v>1</v>
      </c>
      <c r="R101" s="26">
        <f t="shared" si="3"/>
        <v>5</v>
      </c>
      <c r="S101" s="30">
        <v>5.0</v>
      </c>
      <c r="T101" s="30">
        <v>4.0</v>
      </c>
      <c r="U101" s="30">
        <v>3.0</v>
      </c>
      <c r="V101" s="31">
        <f>ROUND((P101*'Scoring Model'!$C$4+Q101*'Scoring Model'!$C$5+R101*'Scoring Model'!$C$6+S101*'Scoring Model'!$C$7+T101*'Scoring Model'!$C$8+U101*'Scoring Model'!$C$9)/5*100,0)</f>
        <v>71</v>
      </c>
      <c r="W101" s="26" t="str">
        <f t="shared" si="4"/>
        <v>Medium</v>
      </c>
      <c r="X101" s="26" t="s">
        <v>201</v>
      </c>
      <c r="Y101" s="26" t="s">
        <v>141</v>
      </c>
      <c r="Z101" s="29" t="s">
        <v>142</v>
      </c>
    </row>
    <row r="102" ht="15.75" customHeight="1">
      <c r="A102" s="9" t="s">
        <v>1056</v>
      </c>
      <c r="B102" s="11" t="s">
        <v>56</v>
      </c>
      <c r="C102" s="11" t="s">
        <v>196</v>
      </c>
      <c r="D102" s="11" t="s">
        <v>196</v>
      </c>
      <c r="E102" s="11" t="s">
        <v>60</v>
      </c>
      <c r="F102" s="11" t="s">
        <v>61</v>
      </c>
      <c r="G102" s="11" t="s">
        <v>150</v>
      </c>
      <c r="H102" s="14">
        <v>60.0</v>
      </c>
      <c r="I102" s="11" t="s">
        <v>71</v>
      </c>
      <c r="J102" s="11">
        <v>27.0</v>
      </c>
      <c r="K102" s="11" t="s">
        <v>74</v>
      </c>
      <c r="L102" s="15">
        <v>5.9</v>
      </c>
      <c r="M102" s="11" t="s">
        <v>77</v>
      </c>
      <c r="N102" s="11" t="str">
        <f t="shared" si="1"/>
        <v>Moderate</v>
      </c>
      <c r="O102" s="19" t="s">
        <v>97</v>
      </c>
      <c r="P102" s="21">
        <v>3.0</v>
      </c>
      <c r="Q102" s="11">
        <f t="shared" si="2"/>
        <v>2</v>
      </c>
      <c r="R102" s="11">
        <f t="shared" si="3"/>
        <v>4</v>
      </c>
      <c r="S102" s="21">
        <v>5.0</v>
      </c>
      <c r="T102" s="21">
        <v>5.0</v>
      </c>
      <c r="U102" s="21">
        <v>3.0</v>
      </c>
      <c r="V102" s="24">
        <f>ROUND((P102*'Scoring Model'!$C$4+Q102*'Scoring Model'!$C$5+R102*'Scoring Model'!$C$6+S102*'Scoring Model'!$C$7+T102*'Scoring Model'!$C$8+U102*'Scoring Model'!$C$9)/5*100,0)</f>
        <v>73</v>
      </c>
      <c r="W102" s="11" t="str">
        <f t="shared" si="4"/>
        <v>Medium</v>
      </c>
      <c r="X102" s="11" t="s">
        <v>201</v>
      </c>
      <c r="Y102" s="11" t="s">
        <v>141</v>
      </c>
      <c r="Z102" s="19" t="s">
        <v>142</v>
      </c>
    </row>
    <row r="103" ht="15.75" customHeight="1">
      <c r="A103" s="25" t="s">
        <v>211</v>
      </c>
      <c r="B103" s="26" t="s">
        <v>280</v>
      </c>
      <c r="C103" s="26" t="s">
        <v>196</v>
      </c>
      <c r="D103" s="26" t="s">
        <v>210</v>
      </c>
      <c r="E103" s="26" t="s">
        <v>95</v>
      </c>
      <c r="F103" s="26" t="s">
        <v>100</v>
      </c>
      <c r="G103" s="26" t="s">
        <v>62</v>
      </c>
      <c r="H103" s="27">
        <v>880.0</v>
      </c>
      <c r="I103" s="26" t="s">
        <v>71</v>
      </c>
      <c r="J103" s="26">
        <v>27.0</v>
      </c>
      <c r="K103" s="26" t="s">
        <v>74</v>
      </c>
      <c r="L103" s="28">
        <v>1.6</v>
      </c>
      <c r="M103" s="26" t="s">
        <v>77</v>
      </c>
      <c r="N103" s="26" t="str">
        <f t="shared" si="1"/>
        <v>Moderate</v>
      </c>
      <c r="O103" s="29" t="s">
        <v>282</v>
      </c>
      <c r="P103" s="30">
        <v>1.0</v>
      </c>
      <c r="Q103" s="26">
        <f t="shared" si="2"/>
        <v>4</v>
      </c>
      <c r="R103" s="26">
        <f t="shared" si="3"/>
        <v>4</v>
      </c>
      <c r="S103" s="30">
        <v>1.0</v>
      </c>
      <c r="T103" s="30">
        <v>1.0</v>
      </c>
      <c r="U103" s="30">
        <v>3.0</v>
      </c>
      <c r="V103" s="31">
        <f>ROUND((P103*'Scoring Model'!$C$4+Q103*'Scoring Model'!$C$5+R103*'Scoring Model'!$C$6+S103*'Scoring Model'!$C$7+T103*'Scoring Model'!$C$8+U103*'Scoring Model'!$C$9)/5*100,0)</f>
        <v>45</v>
      </c>
      <c r="W103" s="26" t="str">
        <f t="shared" si="4"/>
        <v>Low</v>
      </c>
      <c r="X103" s="26" t="s">
        <v>218</v>
      </c>
      <c r="Y103" s="26" t="s">
        <v>293</v>
      </c>
      <c r="Z103" s="29" t="s">
        <v>294</v>
      </c>
    </row>
    <row r="104" ht="15.75" customHeight="1">
      <c r="A104" s="9" t="s">
        <v>212</v>
      </c>
      <c r="B104" s="11" t="s">
        <v>371</v>
      </c>
      <c r="C104" s="11" t="s">
        <v>196</v>
      </c>
      <c r="D104" s="11" t="s">
        <v>210</v>
      </c>
      <c r="E104" s="11" t="s">
        <v>95</v>
      </c>
      <c r="F104" s="11" t="s">
        <v>100</v>
      </c>
      <c r="G104" s="11" t="s">
        <v>150</v>
      </c>
      <c r="H104" s="14">
        <v>480.0</v>
      </c>
      <c r="I104" s="11" t="s">
        <v>71</v>
      </c>
      <c r="J104" s="11">
        <v>22.0</v>
      </c>
      <c r="K104" s="11" t="s">
        <v>74</v>
      </c>
      <c r="L104" s="15">
        <v>2.1</v>
      </c>
      <c r="M104" s="11" t="s">
        <v>77</v>
      </c>
      <c r="N104" s="11" t="str">
        <f t="shared" si="1"/>
        <v>Moderate</v>
      </c>
      <c r="O104" s="19" t="s">
        <v>282</v>
      </c>
      <c r="P104" s="21">
        <v>1.0</v>
      </c>
      <c r="Q104" s="11">
        <f t="shared" si="2"/>
        <v>4</v>
      </c>
      <c r="R104" s="11">
        <f t="shared" si="3"/>
        <v>5</v>
      </c>
      <c r="S104" s="21">
        <v>2.0</v>
      </c>
      <c r="T104" s="21">
        <v>2.0</v>
      </c>
      <c r="U104" s="21">
        <v>3.0</v>
      </c>
      <c r="V104" s="24">
        <f>ROUND((P104*'Scoring Model'!$C$4+Q104*'Scoring Model'!$C$5+R104*'Scoring Model'!$C$6+S104*'Scoring Model'!$C$7+T104*'Scoring Model'!$C$8+U104*'Scoring Model'!$C$9)/5*100,0)</f>
        <v>55</v>
      </c>
      <c r="W104" s="11" t="str">
        <f t="shared" si="4"/>
        <v>Low</v>
      </c>
      <c r="X104" s="11" t="s">
        <v>218</v>
      </c>
      <c r="Y104" s="11" t="s">
        <v>293</v>
      </c>
      <c r="Z104" s="19" t="s">
        <v>294</v>
      </c>
    </row>
    <row r="105" ht="15.75" customHeight="1">
      <c r="A105" s="25" t="s">
        <v>232</v>
      </c>
      <c r="B105" s="26" t="s">
        <v>56</v>
      </c>
      <c r="C105" s="26" t="s">
        <v>230</v>
      </c>
      <c r="D105" s="26" t="s">
        <v>230</v>
      </c>
      <c r="E105" s="26" t="s">
        <v>60</v>
      </c>
      <c r="F105" s="26" t="s">
        <v>61</v>
      </c>
      <c r="G105" s="26" t="s">
        <v>62</v>
      </c>
      <c r="H105" s="27">
        <v>140.0</v>
      </c>
      <c r="I105" s="26" t="s">
        <v>71</v>
      </c>
      <c r="J105" s="26">
        <v>31.0</v>
      </c>
      <c r="K105" s="26" t="s">
        <v>74</v>
      </c>
      <c r="L105" s="28">
        <v>6.9</v>
      </c>
      <c r="M105" s="26" t="s">
        <v>77</v>
      </c>
      <c r="N105" s="26" t="str">
        <f t="shared" si="1"/>
        <v>Moderate</v>
      </c>
      <c r="O105" s="29" t="s">
        <v>97</v>
      </c>
      <c r="P105" s="30">
        <v>4.0</v>
      </c>
      <c r="Q105" s="26">
        <f t="shared" si="2"/>
        <v>2</v>
      </c>
      <c r="R105" s="26">
        <f t="shared" si="3"/>
        <v>4</v>
      </c>
      <c r="S105" s="30">
        <v>5.0</v>
      </c>
      <c r="T105" s="30">
        <v>5.0</v>
      </c>
      <c r="U105" s="30">
        <v>3.0</v>
      </c>
      <c r="V105" s="31">
        <f>ROUND((P105*'Scoring Model'!$C$4+Q105*'Scoring Model'!$C$5+R105*'Scoring Model'!$C$6+S105*'Scoring Model'!$C$7+T105*'Scoring Model'!$C$8+U105*'Scoring Model'!$C$9)/5*100,0)</f>
        <v>78</v>
      </c>
      <c r="W105" s="26" t="str">
        <f t="shared" si="4"/>
        <v>High</v>
      </c>
      <c r="X105" s="26" t="s">
        <v>241</v>
      </c>
      <c r="Y105" s="26" t="s">
        <v>141</v>
      </c>
      <c r="Z105" s="29" t="s">
        <v>142</v>
      </c>
    </row>
    <row r="106" ht="15.75" customHeight="1">
      <c r="A106" s="9" t="s">
        <v>1065</v>
      </c>
      <c r="B106" s="11" t="s">
        <v>56</v>
      </c>
      <c r="C106" s="11" t="s">
        <v>230</v>
      </c>
      <c r="D106" s="11" t="s">
        <v>230</v>
      </c>
      <c r="E106" s="11" t="s">
        <v>60</v>
      </c>
      <c r="F106" s="11" t="s">
        <v>61</v>
      </c>
      <c r="G106" s="11" t="s">
        <v>150</v>
      </c>
      <c r="H106" s="14">
        <v>60.0</v>
      </c>
      <c r="I106" s="11" t="s">
        <v>71</v>
      </c>
      <c r="J106" s="11">
        <v>29.0</v>
      </c>
      <c r="K106" s="11" t="s">
        <v>74</v>
      </c>
      <c r="L106" s="15">
        <v>6.9</v>
      </c>
      <c r="M106" s="11" t="s">
        <v>77</v>
      </c>
      <c r="N106" s="11" t="str">
        <f t="shared" si="1"/>
        <v>Moderate</v>
      </c>
      <c r="O106" s="19" t="s">
        <v>97</v>
      </c>
      <c r="P106" s="21">
        <v>4.0</v>
      </c>
      <c r="Q106" s="11">
        <f t="shared" si="2"/>
        <v>2</v>
      </c>
      <c r="R106" s="11">
        <f t="shared" si="3"/>
        <v>4</v>
      </c>
      <c r="S106" s="21">
        <v>5.0</v>
      </c>
      <c r="T106" s="21">
        <v>5.0</v>
      </c>
      <c r="U106" s="21">
        <v>3.0</v>
      </c>
      <c r="V106" s="24">
        <f>ROUND((P106*'Scoring Model'!$C$4+Q106*'Scoring Model'!$C$5+R106*'Scoring Model'!$C$6+S106*'Scoring Model'!$C$7+T106*'Scoring Model'!$C$8+U106*'Scoring Model'!$C$9)/5*100,0)</f>
        <v>78</v>
      </c>
      <c r="W106" s="11" t="str">
        <f t="shared" si="4"/>
        <v>High</v>
      </c>
      <c r="X106" s="11" t="s">
        <v>241</v>
      </c>
      <c r="Y106" s="11" t="s">
        <v>141</v>
      </c>
      <c r="Z106" s="19" t="s">
        <v>142</v>
      </c>
    </row>
    <row r="107" ht="15.75" customHeight="1">
      <c r="A107" s="25" t="s">
        <v>1068</v>
      </c>
      <c r="B107" s="26" t="s">
        <v>173</v>
      </c>
      <c r="C107" s="26" t="s">
        <v>230</v>
      </c>
      <c r="D107" s="26" t="s">
        <v>230</v>
      </c>
      <c r="E107" s="26" t="s">
        <v>60</v>
      </c>
      <c r="F107" s="26" t="s">
        <v>61</v>
      </c>
      <c r="G107" s="26" t="s">
        <v>150</v>
      </c>
      <c r="H107" s="27">
        <v>210.0</v>
      </c>
      <c r="I107" s="26" t="s">
        <v>71</v>
      </c>
      <c r="J107" s="26">
        <v>37.0</v>
      </c>
      <c r="K107" s="26" t="s">
        <v>74</v>
      </c>
      <c r="L107" s="28">
        <v>7.25</v>
      </c>
      <c r="M107" s="26" t="s">
        <v>77</v>
      </c>
      <c r="N107" s="26" t="str">
        <f t="shared" si="1"/>
        <v>Moderate</v>
      </c>
      <c r="O107" s="29" t="s">
        <v>97</v>
      </c>
      <c r="P107" s="30">
        <v>4.0</v>
      </c>
      <c r="Q107" s="26">
        <f t="shared" si="2"/>
        <v>3</v>
      </c>
      <c r="R107" s="26">
        <f t="shared" si="3"/>
        <v>4</v>
      </c>
      <c r="S107" s="30">
        <v>5.0</v>
      </c>
      <c r="T107" s="30">
        <v>5.0</v>
      </c>
      <c r="U107" s="30">
        <v>3.0</v>
      </c>
      <c r="V107" s="31">
        <f>ROUND((P107*'Scoring Model'!$C$4+Q107*'Scoring Model'!$C$5+R107*'Scoring Model'!$C$6+S107*'Scoring Model'!$C$7+T107*'Scoring Model'!$C$8+U107*'Scoring Model'!$C$9)/5*100,0)</f>
        <v>81</v>
      </c>
      <c r="W107" s="26" t="str">
        <f t="shared" si="4"/>
        <v>High</v>
      </c>
      <c r="X107" s="26" t="s">
        <v>241</v>
      </c>
      <c r="Y107" s="26" t="s">
        <v>141</v>
      </c>
      <c r="Z107" s="29" t="s">
        <v>142</v>
      </c>
    </row>
    <row r="108" ht="15.75" customHeight="1">
      <c r="A108" s="9" t="s">
        <v>1070</v>
      </c>
      <c r="B108" s="11" t="s">
        <v>256</v>
      </c>
      <c r="C108" s="11" t="s">
        <v>230</v>
      </c>
      <c r="D108" s="11" t="s">
        <v>230</v>
      </c>
      <c r="E108" s="11" t="s">
        <v>60</v>
      </c>
      <c r="F108" s="11" t="s">
        <v>61</v>
      </c>
      <c r="G108" s="11" t="s">
        <v>150</v>
      </c>
      <c r="H108" s="14">
        <v>50.0</v>
      </c>
      <c r="I108" s="11" t="s">
        <v>71</v>
      </c>
      <c r="J108" s="11">
        <v>27.0</v>
      </c>
      <c r="K108" s="11" t="s">
        <v>74</v>
      </c>
      <c r="L108" s="15">
        <v>5.52</v>
      </c>
      <c r="M108" s="11" t="s">
        <v>77</v>
      </c>
      <c r="N108" s="11" t="str">
        <f t="shared" si="1"/>
        <v>Moderate</v>
      </c>
      <c r="O108" s="19" t="s">
        <v>97</v>
      </c>
      <c r="P108" s="21">
        <v>4.0</v>
      </c>
      <c r="Q108" s="11">
        <f t="shared" si="2"/>
        <v>2</v>
      </c>
      <c r="R108" s="11">
        <f t="shared" si="3"/>
        <v>4</v>
      </c>
      <c r="S108" s="21">
        <v>5.0</v>
      </c>
      <c r="T108" s="21">
        <v>4.0</v>
      </c>
      <c r="U108" s="21">
        <v>3.0</v>
      </c>
      <c r="V108" s="24">
        <f>ROUND((P108*'Scoring Model'!$C$4+Q108*'Scoring Model'!$C$5+R108*'Scoring Model'!$C$6+S108*'Scoring Model'!$C$7+T108*'Scoring Model'!$C$8+U108*'Scoring Model'!$C$9)/5*100,0)</f>
        <v>75</v>
      </c>
      <c r="W108" s="11" t="str">
        <f t="shared" si="4"/>
        <v>High</v>
      </c>
      <c r="X108" s="11" t="s">
        <v>241</v>
      </c>
      <c r="Y108" s="11" t="s">
        <v>141</v>
      </c>
      <c r="Z108" s="19" t="s">
        <v>142</v>
      </c>
    </row>
    <row r="109" ht="15.75" customHeight="1">
      <c r="A109" s="25" t="s">
        <v>528</v>
      </c>
      <c r="B109" s="26" t="s">
        <v>56</v>
      </c>
      <c r="C109" s="26" t="s">
        <v>230</v>
      </c>
      <c r="D109" s="26" t="s">
        <v>230</v>
      </c>
      <c r="E109" s="26" t="s">
        <v>60</v>
      </c>
      <c r="F109" s="26" t="s">
        <v>61</v>
      </c>
      <c r="G109" s="26" t="s">
        <v>150</v>
      </c>
      <c r="H109" s="27">
        <v>480.0</v>
      </c>
      <c r="I109" s="26" t="s">
        <v>71</v>
      </c>
      <c r="J109" s="26">
        <v>40.0</v>
      </c>
      <c r="K109" s="26" t="s">
        <v>74</v>
      </c>
      <c r="L109" s="28">
        <v>7.7</v>
      </c>
      <c r="M109" s="26" t="s">
        <v>77</v>
      </c>
      <c r="N109" s="26" t="str">
        <f t="shared" si="1"/>
        <v>Moderate</v>
      </c>
      <c r="O109" s="29" t="s">
        <v>97</v>
      </c>
      <c r="P109" s="30">
        <v>4.0</v>
      </c>
      <c r="Q109" s="26">
        <f t="shared" si="2"/>
        <v>4</v>
      </c>
      <c r="R109" s="26">
        <f t="shared" si="3"/>
        <v>4</v>
      </c>
      <c r="S109" s="30">
        <v>5.0</v>
      </c>
      <c r="T109" s="30">
        <v>5.0</v>
      </c>
      <c r="U109" s="30">
        <v>3.0</v>
      </c>
      <c r="V109" s="31">
        <f>ROUND((P109*'Scoring Model'!$C$4+Q109*'Scoring Model'!$C$5+R109*'Scoring Model'!$C$6+S109*'Scoring Model'!$C$7+T109*'Scoring Model'!$C$8+U109*'Scoring Model'!$C$9)/5*100,0)</f>
        <v>84</v>
      </c>
      <c r="W109" s="26" t="str">
        <f t="shared" si="4"/>
        <v>High</v>
      </c>
      <c r="X109" s="26" t="s">
        <v>241</v>
      </c>
      <c r="Y109" s="26" t="s">
        <v>141</v>
      </c>
      <c r="Z109" s="29" t="s">
        <v>303</v>
      </c>
    </row>
    <row r="110" ht="15.75" customHeight="1">
      <c r="A110" s="9" t="s">
        <v>1072</v>
      </c>
      <c r="B110" s="11" t="s">
        <v>652</v>
      </c>
      <c r="C110" s="11" t="s">
        <v>230</v>
      </c>
      <c r="D110" s="11" t="s">
        <v>230</v>
      </c>
      <c r="E110" s="11" t="s">
        <v>120</v>
      </c>
      <c r="F110" s="11" t="s">
        <v>191</v>
      </c>
      <c r="G110" s="11" t="s">
        <v>150</v>
      </c>
      <c r="H110" s="14">
        <v>880.0</v>
      </c>
      <c r="I110" s="11" t="s">
        <v>71</v>
      </c>
      <c r="J110" s="11">
        <v>33.0</v>
      </c>
      <c r="K110" s="11" t="s">
        <v>74</v>
      </c>
      <c r="L110" s="15">
        <v>3.4</v>
      </c>
      <c r="M110" s="11" t="s">
        <v>77</v>
      </c>
      <c r="N110" s="11" t="str">
        <f t="shared" si="1"/>
        <v>Moderate</v>
      </c>
      <c r="O110" s="19" t="s">
        <v>282</v>
      </c>
      <c r="P110" s="21">
        <v>3.0</v>
      </c>
      <c r="Q110" s="11">
        <f t="shared" si="2"/>
        <v>4</v>
      </c>
      <c r="R110" s="11">
        <f t="shared" si="3"/>
        <v>4</v>
      </c>
      <c r="S110" s="21">
        <v>3.0</v>
      </c>
      <c r="T110" s="21">
        <v>3.0</v>
      </c>
      <c r="U110" s="21">
        <v>3.0</v>
      </c>
      <c r="V110" s="24">
        <f>ROUND((P110*'Scoring Model'!$C$4+Q110*'Scoring Model'!$C$5+R110*'Scoring Model'!$C$6+S110*'Scoring Model'!$C$7+T110*'Scoring Model'!$C$8+U110*'Scoring Model'!$C$9)/5*100,0)</f>
        <v>67</v>
      </c>
      <c r="W110" s="11" t="str">
        <f t="shared" si="4"/>
        <v>Medium</v>
      </c>
      <c r="X110" s="11" t="s">
        <v>241</v>
      </c>
      <c r="Y110" s="11" t="s">
        <v>141</v>
      </c>
      <c r="Z110" s="19" t="s">
        <v>249</v>
      </c>
    </row>
    <row r="111" ht="15.75" customHeight="1">
      <c r="A111" s="25" t="s">
        <v>261</v>
      </c>
      <c r="B111" s="26" t="s">
        <v>280</v>
      </c>
      <c r="C111" s="26" t="s">
        <v>230</v>
      </c>
      <c r="D111" s="26" t="s">
        <v>259</v>
      </c>
      <c r="E111" s="26" t="s">
        <v>95</v>
      </c>
      <c r="F111" s="26" t="s">
        <v>100</v>
      </c>
      <c r="G111" s="26" t="s">
        <v>62</v>
      </c>
      <c r="H111" s="27">
        <v>1000.0</v>
      </c>
      <c r="I111" s="26" t="s">
        <v>71</v>
      </c>
      <c r="J111" s="26">
        <v>25.0</v>
      </c>
      <c r="K111" s="26" t="s">
        <v>74</v>
      </c>
      <c r="L111" s="28">
        <v>1.2</v>
      </c>
      <c r="M111" s="26" t="s">
        <v>77</v>
      </c>
      <c r="N111" s="26" t="str">
        <f t="shared" si="1"/>
        <v>Moderate</v>
      </c>
      <c r="O111" s="29" t="s">
        <v>282</v>
      </c>
      <c r="P111" s="30">
        <v>2.0</v>
      </c>
      <c r="Q111" s="26">
        <f t="shared" si="2"/>
        <v>5</v>
      </c>
      <c r="R111" s="26">
        <f t="shared" si="3"/>
        <v>5</v>
      </c>
      <c r="S111" s="30">
        <v>1.0</v>
      </c>
      <c r="T111" s="30">
        <v>1.0</v>
      </c>
      <c r="U111" s="30">
        <v>3.0</v>
      </c>
      <c r="V111" s="31">
        <f>ROUND((P111*'Scoring Model'!$C$4+Q111*'Scoring Model'!$C$5+R111*'Scoring Model'!$C$6+S111*'Scoring Model'!$C$7+T111*'Scoring Model'!$C$8+U111*'Scoring Model'!$C$9)/5*100,0)</f>
        <v>57</v>
      </c>
      <c r="W111" s="26" t="str">
        <f t="shared" si="4"/>
        <v>Low</v>
      </c>
      <c r="X111" s="26" t="s">
        <v>271</v>
      </c>
      <c r="Y111" s="26" t="s">
        <v>293</v>
      </c>
      <c r="Z111" s="29" t="s">
        <v>294</v>
      </c>
    </row>
    <row r="112" ht="15.75" customHeight="1">
      <c r="A112" s="9" t="s">
        <v>263</v>
      </c>
      <c r="B112" s="11" t="s">
        <v>371</v>
      </c>
      <c r="C112" s="11" t="s">
        <v>230</v>
      </c>
      <c r="D112" s="11" t="s">
        <v>259</v>
      </c>
      <c r="E112" s="11" t="s">
        <v>95</v>
      </c>
      <c r="F112" s="11" t="s">
        <v>100</v>
      </c>
      <c r="G112" s="11" t="s">
        <v>150</v>
      </c>
      <c r="H112" s="14">
        <v>1300.0</v>
      </c>
      <c r="I112" s="11" t="s">
        <v>71</v>
      </c>
      <c r="J112" s="11">
        <v>30.0</v>
      </c>
      <c r="K112" s="11" t="s">
        <v>74</v>
      </c>
      <c r="L112" s="15">
        <v>1.7</v>
      </c>
      <c r="M112" s="11" t="s">
        <v>77</v>
      </c>
      <c r="N112" s="11" t="str">
        <f t="shared" si="1"/>
        <v>Moderate</v>
      </c>
      <c r="O112" s="19" t="s">
        <v>282</v>
      </c>
      <c r="P112" s="21">
        <v>2.0</v>
      </c>
      <c r="Q112" s="11">
        <f t="shared" si="2"/>
        <v>5</v>
      </c>
      <c r="R112" s="11">
        <f t="shared" si="3"/>
        <v>4</v>
      </c>
      <c r="S112" s="21">
        <v>2.0</v>
      </c>
      <c r="T112" s="21">
        <v>2.0</v>
      </c>
      <c r="U112" s="21">
        <v>3.0</v>
      </c>
      <c r="V112" s="24">
        <f>ROUND((P112*'Scoring Model'!$C$4+Q112*'Scoring Model'!$C$5+R112*'Scoring Model'!$C$6+S112*'Scoring Model'!$C$7+T112*'Scoring Model'!$C$8+U112*'Scoring Model'!$C$9)/5*100,0)</f>
        <v>59</v>
      </c>
      <c r="W112" s="11" t="str">
        <f t="shared" si="4"/>
        <v>Low</v>
      </c>
      <c r="X112" s="11" t="s">
        <v>271</v>
      </c>
      <c r="Y112" s="11" t="s">
        <v>293</v>
      </c>
      <c r="Z112" s="19" t="s">
        <v>294</v>
      </c>
    </row>
    <row r="113" ht="15.75" customHeight="1">
      <c r="A113" s="25" t="s">
        <v>275</v>
      </c>
      <c r="B113" s="26" t="s">
        <v>56</v>
      </c>
      <c r="C113" s="26" t="s">
        <v>274</v>
      </c>
      <c r="D113" s="26" t="s">
        <v>274</v>
      </c>
      <c r="E113" s="26" t="s">
        <v>60</v>
      </c>
      <c r="F113" s="26" t="s">
        <v>61</v>
      </c>
      <c r="G113" s="26" t="s">
        <v>62</v>
      </c>
      <c r="H113" s="27">
        <v>390.0</v>
      </c>
      <c r="I113" s="26" t="s">
        <v>71</v>
      </c>
      <c r="J113" s="26">
        <v>33.0</v>
      </c>
      <c r="K113" s="26" t="s">
        <v>74</v>
      </c>
      <c r="L113" s="28">
        <v>4.9</v>
      </c>
      <c r="M113" s="26" t="s">
        <v>77</v>
      </c>
      <c r="N113" s="26" t="str">
        <f t="shared" si="1"/>
        <v>Moderate</v>
      </c>
      <c r="O113" s="29" t="s">
        <v>97</v>
      </c>
      <c r="P113" s="30">
        <v>3.0</v>
      </c>
      <c r="Q113" s="26">
        <f t="shared" si="2"/>
        <v>3</v>
      </c>
      <c r="R113" s="26">
        <f t="shared" si="3"/>
        <v>4</v>
      </c>
      <c r="S113" s="30">
        <v>5.0</v>
      </c>
      <c r="T113" s="30">
        <v>5.0</v>
      </c>
      <c r="U113" s="30">
        <v>4.0</v>
      </c>
      <c r="V113" s="31">
        <f>ROUND((P113*'Scoring Model'!$C$4+Q113*'Scoring Model'!$C$5+R113*'Scoring Model'!$C$6+S113*'Scoring Model'!$C$7+T113*'Scoring Model'!$C$8+U113*'Scoring Model'!$C$9)/5*100,0)</f>
        <v>78</v>
      </c>
      <c r="W113" s="26" t="str">
        <f t="shared" si="4"/>
        <v>High</v>
      </c>
      <c r="X113" s="26" t="s">
        <v>279</v>
      </c>
      <c r="Y113" s="26" t="s">
        <v>141</v>
      </c>
      <c r="Z113" s="29" t="s">
        <v>142</v>
      </c>
    </row>
    <row r="114" ht="15.75" customHeight="1">
      <c r="A114" s="9" t="s">
        <v>1079</v>
      </c>
      <c r="B114" s="11" t="s">
        <v>56</v>
      </c>
      <c r="C114" s="11" t="s">
        <v>274</v>
      </c>
      <c r="D114" s="11" t="s">
        <v>274</v>
      </c>
      <c r="E114" s="11" t="s">
        <v>60</v>
      </c>
      <c r="F114" s="11" t="s">
        <v>61</v>
      </c>
      <c r="G114" s="11" t="s">
        <v>150</v>
      </c>
      <c r="H114" s="14">
        <v>180.0</v>
      </c>
      <c r="I114" s="11" t="s">
        <v>71</v>
      </c>
      <c r="J114" s="11">
        <v>31.0</v>
      </c>
      <c r="K114" s="11" t="s">
        <v>74</v>
      </c>
      <c r="L114" s="15">
        <v>4.9</v>
      </c>
      <c r="M114" s="11" t="s">
        <v>77</v>
      </c>
      <c r="N114" s="11" t="str">
        <f t="shared" si="1"/>
        <v>Moderate</v>
      </c>
      <c r="O114" s="19" t="s">
        <v>97</v>
      </c>
      <c r="P114" s="21">
        <v>3.0</v>
      </c>
      <c r="Q114" s="11">
        <f t="shared" si="2"/>
        <v>3</v>
      </c>
      <c r="R114" s="11">
        <f t="shared" si="3"/>
        <v>4</v>
      </c>
      <c r="S114" s="21">
        <v>5.0</v>
      </c>
      <c r="T114" s="21">
        <v>5.0</v>
      </c>
      <c r="U114" s="21">
        <v>4.0</v>
      </c>
      <c r="V114" s="24">
        <f>ROUND((P114*'Scoring Model'!$C$4+Q114*'Scoring Model'!$C$5+R114*'Scoring Model'!$C$6+S114*'Scoring Model'!$C$7+T114*'Scoring Model'!$C$8+U114*'Scoring Model'!$C$9)/5*100,0)</f>
        <v>78</v>
      </c>
      <c r="W114" s="11" t="str">
        <f t="shared" si="4"/>
        <v>High</v>
      </c>
      <c r="X114" s="11" t="s">
        <v>279</v>
      </c>
      <c r="Y114" s="11" t="s">
        <v>141</v>
      </c>
      <c r="Z114" s="19" t="s">
        <v>142</v>
      </c>
    </row>
    <row r="115" ht="15.75" customHeight="1">
      <c r="A115" s="25" t="s">
        <v>537</v>
      </c>
      <c r="B115" s="26" t="s">
        <v>173</v>
      </c>
      <c r="C115" s="26" t="s">
        <v>274</v>
      </c>
      <c r="D115" s="26" t="s">
        <v>274</v>
      </c>
      <c r="E115" s="26" t="s">
        <v>60</v>
      </c>
      <c r="F115" s="26" t="s">
        <v>61</v>
      </c>
      <c r="G115" s="26" t="s">
        <v>150</v>
      </c>
      <c r="H115" s="27">
        <v>580.0</v>
      </c>
      <c r="I115" s="26" t="s">
        <v>71</v>
      </c>
      <c r="J115" s="26">
        <v>39.0</v>
      </c>
      <c r="K115" s="26" t="s">
        <v>74</v>
      </c>
      <c r="L115" s="28">
        <v>5.15</v>
      </c>
      <c r="M115" s="26" t="s">
        <v>77</v>
      </c>
      <c r="N115" s="26" t="str">
        <f t="shared" si="1"/>
        <v>Moderate</v>
      </c>
      <c r="O115" s="29" t="s">
        <v>97</v>
      </c>
      <c r="P115" s="30">
        <v>3.0</v>
      </c>
      <c r="Q115" s="26">
        <f t="shared" si="2"/>
        <v>4</v>
      </c>
      <c r="R115" s="26">
        <f t="shared" si="3"/>
        <v>4</v>
      </c>
      <c r="S115" s="30">
        <v>5.0</v>
      </c>
      <c r="T115" s="30">
        <v>5.0</v>
      </c>
      <c r="U115" s="30">
        <v>4.0</v>
      </c>
      <c r="V115" s="31">
        <f>ROUND((P115*'Scoring Model'!$C$4+Q115*'Scoring Model'!$C$5+R115*'Scoring Model'!$C$6+S115*'Scoring Model'!$C$7+T115*'Scoring Model'!$C$8+U115*'Scoring Model'!$C$9)/5*100,0)</f>
        <v>81</v>
      </c>
      <c r="W115" s="26" t="str">
        <f t="shared" si="4"/>
        <v>High</v>
      </c>
      <c r="X115" s="26" t="s">
        <v>279</v>
      </c>
      <c r="Y115" s="26" t="s">
        <v>141</v>
      </c>
      <c r="Z115" s="29" t="s">
        <v>142</v>
      </c>
    </row>
    <row r="116" ht="15.75" customHeight="1">
      <c r="A116" s="9" t="s">
        <v>1081</v>
      </c>
      <c r="B116" s="11" t="s">
        <v>256</v>
      </c>
      <c r="C116" s="11" t="s">
        <v>274</v>
      </c>
      <c r="D116" s="11" t="s">
        <v>274</v>
      </c>
      <c r="E116" s="11" t="s">
        <v>60</v>
      </c>
      <c r="F116" s="11" t="s">
        <v>61</v>
      </c>
      <c r="G116" s="11" t="s">
        <v>150</v>
      </c>
      <c r="H116" s="14">
        <v>140.0</v>
      </c>
      <c r="I116" s="11" t="s">
        <v>71</v>
      </c>
      <c r="J116" s="11">
        <v>29.0</v>
      </c>
      <c r="K116" s="11" t="s">
        <v>74</v>
      </c>
      <c r="L116" s="15">
        <v>3.92</v>
      </c>
      <c r="M116" s="11" t="s">
        <v>77</v>
      </c>
      <c r="N116" s="11" t="str">
        <f t="shared" si="1"/>
        <v>Moderate</v>
      </c>
      <c r="O116" s="19" t="s">
        <v>97</v>
      </c>
      <c r="P116" s="21">
        <v>3.0</v>
      </c>
      <c r="Q116" s="11">
        <f t="shared" si="2"/>
        <v>2</v>
      </c>
      <c r="R116" s="11">
        <f t="shared" si="3"/>
        <v>4</v>
      </c>
      <c r="S116" s="21">
        <v>5.0</v>
      </c>
      <c r="T116" s="21">
        <v>4.0</v>
      </c>
      <c r="U116" s="21">
        <v>4.0</v>
      </c>
      <c r="V116" s="24">
        <f>ROUND((P116*'Scoring Model'!$C$4+Q116*'Scoring Model'!$C$5+R116*'Scoring Model'!$C$6+S116*'Scoring Model'!$C$7+T116*'Scoring Model'!$C$8+U116*'Scoring Model'!$C$9)/5*100,0)</f>
        <v>72</v>
      </c>
      <c r="W116" s="11" t="str">
        <f t="shared" si="4"/>
        <v>Medium</v>
      </c>
      <c r="X116" s="11" t="s">
        <v>279</v>
      </c>
      <c r="Y116" s="11" t="s">
        <v>141</v>
      </c>
      <c r="Z116" s="19" t="s">
        <v>142</v>
      </c>
    </row>
    <row r="117" ht="15.75" customHeight="1">
      <c r="A117" s="25" t="s">
        <v>1084</v>
      </c>
      <c r="B117" s="26" t="s">
        <v>56</v>
      </c>
      <c r="C117" s="26" t="s">
        <v>274</v>
      </c>
      <c r="D117" s="26" t="s">
        <v>274</v>
      </c>
      <c r="E117" s="26" t="s">
        <v>60</v>
      </c>
      <c r="F117" s="26" t="s">
        <v>61</v>
      </c>
      <c r="G117" s="26" t="s">
        <v>150</v>
      </c>
      <c r="H117" s="27">
        <v>320.0</v>
      </c>
      <c r="I117" s="26" t="s">
        <v>71</v>
      </c>
      <c r="J117" s="26">
        <v>34.0</v>
      </c>
      <c r="K117" s="26" t="s">
        <v>74</v>
      </c>
      <c r="L117" s="28">
        <v>5.0</v>
      </c>
      <c r="M117" s="26" t="s">
        <v>77</v>
      </c>
      <c r="N117" s="26" t="str">
        <f t="shared" si="1"/>
        <v>Moderate</v>
      </c>
      <c r="O117" s="29" t="s">
        <v>97</v>
      </c>
      <c r="P117" s="30">
        <v>3.0</v>
      </c>
      <c r="Q117" s="26">
        <f t="shared" si="2"/>
        <v>3</v>
      </c>
      <c r="R117" s="26">
        <f t="shared" si="3"/>
        <v>4</v>
      </c>
      <c r="S117" s="30">
        <v>5.0</v>
      </c>
      <c r="T117" s="30">
        <v>5.0</v>
      </c>
      <c r="U117" s="30">
        <v>4.0</v>
      </c>
      <c r="V117" s="31">
        <f>ROUND((P117*'Scoring Model'!$C$4+Q117*'Scoring Model'!$C$5+R117*'Scoring Model'!$C$6+S117*'Scoring Model'!$C$7+T117*'Scoring Model'!$C$8+U117*'Scoring Model'!$C$9)/5*100,0)</f>
        <v>78</v>
      </c>
      <c r="W117" s="26" t="str">
        <f t="shared" si="4"/>
        <v>High</v>
      </c>
      <c r="X117" s="26" t="s">
        <v>279</v>
      </c>
      <c r="Y117" s="26" t="s">
        <v>141</v>
      </c>
      <c r="Z117" s="29" t="s">
        <v>142</v>
      </c>
    </row>
    <row r="118" ht="15.75" customHeight="1">
      <c r="A118" s="9" t="s">
        <v>1085</v>
      </c>
      <c r="B118" s="11" t="s">
        <v>56</v>
      </c>
      <c r="C118" s="11" t="s">
        <v>274</v>
      </c>
      <c r="D118" s="11" t="s">
        <v>274</v>
      </c>
      <c r="E118" s="11" t="s">
        <v>60</v>
      </c>
      <c r="F118" s="11" t="s">
        <v>61</v>
      </c>
      <c r="G118" s="11" t="s">
        <v>150</v>
      </c>
      <c r="H118" s="14">
        <v>90.0</v>
      </c>
      <c r="I118" s="11" t="s">
        <v>71</v>
      </c>
      <c r="J118" s="11">
        <v>30.0</v>
      </c>
      <c r="K118" s="11" t="s">
        <v>74</v>
      </c>
      <c r="L118" s="15">
        <v>5.6</v>
      </c>
      <c r="M118" s="11" t="s">
        <v>77</v>
      </c>
      <c r="N118" s="11" t="str">
        <f t="shared" si="1"/>
        <v>Moderate</v>
      </c>
      <c r="O118" s="19" t="s">
        <v>97</v>
      </c>
      <c r="P118" s="21">
        <v>3.0</v>
      </c>
      <c r="Q118" s="11">
        <f t="shared" si="2"/>
        <v>2</v>
      </c>
      <c r="R118" s="11">
        <f t="shared" si="3"/>
        <v>4</v>
      </c>
      <c r="S118" s="21">
        <v>5.0</v>
      </c>
      <c r="T118" s="21">
        <v>5.0</v>
      </c>
      <c r="U118" s="21">
        <v>4.0</v>
      </c>
      <c r="V118" s="24">
        <f>ROUND((P118*'Scoring Model'!$C$4+Q118*'Scoring Model'!$C$5+R118*'Scoring Model'!$C$6+S118*'Scoring Model'!$C$7+T118*'Scoring Model'!$C$8+U118*'Scoring Model'!$C$9)/5*100,0)</f>
        <v>75</v>
      </c>
      <c r="W118" s="11" t="str">
        <f t="shared" si="4"/>
        <v>High</v>
      </c>
      <c r="X118" s="11" t="s">
        <v>279</v>
      </c>
      <c r="Y118" s="11" t="s">
        <v>141</v>
      </c>
      <c r="Z118" s="19" t="s">
        <v>142</v>
      </c>
    </row>
    <row r="119" ht="15.75" customHeight="1">
      <c r="A119" s="25" t="s">
        <v>1086</v>
      </c>
      <c r="B119" s="26" t="s">
        <v>652</v>
      </c>
      <c r="C119" s="26" t="s">
        <v>274</v>
      </c>
      <c r="D119" s="26" t="s">
        <v>274</v>
      </c>
      <c r="E119" s="26" t="s">
        <v>120</v>
      </c>
      <c r="F119" s="26" t="s">
        <v>191</v>
      </c>
      <c r="G119" s="26" t="s">
        <v>150</v>
      </c>
      <c r="H119" s="27">
        <v>320.0</v>
      </c>
      <c r="I119" s="26" t="s">
        <v>71</v>
      </c>
      <c r="J119" s="26">
        <v>26.0</v>
      </c>
      <c r="K119" s="26" t="s">
        <v>74</v>
      </c>
      <c r="L119" s="28">
        <v>3.2</v>
      </c>
      <c r="M119" s="26" t="s">
        <v>77</v>
      </c>
      <c r="N119" s="26" t="str">
        <f t="shared" si="1"/>
        <v>Moderate</v>
      </c>
      <c r="O119" s="29" t="s">
        <v>282</v>
      </c>
      <c r="P119" s="30">
        <v>2.0</v>
      </c>
      <c r="Q119" s="26">
        <f t="shared" si="2"/>
        <v>3</v>
      </c>
      <c r="R119" s="26">
        <f t="shared" si="3"/>
        <v>4</v>
      </c>
      <c r="S119" s="30">
        <v>3.0</v>
      </c>
      <c r="T119" s="30">
        <v>3.0</v>
      </c>
      <c r="U119" s="30">
        <v>4.0</v>
      </c>
      <c r="V119" s="31">
        <f>ROUND((P119*'Scoring Model'!$C$4+Q119*'Scoring Model'!$C$5+R119*'Scoring Model'!$C$6+S119*'Scoring Model'!$C$7+T119*'Scoring Model'!$C$8+U119*'Scoring Model'!$C$9)/5*100,0)</f>
        <v>61</v>
      </c>
      <c r="W119" s="26" t="str">
        <f t="shared" si="4"/>
        <v>Medium</v>
      </c>
      <c r="X119" s="26" t="s">
        <v>279</v>
      </c>
      <c r="Y119" s="26" t="s">
        <v>141</v>
      </c>
      <c r="Z119" s="29" t="s">
        <v>249</v>
      </c>
    </row>
    <row r="120" ht="15.75" customHeight="1">
      <c r="A120" s="9" t="s">
        <v>277</v>
      </c>
      <c r="B120" s="11" t="s">
        <v>280</v>
      </c>
      <c r="C120" s="11" t="s">
        <v>274</v>
      </c>
      <c r="D120" s="11" t="s">
        <v>281</v>
      </c>
      <c r="E120" s="11" t="s">
        <v>95</v>
      </c>
      <c r="F120" s="11" t="s">
        <v>100</v>
      </c>
      <c r="G120" s="11" t="s">
        <v>62</v>
      </c>
      <c r="H120" s="14">
        <v>1300.0</v>
      </c>
      <c r="I120" s="11" t="s">
        <v>71</v>
      </c>
      <c r="J120" s="11">
        <v>28.0</v>
      </c>
      <c r="K120" s="11" t="s">
        <v>74</v>
      </c>
      <c r="L120" s="15">
        <v>1.3</v>
      </c>
      <c r="M120" s="11" t="s">
        <v>77</v>
      </c>
      <c r="N120" s="11" t="str">
        <f t="shared" si="1"/>
        <v>Moderate</v>
      </c>
      <c r="O120" s="19" t="s">
        <v>282</v>
      </c>
      <c r="P120" s="21">
        <v>1.0</v>
      </c>
      <c r="Q120" s="11">
        <f t="shared" si="2"/>
        <v>5</v>
      </c>
      <c r="R120" s="11">
        <f t="shared" si="3"/>
        <v>4</v>
      </c>
      <c r="S120" s="21">
        <v>1.0</v>
      </c>
      <c r="T120" s="21">
        <v>1.0</v>
      </c>
      <c r="U120" s="21">
        <v>4.0</v>
      </c>
      <c r="V120" s="24">
        <f>ROUND((P120*'Scoring Model'!$C$4+Q120*'Scoring Model'!$C$5+R120*'Scoring Model'!$C$6+S120*'Scoring Model'!$C$7+T120*'Scoring Model'!$C$8+U120*'Scoring Model'!$C$9)/5*100,0)</f>
        <v>50</v>
      </c>
      <c r="W120" s="11" t="str">
        <f t="shared" si="4"/>
        <v>Low</v>
      </c>
      <c r="X120" s="11" t="s">
        <v>283</v>
      </c>
      <c r="Y120" s="11" t="s">
        <v>293</v>
      </c>
      <c r="Z120" s="19" t="s">
        <v>294</v>
      </c>
    </row>
    <row r="121" ht="15.75" customHeight="1">
      <c r="A121" s="25" t="s">
        <v>285</v>
      </c>
      <c r="B121" s="26" t="s">
        <v>56</v>
      </c>
      <c r="C121" s="26" t="s">
        <v>284</v>
      </c>
      <c r="D121" s="26" t="s">
        <v>284</v>
      </c>
      <c r="E121" s="26" t="s">
        <v>60</v>
      </c>
      <c r="F121" s="26" t="s">
        <v>61</v>
      </c>
      <c r="G121" s="26" t="s">
        <v>62</v>
      </c>
      <c r="H121" s="27">
        <v>150.0</v>
      </c>
      <c r="I121" s="26" t="s">
        <v>71</v>
      </c>
      <c r="J121" s="26">
        <v>34.0</v>
      </c>
      <c r="K121" s="26" t="s">
        <v>74</v>
      </c>
      <c r="L121" s="28">
        <v>7.8</v>
      </c>
      <c r="M121" s="26" t="s">
        <v>77</v>
      </c>
      <c r="N121" s="26" t="str">
        <f t="shared" si="1"/>
        <v>Moderate</v>
      </c>
      <c r="O121" s="29" t="s">
        <v>97</v>
      </c>
      <c r="P121" s="30">
        <v>4.0</v>
      </c>
      <c r="Q121" s="26">
        <f t="shared" si="2"/>
        <v>3</v>
      </c>
      <c r="R121" s="26">
        <f t="shared" si="3"/>
        <v>4</v>
      </c>
      <c r="S121" s="30">
        <v>5.0</v>
      </c>
      <c r="T121" s="30">
        <v>5.0</v>
      </c>
      <c r="U121" s="30">
        <v>4.0</v>
      </c>
      <c r="V121" s="31">
        <f>ROUND((P121*'Scoring Model'!$C$4+Q121*'Scoring Model'!$C$5+R121*'Scoring Model'!$C$6+S121*'Scoring Model'!$C$7+T121*'Scoring Model'!$C$8+U121*'Scoring Model'!$C$9)/5*100,0)</f>
        <v>83</v>
      </c>
      <c r="W121" s="26" t="str">
        <f t="shared" si="4"/>
        <v>High</v>
      </c>
      <c r="X121" s="26" t="s">
        <v>289</v>
      </c>
      <c r="Y121" s="26" t="s">
        <v>141</v>
      </c>
      <c r="Z121" s="29" t="s">
        <v>142</v>
      </c>
    </row>
    <row r="122" ht="15.75" customHeight="1">
      <c r="A122" s="9" t="s">
        <v>1091</v>
      </c>
      <c r="B122" s="11" t="s">
        <v>56</v>
      </c>
      <c r="C122" s="11" t="s">
        <v>284</v>
      </c>
      <c r="D122" s="11" t="s">
        <v>284</v>
      </c>
      <c r="E122" s="11" t="s">
        <v>60</v>
      </c>
      <c r="F122" s="11" t="s">
        <v>61</v>
      </c>
      <c r="G122" s="11" t="s">
        <v>150</v>
      </c>
      <c r="H122" s="14">
        <v>70.0</v>
      </c>
      <c r="I122" s="11" t="s">
        <v>71</v>
      </c>
      <c r="J122" s="11">
        <v>32.0</v>
      </c>
      <c r="K122" s="11" t="s">
        <v>74</v>
      </c>
      <c r="L122" s="15">
        <v>7.8</v>
      </c>
      <c r="M122" s="11" t="s">
        <v>77</v>
      </c>
      <c r="N122" s="11" t="str">
        <f t="shared" si="1"/>
        <v>Moderate</v>
      </c>
      <c r="O122" s="19" t="s">
        <v>97</v>
      </c>
      <c r="P122" s="21">
        <v>4.0</v>
      </c>
      <c r="Q122" s="11">
        <f t="shared" si="2"/>
        <v>2</v>
      </c>
      <c r="R122" s="11">
        <f t="shared" si="3"/>
        <v>4</v>
      </c>
      <c r="S122" s="21">
        <v>5.0</v>
      </c>
      <c r="T122" s="21">
        <v>5.0</v>
      </c>
      <c r="U122" s="21">
        <v>4.0</v>
      </c>
      <c r="V122" s="24">
        <f>ROUND((P122*'Scoring Model'!$C$4+Q122*'Scoring Model'!$C$5+R122*'Scoring Model'!$C$6+S122*'Scoring Model'!$C$7+T122*'Scoring Model'!$C$8+U122*'Scoring Model'!$C$9)/5*100,0)</f>
        <v>80</v>
      </c>
      <c r="W122" s="11" t="str">
        <f t="shared" si="4"/>
        <v>High</v>
      </c>
      <c r="X122" s="11" t="s">
        <v>289</v>
      </c>
      <c r="Y122" s="11" t="s">
        <v>141</v>
      </c>
      <c r="Z122" s="19" t="s">
        <v>142</v>
      </c>
    </row>
    <row r="123" ht="15.75" customHeight="1">
      <c r="A123" s="25" t="s">
        <v>550</v>
      </c>
      <c r="B123" s="26" t="s">
        <v>173</v>
      </c>
      <c r="C123" s="26" t="s">
        <v>284</v>
      </c>
      <c r="D123" s="26" t="s">
        <v>284</v>
      </c>
      <c r="E123" s="26" t="s">
        <v>60</v>
      </c>
      <c r="F123" s="26" t="s">
        <v>61</v>
      </c>
      <c r="G123" s="26" t="s">
        <v>150</v>
      </c>
      <c r="H123" s="27">
        <v>220.0</v>
      </c>
      <c r="I123" s="26" t="s">
        <v>71</v>
      </c>
      <c r="J123" s="26">
        <v>40.0</v>
      </c>
      <c r="K123" s="26" t="s">
        <v>74</v>
      </c>
      <c r="L123" s="28">
        <v>8.19</v>
      </c>
      <c r="M123" s="26" t="s">
        <v>77</v>
      </c>
      <c r="N123" s="26" t="str">
        <f t="shared" si="1"/>
        <v>Moderate</v>
      </c>
      <c r="O123" s="29" t="s">
        <v>97</v>
      </c>
      <c r="P123" s="30">
        <v>4.0</v>
      </c>
      <c r="Q123" s="26">
        <f t="shared" si="2"/>
        <v>3</v>
      </c>
      <c r="R123" s="26">
        <f t="shared" si="3"/>
        <v>4</v>
      </c>
      <c r="S123" s="30">
        <v>5.0</v>
      </c>
      <c r="T123" s="30">
        <v>5.0</v>
      </c>
      <c r="U123" s="30">
        <v>4.0</v>
      </c>
      <c r="V123" s="31">
        <f>ROUND((P123*'Scoring Model'!$C$4+Q123*'Scoring Model'!$C$5+R123*'Scoring Model'!$C$6+S123*'Scoring Model'!$C$7+T123*'Scoring Model'!$C$8+U123*'Scoring Model'!$C$9)/5*100,0)</f>
        <v>83</v>
      </c>
      <c r="W123" s="26" t="str">
        <f t="shared" si="4"/>
        <v>High</v>
      </c>
      <c r="X123" s="26" t="s">
        <v>289</v>
      </c>
      <c r="Y123" s="26" t="s">
        <v>141</v>
      </c>
      <c r="Z123" s="29" t="s">
        <v>142</v>
      </c>
    </row>
    <row r="124" ht="15.75" customHeight="1">
      <c r="A124" s="9" t="s">
        <v>1092</v>
      </c>
      <c r="B124" s="11" t="s">
        <v>256</v>
      </c>
      <c r="C124" s="11" t="s">
        <v>284</v>
      </c>
      <c r="D124" s="11" t="s">
        <v>284</v>
      </c>
      <c r="E124" s="11" t="s">
        <v>60</v>
      </c>
      <c r="F124" s="11" t="s">
        <v>61</v>
      </c>
      <c r="G124" s="11" t="s">
        <v>150</v>
      </c>
      <c r="H124" s="14">
        <v>50.0</v>
      </c>
      <c r="I124" s="11" t="s">
        <v>71</v>
      </c>
      <c r="J124" s="11">
        <v>30.0</v>
      </c>
      <c r="K124" s="11" t="s">
        <v>74</v>
      </c>
      <c r="L124" s="15">
        <v>6.24</v>
      </c>
      <c r="M124" s="11" t="s">
        <v>77</v>
      </c>
      <c r="N124" s="11" t="str">
        <f t="shared" si="1"/>
        <v>Moderate</v>
      </c>
      <c r="O124" s="19" t="s">
        <v>97</v>
      </c>
      <c r="P124" s="21">
        <v>4.0</v>
      </c>
      <c r="Q124" s="11">
        <f t="shared" si="2"/>
        <v>2</v>
      </c>
      <c r="R124" s="11">
        <f t="shared" si="3"/>
        <v>4</v>
      </c>
      <c r="S124" s="21">
        <v>5.0</v>
      </c>
      <c r="T124" s="21">
        <v>4.0</v>
      </c>
      <c r="U124" s="21">
        <v>4.0</v>
      </c>
      <c r="V124" s="24">
        <f>ROUND((P124*'Scoring Model'!$C$4+Q124*'Scoring Model'!$C$5+R124*'Scoring Model'!$C$6+S124*'Scoring Model'!$C$7+T124*'Scoring Model'!$C$8+U124*'Scoring Model'!$C$9)/5*100,0)</f>
        <v>77</v>
      </c>
      <c r="W124" s="11" t="str">
        <f t="shared" si="4"/>
        <v>High</v>
      </c>
      <c r="X124" s="11" t="s">
        <v>289</v>
      </c>
      <c r="Y124" s="11" t="s">
        <v>141</v>
      </c>
      <c r="Z124" s="19" t="s">
        <v>142</v>
      </c>
    </row>
    <row r="125" ht="15.75" customHeight="1">
      <c r="A125" s="25" t="s">
        <v>1095</v>
      </c>
      <c r="B125" s="26" t="s">
        <v>56</v>
      </c>
      <c r="C125" s="26" t="s">
        <v>284</v>
      </c>
      <c r="D125" s="26" t="s">
        <v>284</v>
      </c>
      <c r="E125" s="26" t="s">
        <v>60</v>
      </c>
      <c r="F125" s="26" t="s">
        <v>61</v>
      </c>
      <c r="G125" s="26" t="s">
        <v>150</v>
      </c>
      <c r="H125" s="27">
        <v>60.0</v>
      </c>
      <c r="I125" s="26" t="s">
        <v>71</v>
      </c>
      <c r="J125" s="26">
        <v>30.0</v>
      </c>
      <c r="K125" s="26" t="s">
        <v>74</v>
      </c>
      <c r="L125" s="28">
        <v>7.2</v>
      </c>
      <c r="M125" s="26" t="s">
        <v>77</v>
      </c>
      <c r="N125" s="26" t="str">
        <f t="shared" si="1"/>
        <v>Moderate</v>
      </c>
      <c r="O125" s="29" t="s">
        <v>97</v>
      </c>
      <c r="P125" s="30">
        <v>4.0</v>
      </c>
      <c r="Q125" s="26">
        <f t="shared" si="2"/>
        <v>2</v>
      </c>
      <c r="R125" s="26">
        <f t="shared" si="3"/>
        <v>4</v>
      </c>
      <c r="S125" s="30">
        <v>5.0</v>
      </c>
      <c r="T125" s="30">
        <v>5.0</v>
      </c>
      <c r="U125" s="30">
        <v>4.0</v>
      </c>
      <c r="V125" s="31">
        <f>ROUND((P125*'Scoring Model'!$C$4+Q125*'Scoring Model'!$C$5+R125*'Scoring Model'!$C$6+S125*'Scoring Model'!$C$7+T125*'Scoring Model'!$C$8+U125*'Scoring Model'!$C$9)/5*100,0)</f>
        <v>80</v>
      </c>
      <c r="W125" s="26" t="str">
        <f t="shared" si="4"/>
        <v>High</v>
      </c>
      <c r="X125" s="26" t="s">
        <v>289</v>
      </c>
      <c r="Y125" s="26" t="s">
        <v>141</v>
      </c>
      <c r="Z125" s="29" t="s">
        <v>142</v>
      </c>
    </row>
    <row r="126" ht="15.75" customHeight="1">
      <c r="A126" s="9" t="s">
        <v>1096</v>
      </c>
      <c r="B126" s="11" t="s">
        <v>56</v>
      </c>
      <c r="C126" s="11" t="s">
        <v>284</v>
      </c>
      <c r="D126" s="11" t="s">
        <v>284</v>
      </c>
      <c r="E126" s="11" t="s">
        <v>60</v>
      </c>
      <c r="F126" s="11" t="s">
        <v>61</v>
      </c>
      <c r="G126" s="11" t="s">
        <v>150</v>
      </c>
      <c r="H126" s="14">
        <v>90.0</v>
      </c>
      <c r="I126" s="11" t="s">
        <v>71</v>
      </c>
      <c r="J126" s="11">
        <v>28.0</v>
      </c>
      <c r="K126" s="11" t="s">
        <v>74</v>
      </c>
      <c r="L126" s="15">
        <v>7.6</v>
      </c>
      <c r="M126" s="11" t="s">
        <v>77</v>
      </c>
      <c r="N126" s="11" t="str">
        <f t="shared" si="1"/>
        <v>Moderate</v>
      </c>
      <c r="O126" s="19" t="s">
        <v>97</v>
      </c>
      <c r="P126" s="21">
        <v>4.0</v>
      </c>
      <c r="Q126" s="11">
        <f t="shared" si="2"/>
        <v>2</v>
      </c>
      <c r="R126" s="11">
        <f t="shared" si="3"/>
        <v>4</v>
      </c>
      <c r="S126" s="21">
        <v>5.0</v>
      </c>
      <c r="T126" s="21">
        <v>5.0</v>
      </c>
      <c r="U126" s="21">
        <v>4.0</v>
      </c>
      <c r="V126" s="24">
        <f>ROUND((P126*'Scoring Model'!$C$4+Q126*'Scoring Model'!$C$5+R126*'Scoring Model'!$C$6+S126*'Scoring Model'!$C$7+T126*'Scoring Model'!$C$8+U126*'Scoring Model'!$C$9)/5*100,0)</f>
        <v>80</v>
      </c>
      <c r="W126" s="11" t="str">
        <f t="shared" si="4"/>
        <v>High</v>
      </c>
      <c r="X126" s="11" t="s">
        <v>289</v>
      </c>
      <c r="Y126" s="11" t="s">
        <v>141</v>
      </c>
      <c r="Z126" s="19" t="s">
        <v>303</v>
      </c>
    </row>
    <row r="127" ht="15.75" customHeight="1">
      <c r="A127" s="25" t="s">
        <v>291</v>
      </c>
      <c r="B127" s="26" t="s">
        <v>280</v>
      </c>
      <c r="C127" s="26" t="s">
        <v>284</v>
      </c>
      <c r="D127" s="26" t="s">
        <v>290</v>
      </c>
      <c r="E127" s="26" t="s">
        <v>95</v>
      </c>
      <c r="F127" s="26" t="s">
        <v>100</v>
      </c>
      <c r="G127" s="26" t="s">
        <v>62</v>
      </c>
      <c r="H127" s="27">
        <v>2400.0</v>
      </c>
      <c r="I127" s="26" t="s">
        <v>71</v>
      </c>
      <c r="J127" s="26">
        <v>40.0</v>
      </c>
      <c r="K127" s="26" t="s">
        <v>74</v>
      </c>
      <c r="L127" s="28">
        <v>1.6</v>
      </c>
      <c r="M127" s="26" t="s">
        <v>77</v>
      </c>
      <c r="N127" s="26" t="str">
        <f t="shared" si="1"/>
        <v>Moderate</v>
      </c>
      <c r="O127" s="29" t="s">
        <v>282</v>
      </c>
      <c r="P127" s="30">
        <v>2.0</v>
      </c>
      <c r="Q127" s="26">
        <f t="shared" si="2"/>
        <v>5</v>
      </c>
      <c r="R127" s="26">
        <f t="shared" si="3"/>
        <v>4</v>
      </c>
      <c r="S127" s="30">
        <v>1.0</v>
      </c>
      <c r="T127" s="30">
        <v>1.0</v>
      </c>
      <c r="U127" s="30">
        <v>4.0</v>
      </c>
      <c r="V127" s="31">
        <f>ROUND((P127*'Scoring Model'!$C$4+Q127*'Scoring Model'!$C$5+R127*'Scoring Model'!$C$6+S127*'Scoring Model'!$C$7+T127*'Scoring Model'!$C$8+U127*'Scoring Model'!$C$9)/5*100,0)</f>
        <v>55</v>
      </c>
      <c r="W127" s="26" t="str">
        <f t="shared" si="4"/>
        <v>Low</v>
      </c>
      <c r="X127" s="26" t="s">
        <v>296</v>
      </c>
      <c r="Y127" s="26" t="s">
        <v>293</v>
      </c>
      <c r="Z127" s="29" t="s">
        <v>294</v>
      </c>
    </row>
    <row r="128" ht="15.75" customHeight="1">
      <c r="A128" s="9" t="s">
        <v>292</v>
      </c>
      <c r="B128" s="11" t="s">
        <v>280</v>
      </c>
      <c r="C128" s="11" t="s">
        <v>284</v>
      </c>
      <c r="D128" s="11" t="s">
        <v>290</v>
      </c>
      <c r="E128" s="11" t="s">
        <v>95</v>
      </c>
      <c r="F128" s="11" t="s">
        <v>100</v>
      </c>
      <c r="G128" s="11" t="s">
        <v>150</v>
      </c>
      <c r="H128" s="14">
        <v>3600.0</v>
      </c>
      <c r="I128" s="11" t="s">
        <v>71</v>
      </c>
      <c r="J128" s="11">
        <v>42.0</v>
      </c>
      <c r="K128" s="11" t="s">
        <v>74</v>
      </c>
      <c r="L128" s="15">
        <v>1.4</v>
      </c>
      <c r="M128" s="11" t="s">
        <v>77</v>
      </c>
      <c r="N128" s="11" t="str">
        <f t="shared" si="1"/>
        <v>Competitive</v>
      </c>
      <c r="O128" s="19" t="s">
        <v>282</v>
      </c>
      <c r="P128" s="21">
        <v>2.0</v>
      </c>
      <c r="Q128" s="11">
        <f t="shared" si="2"/>
        <v>5</v>
      </c>
      <c r="R128" s="11">
        <f t="shared" si="3"/>
        <v>3</v>
      </c>
      <c r="S128" s="21">
        <v>1.0</v>
      </c>
      <c r="T128" s="21">
        <v>1.0</v>
      </c>
      <c r="U128" s="21">
        <v>4.0</v>
      </c>
      <c r="V128" s="24">
        <f>ROUND((P128*'Scoring Model'!$C$4+Q128*'Scoring Model'!$C$5+R128*'Scoring Model'!$C$6+S128*'Scoring Model'!$C$7+T128*'Scoring Model'!$C$8+U128*'Scoring Model'!$C$9)/5*100,0)</f>
        <v>51</v>
      </c>
      <c r="W128" s="11" t="str">
        <f t="shared" si="4"/>
        <v>Low</v>
      </c>
      <c r="X128" s="11" t="s">
        <v>296</v>
      </c>
      <c r="Y128" s="11" t="s">
        <v>293</v>
      </c>
      <c r="Z128" s="19" t="s">
        <v>294</v>
      </c>
    </row>
    <row r="129" ht="15.75" customHeight="1">
      <c r="A129" s="25" t="s">
        <v>298</v>
      </c>
      <c r="B129" s="26" t="s">
        <v>56</v>
      </c>
      <c r="C129" s="26" t="s">
        <v>297</v>
      </c>
      <c r="D129" s="26" t="s">
        <v>297</v>
      </c>
      <c r="E129" s="26" t="s">
        <v>60</v>
      </c>
      <c r="F129" s="26" t="s">
        <v>61</v>
      </c>
      <c r="G129" s="26" t="s">
        <v>62</v>
      </c>
      <c r="H129" s="27">
        <v>40.0</v>
      </c>
      <c r="I129" s="26" t="s">
        <v>71</v>
      </c>
      <c r="J129" s="26">
        <v>18.0</v>
      </c>
      <c r="K129" s="26" t="s">
        <v>74</v>
      </c>
      <c r="L129" s="28">
        <v>3.6</v>
      </c>
      <c r="M129" s="26" t="s">
        <v>77</v>
      </c>
      <c r="N129" s="26" t="str">
        <f t="shared" si="1"/>
        <v>Easy</v>
      </c>
      <c r="O129" s="29" t="s">
        <v>97</v>
      </c>
      <c r="P129" s="30">
        <v>2.0</v>
      </c>
      <c r="Q129" s="26">
        <f t="shared" si="2"/>
        <v>1</v>
      </c>
      <c r="R129" s="26">
        <f t="shared" si="3"/>
        <v>5</v>
      </c>
      <c r="S129" s="30">
        <v>5.0</v>
      </c>
      <c r="T129" s="30">
        <v>5.0</v>
      </c>
      <c r="U129" s="30">
        <v>4.0</v>
      </c>
      <c r="V129" s="31">
        <f>ROUND((P129*'Scoring Model'!$C$4+Q129*'Scoring Model'!$C$5+R129*'Scoring Model'!$C$6+S129*'Scoring Model'!$C$7+T129*'Scoring Model'!$C$8+U129*'Scoring Model'!$C$9)/5*100,0)</f>
        <v>71</v>
      </c>
      <c r="W129" s="26" t="str">
        <f t="shared" si="4"/>
        <v>Medium</v>
      </c>
      <c r="X129" s="26" t="s">
        <v>302</v>
      </c>
      <c r="Y129" s="26" t="s">
        <v>141</v>
      </c>
      <c r="Z129" s="29" t="s">
        <v>142</v>
      </c>
    </row>
    <row r="130" ht="15.75" customHeight="1">
      <c r="A130" s="9" t="s">
        <v>1100</v>
      </c>
      <c r="B130" s="11" t="s">
        <v>56</v>
      </c>
      <c r="C130" s="11" t="s">
        <v>297</v>
      </c>
      <c r="D130" s="11" t="s">
        <v>297</v>
      </c>
      <c r="E130" s="11" t="s">
        <v>60</v>
      </c>
      <c r="F130" s="11" t="s">
        <v>61</v>
      </c>
      <c r="G130" s="11" t="s">
        <v>150</v>
      </c>
      <c r="H130" s="14">
        <v>20.0</v>
      </c>
      <c r="I130" s="11" t="s">
        <v>71</v>
      </c>
      <c r="J130" s="11">
        <v>16.0</v>
      </c>
      <c r="K130" s="11" t="s">
        <v>74</v>
      </c>
      <c r="L130" s="15">
        <v>3.6</v>
      </c>
      <c r="M130" s="11" t="s">
        <v>77</v>
      </c>
      <c r="N130" s="11" t="str">
        <f t="shared" si="1"/>
        <v>Easy</v>
      </c>
      <c r="O130" s="19" t="s">
        <v>97</v>
      </c>
      <c r="P130" s="21">
        <v>2.0</v>
      </c>
      <c r="Q130" s="11">
        <f t="shared" si="2"/>
        <v>1</v>
      </c>
      <c r="R130" s="11">
        <f t="shared" si="3"/>
        <v>5</v>
      </c>
      <c r="S130" s="21">
        <v>5.0</v>
      </c>
      <c r="T130" s="21">
        <v>5.0</v>
      </c>
      <c r="U130" s="21">
        <v>4.0</v>
      </c>
      <c r="V130" s="24">
        <f>ROUND((P130*'Scoring Model'!$C$4+Q130*'Scoring Model'!$C$5+R130*'Scoring Model'!$C$6+S130*'Scoring Model'!$C$7+T130*'Scoring Model'!$C$8+U130*'Scoring Model'!$C$9)/5*100,0)</f>
        <v>71</v>
      </c>
      <c r="W130" s="11" t="str">
        <f t="shared" si="4"/>
        <v>Medium</v>
      </c>
      <c r="X130" s="11" t="s">
        <v>302</v>
      </c>
      <c r="Y130" s="11" t="s">
        <v>141</v>
      </c>
      <c r="Z130" s="19" t="s">
        <v>142</v>
      </c>
    </row>
    <row r="131" ht="15.75" customHeight="1">
      <c r="A131" s="25" t="s">
        <v>565</v>
      </c>
      <c r="B131" s="26" t="s">
        <v>173</v>
      </c>
      <c r="C131" s="26" t="s">
        <v>297</v>
      </c>
      <c r="D131" s="26" t="s">
        <v>297</v>
      </c>
      <c r="E131" s="26" t="s">
        <v>60</v>
      </c>
      <c r="F131" s="26" t="s">
        <v>61</v>
      </c>
      <c r="G131" s="26" t="s">
        <v>150</v>
      </c>
      <c r="H131" s="27">
        <v>60.0</v>
      </c>
      <c r="I131" s="26" t="s">
        <v>71</v>
      </c>
      <c r="J131" s="26">
        <v>24.0</v>
      </c>
      <c r="K131" s="26" t="s">
        <v>74</v>
      </c>
      <c r="L131" s="28">
        <v>3.78</v>
      </c>
      <c r="M131" s="26" t="s">
        <v>77</v>
      </c>
      <c r="N131" s="26" t="str">
        <f t="shared" si="1"/>
        <v>Moderate</v>
      </c>
      <c r="O131" s="29" t="s">
        <v>97</v>
      </c>
      <c r="P131" s="30">
        <v>2.0</v>
      </c>
      <c r="Q131" s="26">
        <f t="shared" si="2"/>
        <v>2</v>
      </c>
      <c r="R131" s="26">
        <f t="shared" si="3"/>
        <v>5</v>
      </c>
      <c r="S131" s="30">
        <v>5.0</v>
      </c>
      <c r="T131" s="30">
        <v>5.0</v>
      </c>
      <c r="U131" s="30">
        <v>4.0</v>
      </c>
      <c r="V131" s="31">
        <f>ROUND((P131*'Scoring Model'!$C$4+Q131*'Scoring Model'!$C$5+R131*'Scoring Model'!$C$6+S131*'Scoring Model'!$C$7+T131*'Scoring Model'!$C$8+U131*'Scoring Model'!$C$9)/5*100,0)</f>
        <v>74</v>
      </c>
      <c r="W131" s="26" t="str">
        <f t="shared" si="4"/>
        <v>Medium</v>
      </c>
      <c r="X131" s="26" t="s">
        <v>302</v>
      </c>
      <c r="Y131" s="26" t="s">
        <v>141</v>
      </c>
      <c r="Z131" s="29" t="s">
        <v>142</v>
      </c>
    </row>
    <row r="132" ht="15.75" customHeight="1">
      <c r="A132" s="9" t="s">
        <v>306</v>
      </c>
      <c r="B132" s="11" t="s">
        <v>280</v>
      </c>
      <c r="C132" s="11" t="s">
        <v>297</v>
      </c>
      <c r="D132" s="11" t="s">
        <v>305</v>
      </c>
      <c r="E132" s="11" t="s">
        <v>95</v>
      </c>
      <c r="F132" s="11" t="s">
        <v>100</v>
      </c>
      <c r="G132" s="11" t="s">
        <v>62</v>
      </c>
      <c r="H132" s="14">
        <v>90.0</v>
      </c>
      <c r="I132" s="11" t="s">
        <v>71</v>
      </c>
      <c r="J132" s="11">
        <v>8.0</v>
      </c>
      <c r="K132" s="11" t="s">
        <v>74</v>
      </c>
      <c r="L132" s="15">
        <v>0.9</v>
      </c>
      <c r="M132" s="11" t="s">
        <v>77</v>
      </c>
      <c r="N132" s="11" t="str">
        <f t="shared" si="1"/>
        <v>Easy</v>
      </c>
      <c r="O132" s="19" t="s">
        <v>282</v>
      </c>
      <c r="P132" s="21">
        <v>1.0</v>
      </c>
      <c r="Q132" s="11">
        <f t="shared" si="2"/>
        <v>2</v>
      </c>
      <c r="R132" s="11">
        <f t="shared" si="3"/>
        <v>5</v>
      </c>
      <c r="S132" s="21">
        <v>1.0</v>
      </c>
      <c r="T132" s="21">
        <v>1.0</v>
      </c>
      <c r="U132" s="21">
        <v>4.0</v>
      </c>
      <c r="V132" s="24">
        <f>ROUND((P132*'Scoring Model'!$C$4+Q132*'Scoring Model'!$C$5+R132*'Scoring Model'!$C$6+S132*'Scoring Model'!$C$7+T132*'Scoring Model'!$C$8+U132*'Scoring Model'!$C$9)/5*100,0)</f>
        <v>45</v>
      </c>
      <c r="W132" s="11" t="str">
        <f t="shared" si="4"/>
        <v>Low</v>
      </c>
      <c r="X132" s="11" t="s">
        <v>308</v>
      </c>
      <c r="Y132" s="11" t="s">
        <v>293</v>
      </c>
      <c r="Z132" s="19" t="s">
        <v>294</v>
      </c>
    </row>
    <row r="133" ht="15.75" customHeight="1">
      <c r="A133" s="25" t="s">
        <v>573</v>
      </c>
      <c r="B133" s="26" t="s">
        <v>371</v>
      </c>
      <c r="C133" s="26" t="s">
        <v>297</v>
      </c>
      <c r="D133" s="26" t="s">
        <v>305</v>
      </c>
      <c r="E133" s="26" t="s">
        <v>95</v>
      </c>
      <c r="F133" s="26" t="s">
        <v>100</v>
      </c>
      <c r="G133" s="26" t="s">
        <v>150</v>
      </c>
      <c r="H133" s="27">
        <v>1900.0</v>
      </c>
      <c r="I133" s="26" t="s">
        <v>71</v>
      </c>
      <c r="J133" s="26">
        <v>44.0</v>
      </c>
      <c r="K133" s="26" t="s">
        <v>74</v>
      </c>
      <c r="L133" s="28">
        <v>1.8</v>
      </c>
      <c r="M133" s="26" t="s">
        <v>77</v>
      </c>
      <c r="N133" s="26" t="str">
        <f t="shared" si="1"/>
        <v>Competitive</v>
      </c>
      <c r="O133" s="29" t="s">
        <v>282</v>
      </c>
      <c r="P133" s="30">
        <v>1.0</v>
      </c>
      <c r="Q133" s="26">
        <f t="shared" si="2"/>
        <v>5</v>
      </c>
      <c r="R133" s="26">
        <f t="shared" si="3"/>
        <v>3</v>
      </c>
      <c r="S133" s="30">
        <v>2.0</v>
      </c>
      <c r="T133" s="30">
        <v>2.0</v>
      </c>
      <c r="U133" s="30">
        <v>4.0</v>
      </c>
      <c r="V133" s="31">
        <f>ROUND((P133*'Scoring Model'!$C$4+Q133*'Scoring Model'!$C$5+R133*'Scoring Model'!$C$6+S133*'Scoring Model'!$C$7+T133*'Scoring Model'!$C$8+U133*'Scoring Model'!$C$9)/5*100,0)</f>
        <v>52</v>
      </c>
      <c r="W133" s="26" t="str">
        <f t="shared" si="4"/>
        <v>Low</v>
      </c>
      <c r="X133" s="26" t="s">
        <v>308</v>
      </c>
      <c r="Y133" s="26" t="s">
        <v>293</v>
      </c>
      <c r="Z133" s="29" t="s">
        <v>294</v>
      </c>
    </row>
    <row r="134" ht="15.75" customHeight="1">
      <c r="A134" s="9" t="s">
        <v>1101</v>
      </c>
      <c r="B134" s="11" t="s">
        <v>280</v>
      </c>
      <c r="C134" s="11" t="s">
        <v>297</v>
      </c>
      <c r="D134" s="11" t="s">
        <v>305</v>
      </c>
      <c r="E134" s="11" t="s">
        <v>95</v>
      </c>
      <c r="F134" s="11" t="s">
        <v>100</v>
      </c>
      <c r="G134" s="11" t="s">
        <v>150</v>
      </c>
      <c r="H134" s="14">
        <v>210.0</v>
      </c>
      <c r="I134" s="11" t="s">
        <v>71</v>
      </c>
      <c r="J134" s="11">
        <v>20.0</v>
      </c>
      <c r="K134" s="11" t="s">
        <v>74</v>
      </c>
      <c r="L134" s="15">
        <v>1.2</v>
      </c>
      <c r="M134" s="11" t="s">
        <v>77</v>
      </c>
      <c r="N134" s="11" t="str">
        <f t="shared" si="1"/>
        <v>Easy</v>
      </c>
      <c r="O134" s="19" t="s">
        <v>282</v>
      </c>
      <c r="P134" s="21">
        <v>1.0</v>
      </c>
      <c r="Q134" s="11">
        <f t="shared" si="2"/>
        <v>3</v>
      </c>
      <c r="R134" s="11">
        <f t="shared" si="3"/>
        <v>5</v>
      </c>
      <c r="S134" s="21">
        <v>1.0</v>
      </c>
      <c r="T134" s="21">
        <v>1.0</v>
      </c>
      <c r="U134" s="21">
        <v>4.0</v>
      </c>
      <c r="V134" s="24">
        <f>ROUND((P134*'Scoring Model'!$C$4+Q134*'Scoring Model'!$C$5+R134*'Scoring Model'!$C$6+S134*'Scoring Model'!$C$7+T134*'Scoring Model'!$C$8+U134*'Scoring Model'!$C$9)/5*100,0)</f>
        <v>48</v>
      </c>
      <c r="W134" s="11" t="str">
        <f t="shared" si="4"/>
        <v>Low</v>
      </c>
      <c r="X134" s="11" t="s">
        <v>308</v>
      </c>
      <c r="Y134" s="11" t="s">
        <v>293</v>
      </c>
      <c r="Z134" s="19" t="s">
        <v>294</v>
      </c>
    </row>
    <row r="135" ht="15.75" customHeight="1">
      <c r="A135" s="25" t="s">
        <v>310</v>
      </c>
      <c r="B135" s="26" t="s">
        <v>56</v>
      </c>
      <c r="C135" s="26" t="s">
        <v>309</v>
      </c>
      <c r="D135" s="26" t="s">
        <v>309</v>
      </c>
      <c r="E135" s="26" t="s">
        <v>60</v>
      </c>
      <c r="F135" s="26" t="s">
        <v>61</v>
      </c>
      <c r="G135" s="26" t="s">
        <v>62</v>
      </c>
      <c r="H135" s="27">
        <v>70.0</v>
      </c>
      <c r="I135" s="26" t="s">
        <v>71</v>
      </c>
      <c r="J135" s="26">
        <v>22.0</v>
      </c>
      <c r="K135" s="26" t="s">
        <v>74</v>
      </c>
      <c r="L135" s="28">
        <v>4.1</v>
      </c>
      <c r="M135" s="26" t="s">
        <v>77</v>
      </c>
      <c r="N135" s="26" t="str">
        <f t="shared" si="1"/>
        <v>Moderate</v>
      </c>
      <c r="O135" s="29" t="s">
        <v>97</v>
      </c>
      <c r="P135" s="30">
        <v>3.0</v>
      </c>
      <c r="Q135" s="26">
        <f t="shared" si="2"/>
        <v>2</v>
      </c>
      <c r="R135" s="26">
        <f t="shared" si="3"/>
        <v>5</v>
      </c>
      <c r="S135" s="30">
        <v>5.0</v>
      </c>
      <c r="T135" s="30">
        <v>5.0</v>
      </c>
      <c r="U135" s="30">
        <v>4.0</v>
      </c>
      <c r="V135" s="31">
        <f>ROUND((P135*'Scoring Model'!$C$4+Q135*'Scoring Model'!$C$5+R135*'Scoring Model'!$C$6+S135*'Scoring Model'!$C$7+T135*'Scoring Model'!$C$8+U135*'Scoring Model'!$C$9)/5*100,0)</f>
        <v>79</v>
      </c>
      <c r="W135" s="26" t="str">
        <f t="shared" si="4"/>
        <v>High</v>
      </c>
      <c r="X135" s="26" t="s">
        <v>314</v>
      </c>
      <c r="Y135" s="26" t="s">
        <v>141</v>
      </c>
      <c r="Z135" s="29" t="s">
        <v>142</v>
      </c>
    </row>
    <row r="136" ht="15.75" customHeight="1">
      <c r="A136" s="9" t="s">
        <v>1102</v>
      </c>
      <c r="B136" s="11" t="s">
        <v>56</v>
      </c>
      <c r="C136" s="11" t="s">
        <v>309</v>
      </c>
      <c r="D136" s="11" t="s">
        <v>309</v>
      </c>
      <c r="E136" s="11" t="s">
        <v>60</v>
      </c>
      <c r="F136" s="11" t="s">
        <v>61</v>
      </c>
      <c r="G136" s="11" t="s">
        <v>150</v>
      </c>
      <c r="H136" s="14">
        <v>30.0</v>
      </c>
      <c r="I136" s="11" t="s">
        <v>71</v>
      </c>
      <c r="J136" s="11">
        <v>20.0</v>
      </c>
      <c r="K136" s="11" t="s">
        <v>74</v>
      </c>
      <c r="L136" s="15">
        <v>4.1</v>
      </c>
      <c r="M136" s="11" t="s">
        <v>77</v>
      </c>
      <c r="N136" s="11" t="str">
        <f t="shared" si="1"/>
        <v>Easy</v>
      </c>
      <c r="O136" s="19" t="s">
        <v>97</v>
      </c>
      <c r="P136" s="21">
        <v>3.0</v>
      </c>
      <c r="Q136" s="11">
        <f t="shared" si="2"/>
        <v>1</v>
      </c>
      <c r="R136" s="11">
        <f t="shared" si="3"/>
        <v>5</v>
      </c>
      <c r="S136" s="21">
        <v>5.0</v>
      </c>
      <c r="T136" s="21">
        <v>5.0</v>
      </c>
      <c r="U136" s="21">
        <v>4.0</v>
      </c>
      <c r="V136" s="24">
        <f>ROUND((P136*'Scoring Model'!$C$4+Q136*'Scoring Model'!$C$5+R136*'Scoring Model'!$C$6+S136*'Scoring Model'!$C$7+T136*'Scoring Model'!$C$8+U136*'Scoring Model'!$C$9)/5*100,0)</f>
        <v>76</v>
      </c>
      <c r="W136" s="11" t="str">
        <f t="shared" si="4"/>
        <v>High</v>
      </c>
      <c r="X136" s="11" t="s">
        <v>314</v>
      </c>
      <c r="Y136" s="11" t="s">
        <v>141</v>
      </c>
      <c r="Z136" s="19" t="s">
        <v>142</v>
      </c>
    </row>
    <row r="137" ht="15.75" customHeight="1">
      <c r="A137" s="25" t="s">
        <v>1103</v>
      </c>
      <c r="B137" s="26" t="s">
        <v>173</v>
      </c>
      <c r="C137" s="26" t="s">
        <v>309</v>
      </c>
      <c r="D137" s="26" t="s">
        <v>309</v>
      </c>
      <c r="E137" s="26" t="s">
        <v>60</v>
      </c>
      <c r="F137" s="26" t="s">
        <v>61</v>
      </c>
      <c r="G137" s="26" t="s">
        <v>150</v>
      </c>
      <c r="H137" s="27">
        <v>100.0</v>
      </c>
      <c r="I137" s="26" t="s">
        <v>71</v>
      </c>
      <c r="J137" s="26">
        <v>28.0</v>
      </c>
      <c r="K137" s="26" t="s">
        <v>74</v>
      </c>
      <c r="L137" s="28">
        <v>4.3</v>
      </c>
      <c r="M137" s="26" t="s">
        <v>77</v>
      </c>
      <c r="N137" s="26" t="str">
        <f t="shared" si="1"/>
        <v>Moderate</v>
      </c>
      <c r="O137" s="29" t="s">
        <v>97</v>
      </c>
      <c r="P137" s="30">
        <v>3.0</v>
      </c>
      <c r="Q137" s="26">
        <f t="shared" si="2"/>
        <v>2</v>
      </c>
      <c r="R137" s="26">
        <f t="shared" si="3"/>
        <v>4</v>
      </c>
      <c r="S137" s="30">
        <v>5.0</v>
      </c>
      <c r="T137" s="30">
        <v>5.0</v>
      </c>
      <c r="U137" s="30">
        <v>4.0</v>
      </c>
      <c r="V137" s="31">
        <f>ROUND((P137*'Scoring Model'!$C$4+Q137*'Scoring Model'!$C$5+R137*'Scoring Model'!$C$6+S137*'Scoring Model'!$C$7+T137*'Scoring Model'!$C$8+U137*'Scoring Model'!$C$9)/5*100,0)</f>
        <v>75</v>
      </c>
      <c r="W137" s="26" t="str">
        <f t="shared" si="4"/>
        <v>High</v>
      </c>
      <c r="X137" s="26" t="s">
        <v>314</v>
      </c>
      <c r="Y137" s="26" t="s">
        <v>141</v>
      </c>
      <c r="Z137" s="29" t="s">
        <v>142</v>
      </c>
    </row>
    <row r="138" ht="15.75" customHeight="1">
      <c r="A138" s="9" t="s">
        <v>317</v>
      </c>
      <c r="B138" s="11" t="s">
        <v>280</v>
      </c>
      <c r="C138" s="11" t="s">
        <v>309</v>
      </c>
      <c r="D138" s="11" t="s">
        <v>316</v>
      </c>
      <c r="E138" s="11" t="s">
        <v>95</v>
      </c>
      <c r="F138" s="11" t="s">
        <v>100</v>
      </c>
      <c r="G138" s="11" t="s">
        <v>62</v>
      </c>
      <c r="H138" s="14">
        <v>150.0</v>
      </c>
      <c r="I138" s="11" t="s">
        <v>71</v>
      </c>
      <c r="J138" s="11">
        <v>8.0</v>
      </c>
      <c r="K138" s="11" t="s">
        <v>74</v>
      </c>
      <c r="L138" s="15">
        <v>1.02</v>
      </c>
      <c r="M138" s="11" t="s">
        <v>77</v>
      </c>
      <c r="N138" s="11" t="str">
        <f t="shared" si="1"/>
        <v>Easy</v>
      </c>
      <c r="O138" s="19" t="s">
        <v>282</v>
      </c>
      <c r="P138" s="21">
        <v>1.0</v>
      </c>
      <c r="Q138" s="11">
        <f t="shared" si="2"/>
        <v>3</v>
      </c>
      <c r="R138" s="11">
        <f t="shared" si="3"/>
        <v>5</v>
      </c>
      <c r="S138" s="21">
        <v>1.0</v>
      </c>
      <c r="T138" s="21">
        <v>1.0</v>
      </c>
      <c r="U138" s="21">
        <v>4.0</v>
      </c>
      <c r="V138" s="24">
        <f>ROUND((P138*'Scoring Model'!$C$4+Q138*'Scoring Model'!$C$5+R138*'Scoring Model'!$C$6+S138*'Scoring Model'!$C$7+T138*'Scoring Model'!$C$8+U138*'Scoring Model'!$C$9)/5*100,0)</f>
        <v>48</v>
      </c>
      <c r="W138" s="11" t="str">
        <f t="shared" si="4"/>
        <v>Low</v>
      </c>
      <c r="X138" s="11" t="s">
        <v>319</v>
      </c>
      <c r="Y138" s="11" t="s">
        <v>293</v>
      </c>
      <c r="Z138" s="19" t="s">
        <v>294</v>
      </c>
    </row>
    <row r="139" ht="15.75" customHeight="1">
      <c r="A139" s="25" t="s">
        <v>1104</v>
      </c>
      <c r="B139" s="26" t="s">
        <v>56</v>
      </c>
      <c r="C139" s="26" t="s">
        <v>309</v>
      </c>
      <c r="D139" s="26" t="s">
        <v>309</v>
      </c>
      <c r="E139" s="26" t="s">
        <v>60</v>
      </c>
      <c r="F139" s="26" t="s">
        <v>61</v>
      </c>
      <c r="G139" s="26" t="s">
        <v>150</v>
      </c>
      <c r="H139" s="27">
        <v>260.0</v>
      </c>
      <c r="I139" s="26" t="s">
        <v>71</v>
      </c>
      <c r="J139" s="26">
        <v>30.0</v>
      </c>
      <c r="K139" s="26" t="s">
        <v>74</v>
      </c>
      <c r="L139" s="28">
        <v>5.1</v>
      </c>
      <c r="M139" s="26" t="s">
        <v>77</v>
      </c>
      <c r="N139" s="26" t="str">
        <f t="shared" si="1"/>
        <v>Moderate</v>
      </c>
      <c r="O139" s="29" t="s">
        <v>97</v>
      </c>
      <c r="P139" s="30">
        <v>3.0</v>
      </c>
      <c r="Q139" s="26">
        <f t="shared" si="2"/>
        <v>3</v>
      </c>
      <c r="R139" s="26">
        <f t="shared" si="3"/>
        <v>4</v>
      </c>
      <c r="S139" s="30">
        <v>5.0</v>
      </c>
      <c r="T139" s="30">
        <v>5.0</v>
      </c>
      <c r="U139" s="30">
        <v>4.0</v>
      </c>
      <c r="V139" s="31">
        <f>ROUND((P139*'Scoring Model'!$C$4+Q139*'Scoring Model'!$C$5+R139*'Scoring Model'!$C$6+S139*'Scoring Model'!$C$7+T139*'Scoring Model'!$C$8+U139*'Scoring Model'!$C$9)/5*100,0)</f>
        <v>78</v>
      </c>
      <c r="W139" s="26" t="str">
        <f t="shared" si="4"/>
        <v>High</v>
      </c>
      <c r="X139" s="26" t="s">
        <v>314</v>
      </c>
      <c r="Y139" s="26" t="s">
        <v>141</v>
      </c>
      <c r="Z139" s="29" t="s">
        <v>142</v>
      </c>
    </row>
    <row r="140" ht="15.75" customHeight="1">
      <c r="A140" s="9" t="s">
        <v>1105</v>
      </c>
      <c r="B140" s="11" t="s">
        <v>56</v>
      </c>
      <c r="C140" s="11" t="s">
        <v>309</v>
      </c>
      <c r="D140" s="11" t="s">
        <v>309</v>
      </c>
      <c r="E140" s="11" t="s">
        <v>60</v>
      </c>
      <c r="F140" s="11" t="s">
        <v>61</v>
      </c>
      <c r="G140" s="11" t="s">
        <v>150</v>
      </c>
      <c r="H140" s="14">
        <v>60.0</v>
      </c>
      <c r="I140" s="11" t="s">
        <v>71</v>
      </c>
      <c r="J140" s="11">
        <v>22.0</v>
      </c>
      <c r="K140" s="11" t="s">
        <v>74</v>
      </c>
      <c r="L140" s="15">
        <v>4.4</v>
      </c>
      <c r="M140" s="11" t="s">
        <v>77</v>
      </c>
      <c r="N140" s="11" t="str">
        <f t="shared" si="1"/>
        <v>Moderate</v>
      </c>
      <c r="O140" s="19" t="s">
        <v>97</v>
      </c>
      <c r="P140" s="21">
        <v>3.0</v>
      </c>
      <c r="Q140" s="11">
        <f t="shared" si="2"/>
        <v>2</v>
      </c>
      <c r="R140" s="11">
        <f t="shared" si="3"/>
        <v>5</v>
      </c>
      <c r="S140" s="21">
        <v>5.0</v>
      </c>
      <c r="T140" s="21">
        <v>5.0</v>
      </c>
      <c r="U140" s="21">
        <v>4.0</v>
      </c>
      <c r="V140" s="24">
        <f>ROUND((P140*'Scoring Model'!$C$4+Q140*'Scoring Model'!$C$5+R140*'Scoring Model'!$C$6+S140*'Scoring Model'!$C$7+T140*'Scoring Model'!$C$8+U140*'Scoring Model'!$C$9)/5*100,0)</f>
        <v>79</v>
      </c>
      <c r="W140" s="11" t="str">
        <f t="shared" si="4"/>
        <v>High</v>
      </c>
      <c r="X140" s="11" t="s">
        <v>314</v>
      </c>
      <c r="Y140" s="11" t="s">
        <v>141</v>
      </c>
      <c r="Z140" s="19" t="s">
        <v>142</v>
      </c>
    </row>
    <row r="141" ht="15.75" customHeight="1">
      <c r="A141" s="25" t="s">
        <v>593</v>
      </c>
      <c r="B141" s="26" t="s">
        <v>280</v>
      </c>
      <c r="C141" s="26" t="s">
        <v>309</v>
      </c>
      <c r="D141" s="26" t="s">
        <v>316</v>
      </c>
      <c r="E141" s="26" t="s">
        <v>95</v>
      </c>
      <c r="F141" s="26" t="s">
        <v>100</v>
      </c>
      <c r="G141" s="26" t="s">
        <v>150</v>
      </c>
      <c r="H141" s="27">
        <v>2400.0</v>
      </c>
      <c r="I141" s="26" t="s">
        <v>71</v>
      </c>
      <c r="J141" s="26">
        <v>32.0</v>
      </c>
      <c r="K141" s="26" t="s">
        <v>74</v>
      </c>
      <c r="L141" s="28">
        <v>1.2</v>
      </c>
      <c r="M141" s="26" t="s">
        <v>77</v>
      </c>
      <c r="N141" s="26" t="str">
        <f t="shared" si="1"/>
        <v>Moderate</v>
      </c>
      <c r="O141" s="29" t="s">
        <v>282</v>
      </c>
      <c r="P141" s="30">
        <v>1.0</v>
      </c>
      <c r="Q141" s="26">
        <f t="shared" si="2"/>
        <v>5</v>
      </c>
      <c r="R141" s="26">
        <f t="shared" si="3"/>
        <v>4</v>
      </c>
      <c r="S141" s="30">
        <v>1.0</v>
      </c>
      <c r="T141" s="30">
        <v>1.0</v>
      </c>
      <c r="U141" s="30">
        <v>4.0</v>
      </c>
      <c r="V141" s="31">
        <f>ROUND((P141*'Scoring Model'!$C$4+Q141*'Scoring Model'!$C$5+R141*'Scoring Model'!$C$6+S141*'Scoring Model'!$C$7+T141*'Scoring Model'!$C$8+U141*'Scoring Model'!$C$9)/5*100,0)</f>
        <v>50</v>
      </c>
      <c r="W141" s="26" t="str">
        <f t="shared" si="4"/>
        <v>Low</v>
      </c>
      <c r="X141" s="26" t="s">
        <v>319</v>
      </c>
      <c r="Y141" s="26" t="s">
        <v>293</v>
      </c>
      <c r="Z141" s="29" t="s">
        <v>294</v>
      </c>
    </row>
    <row r="142" ht="15.75" customHeight="1">
      <c r="A142" s="9" t="s">
        <v>1106</v>
      </c>
      <c r="B142" s="11" t="s">
        <v>280</v>
      </c>
      <c r="C142" s="11" t="s">
        <v>309</v>
      </c>
      <c r="D142" s="11" t="s">
        <v>316</v>
      </c>
      <c r="E142" s="11" t="s">
        <v>95</v>
      </c>
      <c r="F142" s="11" t="s">
        <v>100</v>
      </c>
      <c r="G142" s="11" t="s">
        <v>150</v>
      </c>
      <c r="H142" s="14">
        <v>3600.0</v>
      </c>
      <c r="I142" s="11" t="s">
        <v>71</v>
      </c>
      <c r="J142" s="11">
        <v>45.0</v>
      </c>
      <c r="K142" s="11" t="s">
        <v>74</v>
      </c>
      <c r="L142" s="15">
        <v>1.0</v>
      </c>
      <c r="M142" s="11" t="s">
        <v>77</v>
      </c>
      <c r="N142" s="11" t="str">
        <f t="shared" si="1"/>
        <v>Competitive</v>
      </c>
      <c r="O142" s="19" t="s">
        <v>282</v>
      </c>
      <c r="P142" s="21">
        <v>1.0</v>
      </c>
      <c r="Q142" s="11">
        <f t="shared" si="2"/>
        <v>5</v>
      </c>
      <c r="R142" s="11">
        <f t="shared" si="3"/>
        <v>3</v>
      </c>
      <c r="S142" s="21">
        <v>1.0</v>
      </c>
      <c r="T142" s="21">
        <v>1.0</v>
      </c>
      <c r="U142" s="21">
        <v>4.0</v>
      </c>
      <c r="V142" s="24">
        <f>ROUND((P142*'Scoring Model'!$C$4+Q142*'Scoring Model'!$C$5+R142*'Scoring Model'!$C$6+S142*'Scoring Model'!$C$7+T142*'Scoring Model'!$C$8+U142*'Scoring Model'!$C$9)/5*100,0)</f>
        <v>46</v>
      </c>
      <c r="W142" s="11" t="str">
        <f t="shared" si="4"/>
        <v>Low</v>
      </c>
      <c r="X142" s="11" t="s">
        <v>319</v>
      </c>
      <c r="Y142" s="11" t="s">
        <v>293</v>
      </c>
      <c r="Z142" s="19" t="s">
        <v>294</v>
      </c>
    </row>
    <row r="143" ht="15.75" customHeight="1">
      <c r="A143" s="25" t="s">
        <v>321</v>
      </c>
      <c r="B143" s="26" t="s">
        <v>56</v>
      </c>
      <c r="C143" s="26" t="s">
        <v>320</v>
      </c>
      <c r="D143" s="26" t="s">
        <v>320</v>
      </c>
      <c r="E143" s="26" t="s">
        <v>60</v>
      </c>
      <c r="F143" s="26" t="s">
        <v>61</v>
      </c>
      <c r="G143" s="26" t="s">
        <v>62</v>
      </c>
      <c r="H143" s="27">
        <v>60.0</v>
      </c>
      <c r="I143" s="26" t="s">
        <v>71</v>
      </c>
      <c r="J143" s="26">
        <v>24.0</v>
      </c>
      <c r="K143" s="26" t="s">
        <v>74</v>
      </c>
      <c r="L143" s="28">
        <v>6.2</v>
      </c>
      <c r="M143" s="26" t="s">
        <v>77</v>
      </c>
      <c r="N143" s="26" t="str">
        <f t="shared" si="1"/>
        <v>Moderate</v>
      </c>
      <c r="O143" s="29" t="s">
        <v>97</v>
      </c>
      <c r="P143" s="30">
        <v>4.0</v>
      </c>
      <c r="Q143" s="26">
        <f t="shared" si="2"/>
        <v>2</v>
      </c>
      <c r="R143" s="26">
        <f t="shared" si="3"/>
        <v>5</v>
      </c>
      <c r="S143" s="30">
        <v>5.0</v>
      </c>
      <c r="T143" s="30">
        <v>5.0</v>
      </c>
      <c r="U143" s="30">
        <v>4.0</v>
      </c>
      <c r="V143" s="31">
        <f>ROUND((P143*'Scoring Model'!$C$4+Q143*'Scoring Model'!$C$5+R143*'Scoring Model'!$C$6+S143*'Scoring Model'!$C$7+T143*'Scoring Model'!$C$8+U143*'Scoring Model'!$C$9)/5*100,0)</f>
        <v>84</v>
      </c>
      <c r="W143" s="26" t="str">
        <f t="shared" si="4"/>
        <v>High</v>
      </c>
      <c r="X143" s="26" t="s">
        <v>325</v>
      </c>
      <c r="Y143" s="26" t="s">
        <v>141</v>
      </c>
      <c r="Z143" s="29" t="s">
        <v>142</v>
      </c>
    </row>
    <row r="144" ht="15.75" customHeight="1">
      <c r="A144" s="9" t="s">
        <v>1107</v>
      </c>
      <c r="B144" s="11" t="s">
        <v>56</v>
      </c>
      <c r="C144" s="11" t="s">
        <v>320</v>
      </c>
      <c r="D144" s="11" t="s">
        <v>320</v>
      </c>
      <c r="E144" s="11" t="s">
        <v>60</v>
      </c>
      <c r="F144" s="11" t="s">
        <v>61</v>
      </c>
      <c r="G144" s="11" t="s">
        <v>150</v>
      </c>
      <c r="H144" s="14">
        <v>25.0</v>
      </c>
      <c r="I144" s="11" t="s">
        <v>71</v>
      </c>
      <c r="J144" s="11">
        <v>22.0</v>
      </c>
      <c r="K144" s="11" t="s">
        <v>74</v>
      </c>
      <c r="L144" s="15">
        <v>6.2</v>
      </c>
      <c r="M144" s="11" t="s">
        <v>77</v>
      </c>
      <c r="N144" s="11" t="str">
        <f t="shared" si="1"/>
        <v>Moderate</v>
      </c>
      <c r="O144" s="19" t="s">
        <v>97</v>
      </c>
      <c r="P144" s="21">
        <v>4.0</v>
      </c>
      <c r="Q144" s="11">
        <f t="shared" si="2"/>
        <v>1</v>
      </c>
      <c r="R144" s="11">
        <f t="shared" si="3"/>
        <v>5</v>
      </c>
      <c r="S144" s="21">
        <v>5.0</v>
      </c>
      <c r="T144" s="21">
        <v>5.0</v>
      </c>
      <c r="U144" s="21">
        <v>4.0</v>
      </c>
      <c r="V144" s="24">
        <f>ROUND((P144*'Scoring Model'!$C$4+Q144*'Scoring Model'!$C$5+R144*'Scoring Model'!$C$6+S144*'Scoring Model'!$C$7+T144*'Scoring Model'!$C$8+U144*'Scoring Model'!$C$9)/5*100,0)</f>
        <v>81</v>
      </c>
      <c r="W144" s="11" t="str">
        <f t="shared" si="4"/>
        <v>High</v>
      </c>
      <c r="X144" s="11" t="s">
        <v>325</v>
      </c>
      <c r="Y144" s="11" t="s">
        <v>141</v>
      </c>
      <c r="Z144" s="19" t="s">
        <v>142</v>
      </c>
    </row>
    <row r="145" ht="15.75" customHeight="1">
      <c r="A145" s="25" t="s">
        <v>1108</v>
      </c>
      <c r="B145" s="26" t="s">
        <v>173</v>
      </c>
      <c r="C145" s="26" t="s">
        <v>320</v>
      </c>
      <c r="D145" s="26" t="s">
        <v>320</v>
      </c>
      <c r="E145" s="26" t="s">
        <v>60</v>
      </c>
      <c r="F145" s="26" t="s">
        <v>61</v>
      </c>
      <c r="G145" s="26" t="s">
        <v>150</v>
      </c>
      <c r="H145" s="27">
        <v>90.0</v>
      </c>
      <c r="I145" s="26" t="s">
        <v>71</v>
      </c>
      <c r="J145" s="26">
        <v>30.0</v>
      </c>
      <c r="K145" s="26" t="s">
        <v>74</v>
      </c>
      <c r="L145" s="28">
        <v>6.51</v>
      </c>
      <c r="M145" s="26" t="s">
        <v>77</v>
      </c>
      <c r="N145" s="26" t="str">
        <f t="shared" si="1"/>
        <v>Moderate</v>
      </c>
      <c r="O145" s="29" t="s">
        <v>97</v>
      </c>
      <c r="P145" s="30">
        <v>4.0</v>
      </c>
      <c r="Q145" s="26">
        <f t="shared" si="2"/>
        <v>2</v>
      </c>
      <c r="R145" s="26">
        <f t="shared" si="3"/>
        <v>4</v>
      </c>
      <c r="S145" s="30">
        <v>5.0</v>
      </c>
      <c r="T145" s="30">
        <v>5.0</v>
      </c>
      <c r="U145" s="30">
        <v>4.0</v>
      </c>
      <c r="V145" s="31">
        <f>ROUND((P145*'Scoring Model'!$C$4+Q145*'Scoring Model'!$C$5+R145*'Scoring Model'!$C$6+S145*'Scoring Model'!$C$7+T145*'Scoring Model'!$C$8+U145*'Scoring Model'!$C$9)/5*100,0)</f>
        <v>80</v>
      </c>
      <c r="W145" s="26" t="str">
        <f t="shared" si="4"/>
        <v>High</v>
      </c>
      <c r="X145" s="26" t="s">
        <v>325</v>
      </c>
      <c r="Y145" s="26" t="s">
        <v>141</v>
      </c>
      <c r="Z145" s="29" t="s">
        <v>142</v>
      </c>
    </row>
    <row r="146" ht="15.75" customHeight="1">
      <c r="A146" s="9" t="s">
        <v>323</v>
      </c>
      <c r="B146" s="11" t="s">
        <v>280</v>
      </c>
      <c r="C146" s="11" t="s">
        <v>320</v>
      </c>
      <c r="D146" s="11" t="s">
        <v>326</v>
      </c>
      <c r="E146" s="11" t="s">
        <v>95</v>
      </c>
      <c r="F146" s="11" t="s">
        <v>100</v>
      </c>
      <c r="G146" s="11" t="s">
        <v>62</v>
      </c>
      <c r="H146" s="14">
        <v>130.0</v>
      </c>
      <c r="I146" s="11" t="s">
        <v>71</v>
      </c>
      <c r="J146" s="11">
        <v>10.0</v>
      </c>
      <c r="K146" s="11" t="s">
        <v>74</v>
      </c>
      <c r="L146" s="15">
        <v>1.55</v>
      </c>
      <c r="M146" s="11" t="s">
        <v>77</v>
      </c>
      <c r="N146" s="11" t="str">
        <f t="shared" si="1"/>
        <v>Easy</v>
      </c>
      <c r="O146" s="19" t="s">
        <v>282</v>
      </c>
      <c r="P146" s="21">
        <v>2.0</v>
      </c>
      <c r="Q146" s="11">
        <f t="shared" si="2"/>
        <v>2</v>
      </c>
      <c r="R146" s="11">
        <f t="shared" si="3"/>
        <v>5</v>
      </c>
      <c r="S146" s="21">
        <v>1.0</v>
      </c>
      <c r="T146" s="21">
        <v>1.0</v>
      </c>
      <c r="U146" s="21">
        <v>4.0</v>
      </c>
      <c r="V146" s="24">
        <f>ROUND((P146*'Scoring Model'!$C$4+Q146*'Scoring Model'!$C$5+R146*'Scoring Model'!$C$6+S146*'Scoring Model'!$C$7+T146*'Scoring Model'!$C$8+U146*'Scoring Model'!$C$9)/5*100,0)</f>
        <v>50</v>
      </c>
      <c r="W146" s="11" t="str">
        <f t="shared" si="4"/>
        <v>Low</v>
      </c>
      <c r="X146" s="11" t="s">
        <v>327</v>
      </c>
      <c r="Y146" s="11" t="s">
        <v>293</v>
      </c>
      <c r="Z146" s="19" t="s">
        <v>294</v>
      </c>
    </row>
    <row r="147" ht="15.75" customHeight="1">
      <c r="A147" s="25" t="s">
        <v>1109</v>
      </c>
      <c r="B147" s="26" t="s">
        <v>56</v>
      </c>
      <c r="C147" s="26" t="s">
        <v>320</v>
      </c>
      <c r="D147" s="26" t="s">
        <v>320</v>
      </c>
      <c r="E147" s="26" t="s">
        <v>60</v>
      </c>
      <c r="F147" s="26" t="s">
        <v>61</v>
      </c>
      <c r="G147" s="26" t="s">
        <v>150</v>
      </c>
      <c r="H147" s="27">
        <v>50.0</v>
      </c>
      <c r="I147" s="26" t="s">
        <v>71</v>
      </c>
      <c r="J147" s="26">
        <v>33.0</v>
      </c>
      <c r="K147" s="26" t="s">
        <v>74</v>
      </c>
      <c r="L147" s="28">
        <v>9.6</v>
      </c>
      <c r="M147" s="26" t="s">
        <v>77</v>
      </c>
      <c r="N147" s="26" t="str">
        <f t="shared" si="1"/>
        <v>Moderate</v>
      </c>
      <c r="O147" s="29" t="s">
        <v>97</v>
      </c>
      <c r="P147" s="30">
        <v>4.0</v>
      </c>
      <c r="Q147" s="26">
        <f t="shared" si="2"/>
        <v>2</v>
      </c>
      <c r="R147" s="26">
        <f t="shared" si="3"/>
        <v>4</v>
      </c>
      <c r="S147" s="30">
        <v>5.0</v>
      </c>
      <c r="T147" s="30">
        <v>5.0</v>
      </c>
      <c r="U147" s="30">
        <v>4.0</v>
      </c>
      <c r="V147" s="31">
        <f>ROUND((P147*'Scoring Model'!$C$4+Q147*'Scoring Model'!$C$5+R147*'Scoring Model'!$C$6+S147*'Scoring Model'!$C$7+T147*'Scoring Model'!$C$8+U147*'Scoring Model'!$C$9)/5*100,0)</f>
        <v>80</v>
      </c>
      <c r="W147" s="26" t="str">
        <f t="shared" si="4"/>
        <v>High</v>
      </c>
      <c r="X147" s="26" t="s">
        <v>325</v>
      </c>
      <c r="Y147" s="26" t="s">
        <v>141</v>
      </c>
      <c r="Z147" s="29" t="s">
        <v>303</v>
      </c>
    </row>
    <row r="148" ht="15.75" customHeight="1">
      <c r="A148" s="9" t="s">
        <v>1110</v>
      </c>
      <c r="B148" s="11" t="s">
        <v>652</v>
      </c>
      <c r="C148" s="11" t="s">
        <v>320</v>
      </c>
      <c r="D148" s="11" t="s">
        <v>320</v>
      </c>
      <c r="E148" s="11" t="s">
        <v>120</v>
      </c>
      <c r="F148" s="11" t="s">
        <v>191</v>
      </c>
      <c r="G148" s="11" t="s">
        <v>150</v>
      </c>
      <c r="H148" s="14">
        <v>210.0</v>
      </c>
      <c r="I148" s="11" t="s">
        <v>71</v>
      </c>
      <c r="J148" s="11">
        <v>20.0</v>
      </c>
      <c r="K148" s="11" t="s">
        <v>74</v>
      </c>
      <c r="L148" s="15">
        <v>2.0</v>
      </c>
      <c r="M148" s="11" t="s">
        <v>77</v>
      </c>
      <c r="N148" s="11" t="str">
        <f t="shared" si="1"/>
        <v>Easy</v>
      </c>
      <c r="O148" s="19" t="s">
        <v>282</v>
      </c>
      <c r="P148" s="21">
        <v>3.0</v>
      </c>
      <c r="Q148" s="11">
        <f t="shared" si="2"/>
        <v>3</v>
      </c>
      <c r="R148" s="11">
        <f t="shared" si="3"/>
        <v>5</v>
      </c>
      <c r="S148" s="21">
        <v>3.0</v>
      </c>
      <c r="T148" s="21">
        <v>3.0</v>
      </c>
      <c r="U148" s="21">
        <v>4.0</v>
      </c>
      <c r="V148" s="24">
        <f>ROUND((P148*'Scoring Model'!$C$4+Q148*'Scoring Model'!$C$5+R148*'Scoring Model'!$C$6+S148*'Scoring Model'!$C$7+T148*'Scoring Model'!$C$8+U148*'Scoring Model'!$C$9)/5*100,0)</f>
        <v>70</v>
      </c>
      <c r="W148" s="11" t="str">
        <f t="shared" si="4"/>
        <v>Medium</v>
      </c>
      <c r="X148" s="11" t="s">
        <v>325</v>
      </c>
      <c r="Y148" s="11" t="s">
        <v>141</v>
      </c>
      <c r="Z148" s="19" t="s">
        <v>249</v>
      </c>
    </row>
    <row r="149" ht="15.75" customHeight="1">
      <c r="A149" s="25" t="s">
        <v>330</v>
      </c>
      <c r="B149" s="26" t="s">
        <v>56</v>
      </c>
      <c r="C149" s="26" t="s">
        <v>329</v>
      </c>
      <c r="D149" s="26" t="s">
        <v>329</v>
      </c>
      <c r="E149" s="26" t="s">
        <v>60</v>
      </c>
      <c r="F149" s="26" t="s">
        <v>61</v>
      </c>
      <c r="G149" s="26" t="s">
        <v>62</v>
      </c>
      <c r="H149" s="27">
        <v>50.0</v>
      </c>
      <c r="I149" s="26" t="s">
        <v>71</v>
      </c>
      <c r="J149" s="26">
        <v>15.0</v>
      </c>
      <c r="K149" s="26" t="s">
        <v>74</v>
      </c>
      <c r="L149" s="28">
        <v>2.8</v>
      </c>
      <c r="M149" s="26" t="s">
        <v>77</v>
      </c>
      <c r="N149" s="26" t="str">
        <f t="shared" si="1"/>
        <v>Easy</v>
      </c>
      <c r="O149" s="29" t="s">
        <v>97</v>
      </c>
      <c r="P149" s="30">
        <v>2.0</v>
      </c>
      <c r="Q149" s="26">
        <f t="shared" si="2"/>
        <v>2</v>
      </c>
      <c r="R149" s="26">
        <f t="shared" si="3"/>
        <v>5</v>
      </c>
      <c r="S149" s="30">
        <v>5.0</v>
      </c>
      <c r="T149" s="30">
        <v>5.0</v>
      </c>
      <c r="U149" s="30">
        <v>3.0</v>
      </c>
      <c r="V149" s="31">
        <f>ROUND((P149*'Scoring Model'!$C$4+Q149*'Scoring Model'!$C$5+R149*'Scoring Model'!$C$6+S149*'Scoring Model'!$C$7+T149*'Scoring Model'!$C$8+U149*'Scoring Model'!$C$9)/5*100,0)</f>
        <v>72</v>
      </c>
      <c r="W149" s="26" t="str">
        <f t="shared" si="4"/>
        <v>Medium</v>
      </c>
      <c r="X149" s="26" t="s">
        <v>333</v>
      </c>
      <c r="Y149" s="26" t="s">
        <v>141</v>
      </c>
      <c r="Z149" s="29" t="s">
        <v>142</v>
      </c>
    </row>
    <row r="150" ht="15.75" customHeight="1">
      <c r="A150" s="9" t="s">
        <v>335</v>
      </c>
      <c r="B150" s="11" t="s">
        <v>280</v>
      </c>
      <c r="C150" s="11" t="s">
        <v>329</v>
      </c>
      <c r="D150" s="11" t="s">
        <v>334</v>
      </c>
      <c r="E150" s="11" t="s">
        <v>95</v>
      </c>
      <c r="F150" s="11" t="s">
        <v>100</v>
      </c>
      <c r="G150" s="11" t="s">
        <v>62</v>
      </c>
      <c r="H150" s="14">
        <v>110.0</v>
      </c>
      <c r="I150" s="11" t="s">
        <v>71</v>
      </c>
      <c r="J150" s="11">
        <v>8.0</v>
      </c>
      <c r="K150" s="11" t="s">
        <v>74</v>
      </c>
      <c r="L150" s="15">
        <v>0.7</v>
      </c>
      <c r="M150" s="11" t="s">
        <v>77</v>
      </c>
      <c r="N150" s="11" t="str">
        <f t="shared" si="1"/>
        <v>Easy</v>
      </c>
      <c r="O150" s="19" t="s">
        <v>282</v>
      </c>
      <c r="P150" s="21">
        <v>1.0</v>
      </c>
      <c r="Q150" s="11">
        <f t="shared" si="2"/>
        <v>2</v>
      </c>
      <c r="R150" s="11">
        <f t="shared" si="3"/>
        <v>5</v>
      </c>
      <c r="S150" s="21">
        <v>1.0</v>
      </c>
      <c r="T150" s="21">
        <v>1.0</v>
      </c>
      <c r="U150" s="21">
        <v>3.0</v>
      </c>
      <c r="V150" s="24">
        <f>ROUND((P150*'Scoring Model'!$C$4+Q150*'Scoring Model'!$C$5+R150*'Scoring Model'!$C$6+S150*'Scoring Model'!$C$7+T150*'Scoring Model'!$C$8+U150*'Scoring Model'!$C$9)/5*100,0)</f>
        <v>43</v>
      </c>
      <c r="W150" s="11" t="str">
        <f t="shared" si="4"/>
        <v>Low</v>
      </c>
      <c r="X150" s="11" t="s">
        <v>337</v>
      </c>
      <c r="Y150" s="11" t="s">
        <v>293</v>
      </c>
      <c r="Z150" s="19" t="s">
        <v>294</v>
      </c>
    </row>
    <row r="151" ht="15.75" customHeight="1">
      <c r="A151" s="25" t="s">
        <v>616</v>
      </c>
      <c r="B151" s="26" t="s">
        <v>280</v>
      </c>
      <c r="C151" s="26" t="s">
        <v>329</v>
      </c>
      <c r="D151" s="26" t="s">
        <v>334</v>
      </c>
      <c r="E151" s="26" t="s">
        <v>95</v>
      </c>
      <c r="F151" s="26" t="s">
        <v>100</v>
      </c>
      <c r="G151" s="26" t="s">
        <v>150</v>
      </c>
      <c r="H151" s="27">
        <v>1900.0</v>
      </c>
      <c r="I151" s="26" t="s">
        <v>71</v>
      </c>
      <c r="J151" s="26">
        <v>36.0</v>
      </c>
      <c r="K151" s="26" t="s">
        <v>74</v>
      </c>
      <c r="L151" s="28">
        <v>1.0</v>
      </c>
      <c r="M151" s="26" t="s">
        <v>77</v>
      </c>
      <c r="N151" s="26" t="str">
        <f t="shared" si="1"/>
        <v>Moderate</v>
      </c>
      <c r="O151" s="29" t="s">
        <v>282</v>
      </c>
      <c r="P151" s="30">
        <v>1.0</v>
      </c>
      <c r="Q151" s="26">
        <f t="shared" si="2"/>
        <v>5</v>
      </c>
      <c r="R151" s="26">
        <f t="shared" si="3"/>
        <v>4</v>
      </c>
      <c r="S151" s="30">
        <v>1.0</v>
      </c>
      <c r="T151" s="30">
        <v>1.0</v>
      </c>
      <c r="U151" s="30">
        <v>3.0</v>
      </c>
      <c r="V151" s="31">
        <f>ROUND((P151*'Scoring Model'!$C$4+Q151*'Scoring Model'!$C$5+R151*'Scoring Model'!$C$6+S151*'Scoring Model'!$C$7+T151*'Scoring Model'!$C$8+U151*'Scoring Model'!$C$9)/5*100,0)</f>
        <v>48</v>
      </c>
      <c r="W151" s="26" t="str">
        <f t="shared" si="4"/>
        <v>Low</v>
      </c>
      <c r="X151" s="26" t="s">
        <v>337</v>
      </c>
      <c r="Y151" s="26" t="s">
        <v>293</v>
      </c>
      <c r="Z151" s="29" t="s">
        <v>294</v>
      </c>
    </row>
    <row r="152" ht="15.75" customHeight="1">
      <c r="A152" s="9" t="s">
        <v>1111</v>
      </c>
      <c r="B152" s="11" t="s">
        <v>280</v>
      </c>
      <c r="C152" s="11" t="s">
        <v>329</v>
      </c>
      <c r="D152" s="11" t="s">
        <v>334</v>
      </c>
      <c r="E152" s="11" t="s">
        <v>95</v>
      </c>
      <c r="F152" s="11" t="s">
        <v>100</v>
      </c>
      <c r="G152" s="11" t="s">
        <v>150</v>
      </c>
      <c r="H152" s="14">
        <v>1600.0</v>
      </c>
      <c r="I152" s="11" t="s">
        <v>71</v>
      </c>
      <c r="J152" s="11">
        <v>27.0</v>
      </c>
      <c r="K152" s="11" t="s">
        <v>74</v>
      </c>
      <c r="L152" s="15">
        <v>1.1</v>
      </c>
      <c r="M152" s="11" t="s">
        <v>77</v>
      </c>
      <c r="N152" s="11" t="str">
        <f t="shared" si="1"/>
        <v>Moderate</v>
      </c>
      <c r="O152" s="19" t="s">
        <v>282</v>
      </c>
      <c r="P152" s="21">
        <v>1.0</v>
      </c>
      <c r="Q152" s="11">
        <f t="shared" si="2"/>
        <v>5</v>
      </c>
      <c r="R152" s="11">
        <f t="shared" si="3"/>
        <v>4</v>
      </c>
      <c r="S152" s="21">
        <v>1.0</v>
      </c>
      <c r="T152" s="21">
        <v>1.0</v>
      </c>
      <c r="U152" s="21">
        <v>3.0</v>
      </c>
      <c r="V152" s="24">
        <f>ROUND((P152*'Scoring Model'!$C$4+Q152*'Scoring Model'!$C$5+R152*'Scoring Model'!$C$6+S152*'Scoring Model'!$C$7+T152*'Scoring Model'!$C$8+U152*'Scoring Model'!$C$9)/5*100,0)</f>
        <v>48</v>
      </c>
      <c r="W152" s="11" t="str">
        <f t="shared" si="4"/>
        <v>Low</v>
      </c>
      <c r="X152" s="11" t="s">
        <v>337</v>
      </c>
      <c r="Y152" s="11" t="s">
        <v>293</v>
      </c>
      <c r="Z152" s="19" t="s">
        <v>294</v>
      </c>
    </row>
    <row r="153" ht="15.75" customHeight="1">
      <c r="A153" s="25" t="s">
        <v>340</v>
      </c>
      <c r="B153" s="26" t="s">
        <v>56</v>
      </c>
      <c r="C153" s="26" t="s">
        <v>339</v>
      </c>
      <c r="D153" s="26" t="s">
        <v>339</v>
      </c>
      <c r="E153" s="26" t="s">
        <v>60</v>
      </c>
      <c r="F153" s="26" t="s">
        <v>61</v>
      </c>
      <c r="G153" s="26" t="s">
        <v>62</v>
      </c>
      <c r="H153" s="27">
        <v>30.0</v>
      </c>
      <c r="I153" s="26" t="s">
        <v>71</v>
      </c>
      <c r="J153" s="26">
        <v>14.0</v>
      </c>
      <c r="K153" s="26" t="s">
        <v>74</v>
      </c>
      <c r="L153" s="28">
        <v>3.4</v>
      </c>
      <c r="M153" s="26" t="s">
        <v>77</v>
      </c>
      <c r="N153" s="26" t="str">
        <f t="shared" si="1"/>
        <v>Easy</v>
      </c>
      <c r="O153" s="29" t="s">
        <v>97</v>
      </c>
      <c r="P153" s="30">
        <v>2.0</v>
      </c>
      <c r="Q153" s="26">
        <f t="shared" si="2"/>
        <v>1</v>
      </c>
      <c r="R153" s="26">
        <f t="shared" si="3"/>
        <v>5</v>
      </c>
      <c r="S153" s="30">
        <v>5.0</v>
      </c>
      <c r="T153" s="30">
        <v>5.0</v>
      </c>
      <c r="U153" s="30">
        <v>3.0</v>
      </c>
      <c r="V153" s="31">
        <f>ROUND((P153*'Scoring Model'!$C$4+Q153*'Scoring Model'!$C$5+R153*'Scoring Model'!$C$6+S153*'Scoring Model'!$C$7+T153*'Scoring Model'!$C$8+U153*'Scoring Model'!$C$9)/5*100,0)</f>
        <v>69</v>
      </c>
      <c r="W153" s="26" t="str">
        <f t="shared" si="4"/>
        <v>Medium</v>
      </c>
      <c r="X153" s="26" t="s">
        <v>344</v>
      </c>
      <c r="Y153" s="26" t="s">
        <v>141</v>
      </c>
      <c r="Z153" s="29" t="s">
        <v>142</v>
      </c>
    </row>
    <row r="154" ht="15.75" customHeight="1">
      <c r="A154" s="9" t="s">
        <v>346</v>
      </c>
      <c r="B154" s="11" t="s">
        <v>280</v>
      </c>
      <c r="C154" s="11" t="s">
        <v>339</v>
      </c>
      <c r="D154" s="11" t="s">
        <v>345</v>
      </c>
      <c r="E154" s="11" t="s">
        <v>95</v>
      </c>
      <c r="F154" s="11" t="s">
        <v>100</v>
      </c>
      <c r="G154" s="11" t="s">
        <v>62</v>
      </c>
      <c r="H154" s="14">
        <v>90.0</v>
      </c>
      <c r="I154" s="11" t="s">
        <v>71</v>
      </c>
      <c r="J154" s="11">
        <v>8.0</v>
      </c>
      <c r="K154" s="11" t="s">
        <v>74</v>
      </c>
      <c r="L154" s="15">
        <v>0.85</v>
      </c>
      <c r="M154" s="11" t="s">
        <v>77</v>
      </c>
      <c r="N154" s="11" t="str">
        <f t="shared" si="1"/>
        <v>Easy</v>
      </c>
      <c r="O154" s="19" t="s">
        <v>282</v>
      </c>
      <c r="P154" s="21">
        <v>1.0</v>
      </c>
      <c r="Q154" s="11">
        <f t="shared" si="2"/>
        <v>2</v>
      </c>
      <c r="R154" s="11">
        <f t="shared" si="3"/>
        <v>5</v>
      </c>
      <c r="S154" s="21">
        <v>1.0</v>
      </c>
      <c r="T154" s="21">
        <v>1.0</v>
      </c>
      <c r="U154" s="21">
        <v>3.0</v>
      </c>
      <c r="V154" s="24">
        <f>ROUND((P154*'Scoring Model'!$C$4+Q154*'Scoring Model'!$C$5+R154*'Scoring Model'!$C$6+S154*'Scoring Model'!$C$7+T154*'Scoring Model'!$C$8+U154*'Scoring Model'!$C$9)/5*100,0)</f>
        <v>43</v>
      </c>
      <c r="W154" s="11" t="str">
        <f t="shared" si="4"/>
        <v>Low</v>
      </c>
      <c r="X154" s="11" t="s">
        <v>348</v>
      </c>
      <c r="Y154" s="11" t="s">
        <v>293</v>
      </c>
      <c r="Z154" s="19" t="s">
        <v>294</v>
      </c>
    </row>
    <row r="155" ht="15.75" customHeight="1">
      <c r="A155" s="25" t="s">
        <v>341</v>
      </c>
      <c r="B155" s="26" t="s">
        <v>652</v>
      </c>
      <c r="C155" s="26" t="s">
        <v>339</v>
      </c>
      <c r="D155" s="26" t="s">
        <v>339</v>
      </c>
      <c r="E155" s="26" t="s">
        <v>120</v>
      </c>
      <c r="F155" s="26" t="s">
        <v>191</v>
      </c>
      <c r="G155" s="26" t="s">
        <v>150</v>
      </c>
      <c r="H155" s="27">
        <v>140.0</v>
      </c>
      <c r="I155" s="26" t="s">
        <v>71</v>
      </c>
      <c r="J155" s="26">
        <v>18.0</v>
      </c>
      <c r="K155" s="26" t="s">
        <v>74</v>
      </c>
      <c r="L155" s="28">
        <v>2.4</v>
      </c>
      <c r="M155" s="26" t="s">
        <v>77</v>
      </c>
      <c r="N155" s="26" t="str">
        <f t="shared" si="1"/>
        <v>Easy</v>
      </c>
      <c r="O155" s="29" t="s">
        <v>282</v>
      </c>
      <c r="P155" s="30">
        <v>2.0</v>
      </c>
      <c r="Q155" s="26">
        <f t="shared" si="2"/>
        <v>2</v>
      </c>
      <c r="R155" s="26">
        <f t="shared" si="3"/>
        <v>5</v>
      </c>
      <c r="S155" s="30">
        <v>3.0</v>
      </c>
      <c r="T155" s="30">
        <v>3.0</v>
      </c>
      <c r="U155" s="30">
        <v>3.0</v>
      </c>
      <c r="V155" s="31">
        <f>ROUND((P155*'Scoring Model'!$C$4+Q155*'Scoring Model'!$C$5+R155*'Scoring Model'!$C$6+S155*'Scoring Model'!$C$7+T155*'Scoring Model'!$C$8+U155*'Scoring Model'!$C$9)/5*100,0)</f>
        <v>60</v>
      </c>
      <c r="W155" s="26" t="str">
        <f t="shared" si="4"/>
        <v>Medium</v>
      </c>
      <c r="X155" s="26" t="s">
        <v>344</v>
      </c>
      <c r="Y155" s="26" t="s">
        <v>141</v>
      </c>
      <c r="Z155" s="29" t="s">
        <v>249</v>
      </c>
    </row>
    <row r="156" ht="15.75" customHeight="1">
      <c r="A156" s="9" t="s">
        <v>347</v>
      </c>
      <c r="B156" s="11" t="s">
        <v>280</v>
      </c>
      <c r="C156" s="11" t="s">
        <v>339</v>
      </c>
      <c r="D156" s="11" t="s">
        <v>345</v>
      </c>
      <c r="E156" s="11" t="s">
        <v>95</v>
      </c>
      <c r="F156" s="11" t="s">
        <v>100</v>
      </c>
      <c r="G156" s="11" t="s">
        <v>150</v>
      </c>
      <c r="H156" s="14">
        <v>90.0</v>
      </c>
      <c r="I156" s="11" t="s">
        <v>71</v>
      </c>
      <c r="J156" s="11">
        <v>16.0</v>
      </c>
      <c r="K156" s="11" t="s">
        <v>74</v>
      </c>
      <c r="L156" s="15">
        <v>2.6</v>
      </c>
      <c r="M156" s="11" t="s">
        <v>77</v>
      </c>
      <c r="N156" s="11" t="str">
        <f t="shared" si="1"/>
        <v>Easy</v>
      </c>
      <c r="O156" s="19" t="s">
        <v>282</v>
      </c>
      <c r="P156" s="21">
        <v>1.0</v>
      </c>
      <c r="Q156" s="11">
        <f t="shared" si="2"/>
        <v>2</v>
      </c>
      <c r="R156" s="11">
        <f t="shared" si="3"/>
        <v>5</v>
      </c>
      <c r="S156" s="21">
        <v>1.0</v>
      </c>
      <c r="T156" s="21">
        <v>1.0</v>
      </c>
      <c r="U156" s="21">
        <v>3.0</v>
      </c>
      <c r="V156" s="24">
        <f>ROUND((P156*'Scoring Model'!$C$4+Q156*'Scoring Model'!$C$5+R156*'Scoring Model'!$C$6+S156*'Scoring Model'!$C$7+T156*'Scoring Model'!$C$8+U156*'Scoring Model'!$C$9)/5*100,0)</f>
        <v>43</v>
      </c>
      <c r="W156" s="11" t="str">
        <f t="shared" si="4"/>
        <v>Low</v>
      </c>
      <c r="X156" s="11" t="s">
        <v>348</v>
      </c>
      <c r="Y156" s="11" t="s">
        <v>293</v>
      </c>
      <c r="Z156" s="19" t="s">
        <v>294</v>
      </c>
    </row>
    <row r="157" ht="15.75" customHeight="1">
      <c r="A157" s="25" t="s">
        <v>350</v>
      </c>
      <c r="B157" s="26" t="s">
        <v>56</v>
      </c>
      <c r="C157" s="26" t="s">
        <v>349</v>
      </c>
      <c r="D157" s="26" t="s">
        <v>349</v>
      </c>
      <c r="E157" s="26" t="s">
        <v>60</v>
      </c>
      <c r="F157" s="26" t="s">
        <v>61</v>
      </c>
      <c r="G157" s="26" t="s">
        <v>62</v>
      </c>
      <c r="H157" s="27">
        <v>20.0</v>
      </c>
      <c r="I157" s="26" t="s">
        <v>71</v>
      </c>
      <c r="J157" s="26">
        <v>12.0</v>
      </c>
      <c r="K157" s="26" t="s">
        <v>74</v>
      </c>
      <c r="L157" s="28">
        <v>2.2</v>
      </c>
      <c r="M157" s="26" t="s">
        <v>77</v>
      </c>
      <c r="N157" s="26" t="str">
        <f t="shared" si="1"/>
        <v>Easy</v>
      </c>
      <c r="O157" s="29" t="s">
        <v>97</v>
      </c>
      <c r="P157" s="30">
        <v>1.0</v>
      </c>
      <c r="Q157" s="26">
        <f t="shared" si="2"/>
        <v>1</v>
      </c>
      <c r="R157" s="26">
        <f t="shared" si="3"/>
        <v>5</v>
      </c>
      <c r="S157" s="30">
        <v>5.0</v>
      </c>
      <c r="T157" s="30">
        <v>5.0</v>
      </c>
      <c r="U157" s="30">
        <v>3.0</v>
      </c>
      <c r="V157" s="31">
        <f>ROUND((P157*'Scoring Model'!$C$4+Q157*'Scoring Model'!$C$5+R157*'Scoring Model'!$C$6+S157*'Scoring Model'!$C$7+T157*'Scoring Model'!$C$8+U157*'Scoring Model'!$C$9)/5*100,0)</f>
        <v>64</v>
      </c>
      <c r="W157" s="26" t="str">
        <f t="shared" si="4"/>
        <v>Medium</v>
      </c>
      <c r="X157" s="26" t="s">
        <v>354</v>
      </c>
      <c r="Y157" s="26" t="s">
        <v>635</v>
      </c>
      <c r="Z157" s="29" t="s">
        <v>1112</v>
      </c>
    </row>
    <row r="158" ht="15.75" customHeight="1">
      <c r="A158" s="9" t="s">
        <v>356</v>
      </c>
      <c r="B158" s="11" t="s">
        <v>280</v>
      </c>
      <c r="C158" s="11" t="s">
        <v>349</v>
      </c>
      <c r="D158" s="11" t="s">
        <v>355</v>
      </c>
      <c r="E158" s="11" t="s">
        <v>95</v>
      </c>
      <c r="F158" s="11" t="s">
        <v>100</v>
      </c>
      <c r="G158" s="11" t="s">
        <v>62</v>
      </c>
      <c r="H158" s="14">
        <v>40.0</v>
      </c>
      <c r="I158" s="11" t="s">
        <v>71</v>
      </c>
      <c r="J158" s="11">
        <v>14.0</v>
      </c>
      <c r="K158" s="11" t="s">
        <v>74</v>
      </c>
      <c r="L158" s="15">
        <v>1.9</v>
      </c>
      <c r="M158" s="11" t="s">
        <v>77</v>
      </c>
      <c r="N158" s="11" t="str">
        <f t="shared" si="1"/>
        <v>Easy</v>
      </c>
      <c r="O158" s="19" t="s">
        <v>282</v>
      </c>
      <c r="P158" s="21">
        <v>1.0</v>
      </c>
      <c r="Q158" s="11">
        <f t="shared" si="2"/>
        <v>1</v>
      </c>
      <c r="R158" s="11">
        <f t="shared" si="3"/>
        <v>5</v>
      </c>
      <c r="S158" s="21">
        <v>1.0</v>
      </c>
      <c r="T158" s="21">
        <v>1.0</v>
      </c>
      <c r="U158" s="21">
        <v>3.0</v>
      </c>
      <c r="V158" s="24">
        <f>ROUND((P158*'Scoring Model'!$C$4+Q158*'Scoring Model'!$C$5+R158*'Scoring Model'!$C$6+S158*'Scoring Model'!$C$7+T158*'Scoring Model'!$C$8+U158*'Scoring Model'!$C$9)/5*100,0)</f>
        <v>40</v>
      </c>
      <c r="W158" s="11" t="str">
        <f t="shared" si="4"/>
        <v>Low</v>
      </c>
      <c r="X158" s="11" t="s">
        <v>358</v>
      </c>
      <c r="Y158" s="11" t="s">
        <v>293</v>
      </c>
      <c r="Z158" s="19" t="s">
        <v>1112</v>
      </c>
    </row>
    <row r="159" ht="15.75" customHeight="1">
      <c r="A159" s="25" t="s">
        <v>357</v>
      </c>
      <c r="B159" s="26" t="s">
        <v>280</v>
      </c>
      <c r="C159" s="26" t="s">
        <v>349</v>
      </c>
      <c r="D159" s="26" t="s">
        <v>355</v>
      </c>
      <c r="E159" s="26" t="s">
        <v>95</v>
      </c>
      <c r="F159" s="26" t="s">
        <v>100</v>
      </c>
      <c r="G159" s="26" t="s">
        <v>150</v>
      </c>
      <c r="H159" s="27">
        <v>170.0</v>
      </c>
      <c r="I159" s="26" t="s">
        <v>71</v>
      </c>
      <c r="J159" s="26">
        <v>15.0</v>
      </c>
      <c r="K159" s="26" t="s">
        <v>74</v>
      </c>
      <c r="L159" s="28">
        <v>1.1</v>
      </c>
      <c r="M159" s="26" t="s">
        <v>77</v>
      </c>
      <c r="N159" s="26" t="str">
        <f t="shared" si="1"/>
        <v>Easy</v>
      </c>
      <c r="O159" s="29" t="s">
        <v>282</v>
      </c>
      <c r="P159" s="30">
        <v>1.0</v>
      </c>
      <c r="Q159" s="26">
        <f t="shared" si="2"/>
        <v>3</v>
      </c>
      <c r="R159" s="26">
        <f t="shared" si="3"/>
        <v>5</v>
      </c>
      <c r="S159" s="30">
        <v>1.0</v>
      </c>
      <c r="T159" s="30">
        <v>1.0</v>
      </c>
      <c r="U159" s="30">
        <v>3.0</v>
      </c>
      <c r="V159" s="31">
        <f>ROUND((P159*'Scoring Model'!$C$4+Q159*'Scoring Model'!$C$5+R159*'Scoring Model'!$C$6+S159*'Scoring Model'!$C$7+T159*'Scoring Model'!$C$8+U159*'Scoring Model'!$C$9)/5*100,0)</f>
        <v>46</v>
      </c>
      <c r="W159" s="26" t="str">
        <f t="shared" si="4"/>
        <v>Low</v>
      </c>
      <c r="X159" s="26" t="s">
        <v>358</v>
      </c>
      <c r="Y159" s="26" t="s">
        <v>293</v>
      </c>
      <c r="Z159" s="29" t="s">
        <v>1112</v>
      </c>
    </row>
    <row r="160" ht="15.75" customHeight="1">
      <c r="A160" s="9" t="s">
        <v>365</v>
      </c>
      <c r="B160" s="11" t="s">
        <v>56</v>
      </c>
      <c r="C160" s="11" t="s">
        <v>363</v>
      </c>
      <c r="D160" s="11" t="s">
        <v>363</v>
      </c>
      <c r="E160" s="11" t="s">
        <v>60</v>
      </c>
      <c r="F160" s="11" t="s">
        <v>61</v>
      </c>
      <c r="G160" s="11" t="s">
        <v>62</v>
      </c>
      <c r="H160" s="14">
        <v>210.0</v>
      </c>
      <c r="I160" s="11" t="s">
        <v>71</v>
      </c>
      <c r="J160" s="11">
        <v>36.0</v>
      </c>
      <c r="K160" s="11" t="s">
        <v>74</v>
      </c>
      <c r="L160" s="15">
        <v>9.1</v>
      </c>
      <c r="M160" s="11" t="s">
        <v>77</v>
      </c>
      <c r="N160" s="11" t="str">
        <f t="shared" si="1"/>
        <v>Moderate</v>
      </c>
      <c r="O160" s="19" t="s">
        <v>97</v>
      </c>
      <c r="P160" s="21">
        <v>5.0</v>
      </c>
      <c r="Q160" s="11">
        <f t="shared" si="2"/>
        <v>3</v>
      </c>
      <c r="R160" s="11">
        <f t="shared" si="3"/>
        <v>4</v>
      </c>
      <c r="S160" s="21">
        <v>5.0</v>
      </c>
      <c r="T160" s="21">
        <v>5.0</v>
      </c>
      <c r="U160" s="21">
        <v>4.0</v>
      </c>
      <c r="V160" s="24">
        <f>ROUND((P160*'Scoring Model'!$C$4+Q160*'Scoring Model'!$C$5+R160*'Scoring Model'!$C$6+S160*'Scoring Model'!$C$7+T160*'Scoring Model'!$C$8+U160*'Scoring Model'!$C$9)/5*100,0)</f>
        <v>88</v>
      </c>
      <c r="W160" s="11" t="str">
        <f t="shared" si="4"/>
        <v>High</v>
      </c>
      <c r="X160" s="11" t="s">
        <v>369</v>
      </c>
      <c r="Y160" s="11" t="s">
        <v>141</v>
      </c>
      <c r="Z160" s="19" t="s">
        <v>142</v>
      </c>
    </row>
    <row r="161" ht="15.75" customHeight="1">
      <c r="A161" s="25" t="s">
        <v>366</v>
      </c>
      <c r="B161" s="26" t="s">
        <v>173</v>
      </c>
      <c r="C161" s="26" t="s">
        <v>363</v>
      </c>
      <c r="D161" s="26" t="s">
        <v>363</v>
      </c>
      <c r="E161" s="26" t="s">
        <v>60</v>
      </c>
      <c r="F161" s="26" t="s">
        <v>61</v>
      </c>
      <c r="G161" s="26" t="s">
        <v>150</v>
      </c>
      <c r="H161" s="27">
        <v>320.0</v>
      </c>
      <c r="I161" s="26" t="s">
        <v>71</v>
      </c>
      <c r="J161" s="26">
        <v>42.0</v>
      </c>
      <c r="K161" s="26" t="s">
        <v>74</v>
      </c>
      <c r="L161" s="28">
        <v>9.55</v>
      </c>
      <c r="M161" s="26" t="s">
        <v>77</v>
      </c>
      <c r="N161" s="26" t="str">
        <f t="shared" si="1"/>
        <v>Competitive</v>
      </c>
      <c r="O161" s="29" t="s">
        <v>97</v>
      </c>
      <c r="P161" s="30">
        <v>5.0</v>
      </c>
      <c r="Q161" s="26">
        <f t="shared" si="2"/>
        <v>3</v>
      </c>
      <c r="R161" s="26">
        <f t="shared" si="3"/>
        <v>3</v>
      </c>
      <c r="S161" s="30">
        <v>5.0</v>
      </c>
      <c r="T161" s="30">
        <v>5.0</v>
      </c>
      <c r="U161" s="30">
        <v>4.0</v>
      </c>
      <c r="V161" s="31">
        <f>ROUND((P161*'Scoring Model'!$C$4+Q161*'Scoring Model'!$C$5+R161*'Scoring Model'!$C$6+S161*'Scoring Model'!$C$7+T161*'Scoring Model'!$C$8+U161*'Scoring Model'!$C$9)/5*100,0)</f>
        <v>84</v>
      </c>
      <c r="W161" s="26" t="str">
        <f t="shared" si="4"/>
        <v>High</v>
      </c>
      <c r="X161" s="26" t="s">
        <v>369</v>
      </c>
      <c r="Y161" s="26" t="s">
        <v>141</v>
      </c>
      <c r="Z161" s="29" t="s">
        <v>142</v>
      </c>
    </row>
    <row r="162" ht="15.75" customHeight="1">
      <c r="A162" s="9" t="s">
        <v>374</v>
      </c>
      <c r="B162" s="11" t="s">
        <v>371</v>
      </c>
      <c r="C162" s="11" t="s">
        <v>363</v>
      </c>
      <c r="D162" s="11" t="s">
        <v>373</v>
      </c>
      <c r="E162" s="11" t="s">
        <v>95</v>
      </c>
      <c r="F162" s="11" t="s">
        <v>100</v>
      </c>
      <c r="G162" s="11" t="s">
        <v>62</v>
      </c>
      <c r="H162" s="14">
        <v>2900.0</v>
      </c>
      <c r="I162" s="11" t="s">
        <v>71</v>
      </c>
      <c r="J162" s="11">
        <v>41.0</v>
      </c>
      <c r="K162" s="11" t="s">
        <v>74</v>
      </c>
      <c r="L162" s="15">
        <v>1.7</v>
      </c>
      <c r="M162" s="11" t="s">
        <v>77</v>
      </c>
      <c r="N162" s="11" t="str">
        <f t="shared" si="1"/>
        <v>Competitive</v>
      </c>
      <c r="O162" s="19" t="s">
        <v>282</v>
      </c>
      <c r="P162" s="21">
        <v>3.0</v>
      </c>
      <c r="Q162" s="11">
        <f t="shared" si="2"/>
        <v>5</v>
      </c>
      <c r="R162" s="11">
        <f t="shared" si="3"/>
        <v>3</v>
      </c>
      <c r="S162" s="21">
        <v>2.0</v>
      </c>
      <c r="T162" s="21">
        <v>2.0</v>
      </c>
      <c r="U162" s="21">
        <v>4.0</v>
      </c>
      <c r="V162" s="24">
        <f>ROUND((P162*'Scoring Model'!$C$4+Q162*'Scoring Model'!$C$5+R162*'Scoring Model'!$C$6+S162*'Scoring Model'!$C$7+T162*'Scoring Model'!$C$8+U162*'Scoring Model'!$C$9)/5*100,0)</f>
        <v>62</v>
      </c>
      <c r="W162" s="11" t="str">
        <f t="shared" si="4"/>
        <v>Medium</v>
      </c>
      <c r="X162" s="11" t="s">
        <v>378</v>
      </c>
      <c r="Y162" s="11" t="s">
        <v>293</v>
      </c>
      <c r="Z162" s="19" t="s">
        <v>294</v>
      </c>
    </row>
    <row r="163" ht="15.75" customHeight="1">
      <c r="A163" s="25" t="s">
        <v>640</v>
      </c>
      <c r="B163" s="26" t="s">
        <v>371</v>
      </c>
      <c r="C163" s="26" t="s">
        <v>363</v>
      </c>
      <c r="D163" s="26" t="s">
        <v>373</v>
      </c>
      <c r="E163" s="26" t="s">
        <v>95</v>
      </c>
      <c r="F163" s="26" t="s">
        <v>100</v>
      </c>
      <c r="G163" s="26" t="s">
        <v>150</v>
      </c>
      <c r="H163" s="27">
        <v>1600.0</v>
      </c>
      <c r="I163" s="26" t="s">
        <v>71</v>
      </c>
      <c r="J163" s="26">
        <v>32.0</v>
      </c>
      <c r="K163" s="26" t="s">
        <v>74</v>
      </c>
      <c r="L163" s="28">
        <v>1.4</v>
      </c>
      <c r="M163" s="26" t="s">
        <v>77</v>
      </c>
      <c r="N163" s="26" t="str">
        <f t="shared" si="1"/>
        <v>Moderate</v>
      </c>
      <c r="O163" s="29" t="s">
        <v>282</v>
      </c>
      <c r="P163" s="30">
        <v>3.0</v>
      </c>
      <c r="Q163" s="26">
        <f t="shared" si="2"/>
        <v>5</v>
      </c>
      <c r="R163" s="26">
        <f t="shared" si="3"/>
        <v>4</v>
      </c>
      <c r="S163" s="30">
        <v>2.0</v>
      </c>
      <c r="T163" s="30">
        <v>2.0</v>
      </c>
      <c r="U163" s="30">
        <v>4.0</v>
      </c>
      <c r="V163" s="31">
        <f>ROUND((P163*'Scoring Model'!$C$4+Q163*'Scoring Model'!$C$5+R163*'Scoring Model'!$C$6+S163*'Scoring Model'!$C$7+T163*'Scoring Model'!$C$8+U163*'Scoring Model'!$C$9)/5*100,0)</f>
        <v>66</v>
      </c>
      <c r="W163" s="26" t="str">
        <f t="shared" si="4"/>
        <v>Medium</v>
      </c>
      <c r="X163" s="26" t="s">
        <v>378</v>
      </c>
      <c r="Y163" s="26" t="s">
        <v>293</v>
      </c>
      <c r="Z163" s="29" t="s">
        <v>294</v>
      </c>
    </row>
    <row r="164" ht="15.75" customHeight="1">
      <c r="A164" s="9" t="s">
        <v>1113</v>
      </c>
      <c r="B164" s="11" t="s">
        <v>371</v>
      </c>
      <c r="C164" s="11" t="s">
        <v>363</v>
      </c>
      <c r="D164" s="11" t="s">
        <v>373</v>
      </c>
      <c r="E164" s="11" t="s">
        <v>95</v>
      </c>
      <c r="F164" s="11" t="s">
        <v>100</v>
      </c>
      <c r="G164" s="11" t="s">
        <v>150</v>
      </c>
      <c r="H164" s="14">
        <v>1300.0</v>
      </c>
      <c r="I164" s="11" t="s">
        <v>71</v>
      </c>
      <c r="J164" s="11">
        <v>30.0</v>
      </c>
      <c r="K164" s="11" t="s">
        <v>74</v>
      </c>
      <c r="L164" s="15">
        <v>1.8</v>
      </c>
      <c r="M164" s="11" t="s">
        <v>77</v>
      </c>
      <c r="N164" s="11" t="str">
        <f t="shared" si="1"/>
        <v>Moderate</v>
      </c>
      <c r="O164" s="19" t="s">
        <v>282</v>
      </c>
      <c r="P164" s="21">
        <v>3.0</v>
      </c>
      <c r="Q164" s="11">
        <f t="shared" si="2"/>
        <v>5</v>
      </c>
      <c r="R164" s="11">
        <f t="shared" si="3"/>
        <v>4</v>
      </c>
      <c r="S164" s="21">
        <v>2.0</v>
      </c>
      <c r="T164" s="21">
        <v>2.0</v>
      </c>
      <c r="U164" s="21">
        <v>4.0</v>
      </c>
      <c r="V164" s="24">
        <f>ROUND((P164*'Scoring Model'!$C$4+Q164*'Scoring Model'!$C$5+R164*'Scoring Model'!$C$6+S164*'Scoring Model'!$C$7+T164*'Scoring Model'!$C$8+U164*'Scoring Model'!$C$9)/5*100,0)</f>
        <v>66</v>
      </c>
      <c r="W164" s="11" t="str">
        <f t="shared" si="4"/>
        <v>Medium</v>
      </c>
      <c r="X164" s="11" t="s">
        <v>378</v>
      </c>
      <c r="Y164" s="11" t="s">
        <v>293</v>
      </c>
      <c r="Z164" s="19" t="s">
        <v>294</v>
      </c>
    </row>
    <row r="165" ht="15.75" customHeight="1">
      <c r="A165" s="25" t="s">
        <v>1114</v>
      </c>
      <c r="B165" s="26" t="s">
        <v>371</v>
      </c>
      <c r="C165" s="26" t="s">
        <v>363</v>
      </c>
      <c r="D165" s="26" t="s">
        <v>373</v>
      </c>
      <c r="E165" s="26" t="s">
        <v>95</v>
      </c>
      <c r="F165" s="26" t="s">
        <v>100</v>
      </c>
      <c r="G165" s="26" t="s">
        <v>150</v>
      </c>
      <c r="H165" s="27">
        <v>590.0</v>
      </c>
      <c r="I165" s="26" t="s">
        <v>71</v>
      </c>
      <c r="J165" s="26">
        <v>28.0</v>
      </c>
      <c r="K165" s="26" t="s">
        <v>74</v>
      </c>
      <c r="L165" s="28">
        <v>2.0</v>
      </c>
      <c r="M165" s="26" t="s">
        <v>77</v>
      </c>
      <c r="N165" s="26" t="str">
        <f t="shared" si="1"/>
        <v>Moderate</v>
      </c>
      <c r="O165" s="29" t="s">
        <v>282</v>
      </c>
      <c r="P165" s="30">
        <v>3.0</v>
      </c>
      <c r="Q165" s="26">
        <f t="shared" si="2"/>
        <v>4</v>
      </c>
      <c r="R165" s="26">
        <f t="shared" si="3"/>
        <v>4</v>
      </c>
      <c r="S165" s="30">
        <v>2.0</v>
      </c>
      <c r="T165" s="30">
        <v>2.0</v>
      </c>
      <c r="U165" s="30">
        <v>4.0</v>
      </c>
      <c r="V165" s="31">
        <f>ROUND((P165*'Scoring Model'!$C$4+Q165*'Scoring Model'!$C$5+R165*'Scoring Model'!$C$6+S165*'Scoring Model'!$C$7+T165*'Scoring Model'!$C$8+U165*'Scoring Model'!$C$9)/5*100,0)</f>
        <v>63</v>
      </c>
      <c r="W165" s="26" t="str">
        <f t="shared" si="4"/>
        <v>Medium</v>
      </c>
      <c r="X165" s="26" t="s">
        <v>378</v>
      </c>
      <c r="Y165" s="26" t="s">
        <v>293</v>
      </c>
      <c r="Z165" s="29" t="s">
        <v>294</v>
      </c>
    </row>
    <row r="166" ht="15.75" customHeight="1">
      <c r="A166" s="9" t="s">
        <v>380</v>
      </c>
      <c r="B166" s="11" t="s">
        <v>56</v>
      </c>
      <c r="C166" s="11" t="s">
        <v>379</v>
      </c>
      <c r="D166" s="11" t="s">
        <v>379</v>
      </c>
      <c r="E166" s="11" t="s">
        <v>60</v>
      </c>
      <c r="F166" s="11" t="s">
        <v>61</v>
      </c>
      <c r="G166" s="11" t="s">
        <v>62</v>
      </c>
      <c r="H166" s="14">
        <v>70.0</v>
      </c>
      <c r="I166" s="11" t="s">
        <v>71</v>
      </c>
      <c r="J166" s="11">
        <v>30.0</v>
      </c>
      <c r="K166" s="11" t="s">
        <v>74</v>
      </c>
      <c r="L166" s="15">
        <v>8.0</v>
      </c>
      <c r="M166" s="11" t="s">
        <v>77</v>
      </c>
      <c r="N166" s="11" t="str">
        <f t="shared" si="1"/>
        <v>Moderate</v>
      </c>
      <c r="O166" s="19" t="s">
        <v>97</v>
      </c>
      <c r="P166" s="21">
        <v>4.0</v>
      </c>
      <c r="Q166" s="11">
        <f t="shared" si="2"/>
        <v>2</v>
      </c>
      <c r="R166" s="11">
        <f t="shared" si="3"/>
        <v>4</v>
      </c>
      <c r="S166" s="21">
        <v>5.0</v>
      </c>
      <c r="T166" s="21">
        <v>5.0</v>
      </c>
      <c r="U166" s="21">
        <v>3.0</v>
      </c>
      <c r="V166" s="24">
        <f>ROUND((P166*'Scoring Model'!$C$4+Q166*'Scoring Model'!$C$5+R166*'Scoring Model'!$C$6+S166*'Scoring Model'!$C$7+T166*'Scoring Model'!$C$8+U166*'Scoring Model'!$C$9)/5*100,0)</f>
        <v>78</v>
      </c>
      <c r="W166" s="11" t="str">
        <f t="shared" si="4"/>
        <v>High</v>
      </c>
      <c r="X166" s="11" t="s">
        <v>384</v>
      </c>
      <c r="Y166" s="11" t="s">
        <v>141</v>
      </c>
      <c r="Z166" s="19" t="s">
        <v>142</v>
      </c>
    </row>
    <row r="167" ht="15.75" customHeight="1">
      <c r="A167" s="25" t="s">
        <v>642</v>
      </c>
      <c r="B167" s="26" t="s">
        <v>173</v>
      </c>
      <c r="C167" s="26" t="s">
        <v>379</v>
      </c>
      <c r="D167" s="26" t="s">
        <v>379</v>
      </c>
      <c r="E167" s="26" t="s">
        <v>60</v>
      </c>
      <c r="F167" s="26" t="s">
        <v>61</v>
      </c>
      <c r="G167" s="26" t="s">
        <v>150</v>
      </c>
      <c r="H167" s="27">
        <v>100.0</v>
      </c>
      <c r="I167" s="26" t="s">
        <v>71</v>
      </c>
      <c r="J167" s="26">
        <v>36.0</v>
      </c>
      <c r="K167" s="26" t="s">
        <v>74</v>
      </c>
      <c r="L167" s="28">
        <v>8.4</v>
      </c>
      <c r="M167" s="26" t="s">
        <v>77</v>
      </c>
      <c r="N167" s="26" t="str">
        <f t="shared" si="1"/>
        <v>Moderate</v>
      </c>
      <c r="O167" s="29" t="s">
        <v>97</v>
      </c>
      <c r="P167" s="30">
        <v>4.0</v>
      </c>
      <c r="Q167" s="26">
        <f t="shared" si="2"/>
        <v>2</v>
      </c>
      <c r="R167" s="26">
        <f t="shared" si="3"/>
        <v>4</v>
      </c>
      <c r="S167" s="30">
        <v>5.0</v>
      </c>
      <c r="T167" s="30">
        <v>5.0</v>
      </c>
      <c r="U167" s="30">
        <v>3.0</v>
      </c>
      <c r="V167" s="31">
        <f>ROUND((P167*'Scoring Model'!$C$4+Q167*'Scoring Model'!$C$5+R167*'Scoring Model'!$C$6+S167*'Scoring Model'!$C$7+T167*'Scoring Model'!$C$8+U167*'Scoring Model'!$C$9)/5*100,0)</f>
        <v>78</v>
      </c>
      <c r="W167" s="26" t="str">
        <f t="shared" si="4"/>
        <v>High</v>
      </c>
      <c r="X167" s="26" t="s">
        <v>384</v>
      </c>
      <c r="Y167" s="26" t="s">
        <v>141</v>
      </c>
      <c r="Z167" s="29" t="s">
        <v>142</v>
      </c>
    </row>
    <row r="168" ht="15.75" customHeight="1">
      <c r="A168" s="9" t="s">
        <v>1115</v>
      </c>
      <c r="B168" s="11" t="s">
        <v>256</v>
      </c>
      <c r="C168" s="11" t="s">
        <v>379</v>
      </c>
      <c r="D168" s="11" t="s">
        <v>379</v>
      </c>
      <c r="E168" s="11" t="s">
        <v>60</v>
      </c>
      <c r="F168" s="11" t="s">
        <v>61</v>
      </c>
      <c r="G168" s="11" t="s">
        <v>150</v>
      </c>
      <c r="H168" s="14">
        <v>25.0</v>
      </c>
      <c r="I168" s="11" t="s">
        <v>71</v>
      </c>
      <c r="J168" s="11">
        <v>26.0</v>
      </c>
      <c r="K168" s="11" t="s">
        <v>74</v>
      </c>
      <c r="L168" s="15">
        <v>6.4</v>
      </c>
      <c r="M168" s="11" t="s">
        <v>77</v>
      </c>
      <c r="N168" s="11" t="str">
        <f t="shared" si="1"/>
        <v>Moderate</v>
      </c>
      <c r="O168" s="19" t="s">
        <v>97</v>
      </c>
      <c r="P168" s="21">
        <v>4.0</v>
      </c>
      <c r="Q168" s="11">
        <f t="shared" si="2"/>
        <v>1</v>
      </c>
      <c r="R168" s="11">
        <f t="shared" si="3"/>
        <v>4</v>
      </c>
      <c r="S168" s="21">
        <v>5.0</v>
      </c>
      <c r="T168" s="21">
        <v>4.0</v>
      </c>
      <c r="U168" s="21">
        <v>3.0</v>
      </c>
      <c r="V168" s="24">
        <f>ROUND((P168*'Scoring Model'!$C$4+Q168*'Scoring Model'!$C$5+R168*'Scoring Model'!$C$6+S168*'Scoring Model'!$C$7+T168*'Scoring Model'!$C$8+U168*'Scoring Model'!$C$9)/5*100,0)</f>
        <v>72</v>
      </c>
      <c r="W168" s="11" t="str">
        <f t="shared" si="4"/>
        <v>Medium</v>
      </c>
      <c r="X168" s="11" t="s">
        <v>384</v>
      </c>
      <c r="Y168" s="11" t="s">
        <v>141</v>
      </c>
      <c r="Z168" s="19" t="s">
        <v>142</v>
      </c>
    </row>
    <row r="169" ht="15.75" customHeight="1">
      <c r="A169" s="25" t="s">
        <v>1116</v>
      </c>
      <c r="B169" s="26" t="s">
        <v>56</v>
      </c>
      <c r="C169" s="26" t="s">
        <v>379</v>
      </c>
      <c r="D169" s="26" t="s">
        <v>379</v>
      </c>
      <c r="E169" s="26" t="s">
        <v>60</v>
      </c>
      <c r="F169" s="26" t="s">
        <v>61</v>
      </c>
      <c r="G169" s="26" t="s">
        <v>150</v>
      </c>
      <c r="H169" s="27">
        <v>90.0</v>
      </c>
      <c r="I169" s="26" t="s">
        <v>71</v>
      </c>
      <c r="J169" s="26">
        <v>32.0</v>
      </c>
      <c r="K169" s="26" t="s">
        <v>74</v>
      </c>
      <c r="L169" s="28">
        <v>7.6</v>
      </c>
      <c r="M169" s="26" t="s">
        <v>77</v>
      </c>
      <c r="N169" s="26" t="str">
        <f t="shared" si="1"/>
        <v>Moderate</v>
      </c>
      <c r="O169" s="29" t="s">
        <v>97</v>
      </c>
      <c r="P169" s="30">
        <v>4.0</v>
      </c>
      <c r="Q169" s="26">
        <f t="shared" si="2"/>
        <v>2</v>
      </c>
      <c r="R169" s="26">
        <f t="shared" si="3"/>
        <v>4</v>
      </c>
      <c r="S169" s="30">
        <v>5.0</v>
      </c>
      <c r="T169" s="30">
        <v>5.0</v>
      </c>
      <c r="U169" s="30">
        <v>3.0</v>
      </c>
      <c r="V169" s="31">
        <f>ROUND((P169*'Scoring Model'!$C$4+Q169*'Scoring Model'!$C$5+R169*'Scoring Model'!$C$6+S169*'Scoring Model'!$C$7+T169*'Scoring Model'!$C$8+U169*'Scoring Model'!$C$9)/5*100,0)</f>
        <v>78</v>
      </c>
      <c r="W169" s="26" t="str">
        <f t="shared" si="4"/>
        <v>High</v>
      </c>
      <c r="X169" s="26" t="s">
        <v>384</v>
      </c>
      <c r="Y169" s="26" t="s">
        <v>141</v>
      </c>
      <c r="Z169" s="29" t="s">
        <v>142</v>
      </c>
    </row>
    <row r="170" ht="15.75" customHeight="1">
      <c r="A170" s="9" t="s">
        <v>387</v>
      </c>
      <c r="B170" s="11" t="s">
        <v>371</v>
      </c>
      <c r="C170" s="11" t="s">
        <v>379</v>
      </c>
      <c r="D170" s="11" t="s">
        <v>386</v>
      </c>
      <c r="E170" s="11" t="s">
        <v>95</v>
      </c>
      <c r="F170" s="11" t="s">
        <v>100</v>
      </c>
      <c r="G170" s="11" t="s">
        <v>62</v>
      </c>
      <c r="H170" s="14">
        <v>880.0</v>
      </c>
      <c r="I170" s="11" t="s">
        <v>71</v>
      </c>
      <c r="J170" s="11">
        <v>26.0</v>
      </c>
      <c r="K170" s="11" t="s">
        <v>74</v>
      </c>
      <c r="L170" s="15">
        <v>2.4</v>
      </c>
      <c r="M170" s="11" t="s">
        <v>77</v>
      </c>
      <c r="N170" s="11" t="str">
        <f t="shared" si="1"/>
        <v>Moderate</v>
      </c>
      <c r="O170" s="19" t="s">
        <v>282</v>
      </c>
      <c r="P170" s="21">
        <v>2.0</v>
      </c>
      <c r="Q170" s="11">
        <f t="shared" si="2"/>
        <v>4</v>
      </c>
      <c r="R170" s="11">
        <f t="shared" si="3"/>
        <v>4</v>
      </c>
      <c r="S170" s="21">
        <v>2.0</v>
      </c>
      <c r="T170" s="21">
        <v>2.0</v>
      </c>
      <c r="U170" s="21">
        <v>3.0</v>
      </c>
      <c r="V170" s="24">
        <f>ROUND((P170*'Scoring Model'!$C$4+Q170*'Scoring Model'!$C$5+R170*'Scoring Model'!$C$6+S170*'Scoring Model'!$C$7+T170*'Scoring Model'!$C$8+U170*'Scoring Model'!$C$9)/5*100,0)</f>
        <v>56</v>
      </c>
      <c r="W170" s="11" t="str">
        <f t="shared" si="4"/>
        <v>Low</v>
      </c>
      <c r="X170" s="11" t="s">
        <v>390</v>
      </c>
      <c r="Y170" s="11" t="s">
        <v>293</v>
      </c>
      <c r="Z170" s="19" t="s">
        <v>294</v>
      </c>
    </row>
    <row r="171" ht="15.75" customHeight="1">
      <c r="A171" s="25" t="s">
        <v>1117</v>
      </c>
      <c r="B171" s="26" t="s">
        <v>652</v>
      </c>
      <c r="C171" s="26" t="s">
        <v>379</v>
      </c>
      <c r="D171" s="26" t="s">
        <v>379</v>
      </c>
      <c r="E171" s="26" t="s">
        <v>120</v>
      </c>
      <c r="F171" s="26" t="s">
        <v>191</v>
      </c>
      <c r="G171" s="26" t="s">
        <v>150</v>
      </c>
      <c r="H171" s="27">
        <v>590.0</v>
      </c>
      <c r="I171" s="26" t="s">
        <v>71</v>
      </c>
      <c r="J171" s="26">
        <v>31.0</v>
      </c>
      <c r="K171" s="26" t="s">
        <v>74</v>
      </c>
      <c r="L171" s="28">
        <v>3.8</v>
      </c>
      <c r="M171" s="26" t="s">
        <v>77</v>
      </c>
      <c r="N171" s="26" t="str">
        <f t="shared" si="1"/>
        <v>Moderate</v>
      </c>
      <c r="O171" s="29" t="s">
        <v>282</v>
      </c>
      <c r="P171" s="30">
        <v>3.0</v>
      </c>
      <c r="Q171" s="26">
        <f t="shared" si="2"/>
        <v>4</v>
      </c>
      <c r="R171" s="26">
        <f t="shared" si="3"/>
        <v>4</v>
      </c>
      <c r="S171" s="30">
        <v>3.0</v>
      </c>
      <c r="T171" s="30">
        <v>3.0</v>
      </c>
      <c r="U171" s="30">
        <v>3.0</v>
      </c>
      <c r="V171" s="31">
        <f>ROUND((P171*'Scoring Model'!$C$4+Q171*'Scoring Model'!$C$5+R171*'Scoring Model'!$C$6+S171*'Scoring Model'!$C$7+T171*'Scoring Model'!$C$8+U171*'Scoring Model'!$C$9)/5*100,0)</f>
        <v>67</v>
      </c>
      <c r="W171" s="26" t="str">
        <f t="shared" si="4"/>
        <v>Medium</v>
      </c>
      <c r="X171" s="26" t="s">
        <v>384</v>
      </c>
      <c r="Y171" s="26" t="s">
        <v>141</v>
      </c>
      <c r="Z171" s="29" t="s">
        <v>249</v>
      </c>
    </row>
    <row r="172" ht="15.75" customHeight="1">
      <c r="A172" s="9" t="s">
        <v>388</v>
      </c>
      <c r="B172" s="11" t="s">
        <v>371</v>
      </c>
      <c r="C172" s="11" t="s">
        <v>379</v>
      </c>
      <c r="D172" s="11" t="s">
        <v>386</v>
      </c>
      <c r="E172" s="11" t="s">
        <v>95</v>
      </c>
      <c r="F172" s="11" t="s">
        <v>100</v>
      </c>
      <c r="G172" s="11" t="s">
        <v>150</v>
      </c>
      <c r="H172" s="14">
        <v>1300.0</v>
      </c>
      <c r="I172" s="11" t="s">
        <v>71</v>
      </c>
      <c r="J172" s="11">
        <v>30.0</v>
      </c>
      <c r="K172" s="11" t="s">
        <v>74</v>
      </c>
      <c r="L172" s="15">
        <v>2.4</v>
      </c>
      <c r="M172" s="11" t="s">
        <v>77</v>
      </c>
      <c r="N172" s="11" t="str">
        <f t="shared" si="1"/>
        <v>Moderate</v>
      </c>
      <c r="O172" s="19" t="s">
        <v>282</v>
      </c>
      <c r="P172" s="21">
        <v>2.0</v>
      </c>
      <c r="Q172" s="11">
        <f t="shared" si="2"/>
        <v>5</v>
      </c>
      <c r="R172" s="11">
        <f t="shared" si="3"/>
        <v>4</v>
      </c>
      <c r="S172" s="21">
        <v>2.0</v>
      </c>
      <c r="T172" s="21">
        <v>2.0</v>
      </c>
      <c r="U172" s="21">
        <v>3.0</v>
      </c>
      <c r="V172" s="24">
        <f>ROUND((P172*'Scoring Model'!$C$4+Q172*'Scoring Model'!$C$5+R172*'Scoring Model'!$C$6+S172*'Scoring Model'!$C$7+T172*'Scoring Model'!$C$8+U172*'Scoring Model'!$C$9)/5*100,0)</f>
        <v>59</v>
      </c>
      <c r="W172" s="11" t="str">
        <f t="shared" si="4"/>
        <v>Low</v>
      </c>
      <c r="X172" s="11" t="s">
        <v>390</v>
      </c>
      <c r="Y172" s="11" t="s">
        <v>293</v>
      </c>
      <c r="Z172" s="19" t="s">
        <v>294</v>
      </c>
    </row>
    <row r="173" ht="15.75" customHeight="1">
      <c r="A173" s="25" t="s">
        <v>393</v>
      </c>
      <c r="B173" s="26" t="s">
        <v>56</v>
      </c>
      <c r="C173" s="26" t="s">
        <v>392</v>
      </c>
      <c r="D173" s="26" t="s">
        <v>392</v>
      </c>
      <c r="E173" s="26" t="s">
        <v>60</v>
      </c>
      <c r="F173" s="26" t="s">
        <v>61</v>
      </c>
      <c r="G173" s="26" t="s">
        <v>62</v>
      </c>
      <c r="H173" s="27">
        <v>60.0</v>
      </c>
      <c r="I173" s="26" t="s">
        <v>71</v>
      </c>
      <c r="J173" s="26">
        <v>29.0</v>
      </c>
      <c r="K173" s="26" t="s">
        <v>74</v>
      </c>
      <c r="L173" s="28">
        <v>8.2</v>
      </c>
      <c r="M173" s="26" t="s">
        <v>77</v>
      </c>
      <c r="N173" s="26" t="str">
        <f t="shared" si="1"/>
        <v>Moderate</v>
      </c>
      <c r="O173" s="29" t="s">
        <v>97</v>
      </c>
      <c r="P173" s="30">
        <v>4.0</v>
      </c>
      <c r="Q173" s="26">
        <f t="shared" si="2"/>
        <v>2</v>
      </c>
      <c r="R173" s="26">
        <f t="shared" si="3"/>
        <v>4</v>
      </c>
      <c r="S173" s="30">
        <v>5.0</v>
      </c>
      <c r="T173" s="30">
        <v>5.0</v>
      </c>
      <c r="U173" s="30">
        <v>3.0</v>
      </c>
      <c r="V173" s="31">
        <f>ROUND((P173*'Scoring Model'!$C$4+Q173*'Scoring Model'!$C$5+R173*'Scoring Model'!$C$6+S173*'Scoring Model'!$C$7+T173*'Scoring Model'!$C$8+U173*'Scoring Model'!$C$9)/5*100,0)</f>
        <v>78</v>
      </c>
      <c r="W173" s="26" t="str">
        <f t="shared" si="4"/>
        <v>High</v>
      </c>
      <c r="X173" s="26" t="s">
        <v>397</v>
      </c>
      <c r="Y173" s="26" t="s">
        <v>141</v>
      </c>
      <c r="Z173" s="29" t="s">
        <v>142</v>
      </c>
    </row>
    <row r="174" ht="15.75" customHeight="1">
      <c r="A174" s="9" t="s">
        <v>394</v>
      </c>
      <c r="B174" s="11" t="s">
        <v>173</v>
      </c>
      <c r="C174" s="11" t="s">
        <v>392</v>
      </c>
      <c r="D174" s="11" t="s">
        <v>392</v>
      </c>
      <c r="E174" s="11" t="s">
        <v>60</v>
      </c>
      <c r="F174" s="11" t="s">
        <v>61</v>
      </c>
      <c r="G174" s="11" t="s">
        <v>150</v>
      </c>
      <c r="H174" s="14">
        <v>90.0</v>
      </c>
      <c r="I174" s="11" t="s">
        <v>71</v>
      </c>
      <c r="J174" s="11">
        <v>35.0</v>
      </c>
      <c r="K174" s="11" t="s">
        <v>74</v>
      </c>
      <c r="L174" s="15">
        <v>8.61</v>
      </c>
      <c r="M174" s="11" t="s">
        <v>77</v>
      </c>
      <c r="N174" s="11" t="str">
        <f t="shared" si="1"/>
        <v>Moderate</v>
      </c>
      <c r="O174" s="19" t="s">
        <v>97</v>
      </c>
      <c r="P174" s="21">
        <v>4.0</v>
      </c>
      <c r="Q174" s="11">
        <f t="shared" si="2"/>
        <v>2</v>
      </c>
      <c r="R174" s="11">
        <f t="shared" si="3"/>
        <v>4</v>
      </c>
      <c r="S174" s="21">
        <v>5.0</v>
      </c>
      <c r="T174" s="21">
        <v>5.0</v>
      </c>
      <c r="U174" s="21">
        <v>3.0</v>
      </c>
      <c r="V174" s="24">
        <f>ROUND((P174*'Scoring Model'!$C$4+Q174*'Scoring Model'!$C$5+R174*'Scoring Model'!$C$6+S174*'Scoring Model'!$C$7+T174*'Scoring Model'!$C$8+U174*'Scoring Model'!$C$9)/5*100,0)</f>
        <v>78</v>
      </c>
      <c r="W174" s="11" t="str">
        <f t="shared" si="4"/>
        <v>High</v>
      </c>
      <c r="X174" s="11" t="s">
        <v>397</v>
      </c>
      <c r="Y174" s="11" t="s">
        <v>141</v>
      </c>
      <c r="Z174" s="19" t="s">
        <v>142</v>
      </c>
    </row>
    <row r="175" ht="15.75" customHeight="1">
      <c r="A175" s="25" t="s">
        <v>400</v>
      </c>
      <c r="B175" s="26" t="s">
        <v>371</v>
      </c>
      <c r="C175" s="26" t="s">
        <v>392</v>
      </c>
      <c r="D175" s="26" t="s">
        <v>399</v>
      </c>
      <c r="E175" s="26" t="s">
        <v>95</v>
      </c>
      <c r="F175" s="26" t="s">
        <v>100</v>
      </c>
      <c r="G175" s="26" t="s">
        <v>62</v>
      </c>
      <c r="H175" s="27">
        <v>1300.0</v>
      </c>
      <c r="I175" s="26" t="s">
        <v>71</v>
      </c>
      <c r="J175" s="26">
        <v>33.0</v>
      </c>
      <c r="K175" s="26" t="s">
        <v>74</v>
      </c>
      <c r="L175" s="28">
        <v>2.0</v>
      </c>
      <c r="M175" s="26" t="s">
        <v>77</v>
      </c>
      <c r="N175" s="26" t="str">
        <f t="shared" si="1"/>
        <v>Moderate</v>
      </c>
      <c r="O175" s="29" t="s">
        <v>282</v>
      </c>
      <c r="P175" s="30">
        <v>2.0</v>
      </c>
      <c r="Q175" s="26">
        <f t="shared" si="2"/>
        <v>5</v>
      </c>
      <c r="R175" s="26">
        <f t="shared" si="3"/>
        <v>4</v>
      </c>
      <c r="S175" s="30">
        <v>2.0</v>
      </c>
      <c r="T175" s="30">
        <v>2.0</v>
      </c>
      <c r="U175" s="30">
        <v>3.0</v>
      </c>
      <c r="V175" s="31">
        <f>ROUND((P175*'Scoring Model'!$C$4+Q175*'Scoring Model'!$C$5+R175*'Scoring Model'!$C$6+S175*'Scoring Model'!$C$7+T175*'Scoring Model'!$C$8+U175*'Scoring Model'!$C$9)/5*100,0)</f>
        <v>59</v>
      </c>
      <c r="W175" s="26" t="str">
        <f t="shared" si="4"/>
        <v>Low</v>
      </c>
      <c r="X175" s="26" t="s">
        <v>402</v>
      </c>
      <c r="Y175" s="26" t="s">
        <v>293</v>
      </c>
      <c r="Z175" s="29" t="s">
        <v>294</v>
      </c>
    </row>
    <row r="176" ht="15.75" customHeight="1">
      <c r="A176" s="9" t="s">
        <v>401</v>
      </c>
      <c r="B176" s="11" t="s">
        <v>371</v>
      </c>
      <c r="C176" s="11" t="s">
        <v>392</v>
      </c>
      <c r="D176" s="11" t="s">
        <v>399</v>
      </c>
      <c r="E176" s="11" t="s">
        <v>95</v>
      </c>
      <c r="F176" s="11" t="s">
        <v>100</v>
      </c>
      <c r="G176" s="11" t="s">
        <v>150</v>
      </c>
      <c r="H176" s="14">
        <v>720.0</v>
      </c>
      <c r="I176" s="11" t="s">
        <v>71</v>
      </c>
      <c r="J176" s="11">
        <v>27.0</v>
      </c>
      <c r="K176" s="11" t="s">
        <v>74</v>
      </c>
      <c r="L176" s="15">
        <v>1.6</v>
      </c>
      <c r="M176" s="11" t="s">
        <v>77</v>
      </c>
      <c r="N176" s="11" t="str">
        <f t="shared" si="1"/>
        <v>Moderate</v>
      </c>
      <c r="O176" s="19" t="s">
        <v>282</v>
      </c>
      <c r="P176" s="21">
        <v>2.0</v>
      </c>
      <c r="Q176" s="11">
        <f t="shared" si="2"/>
        <v>4</v>
      </c>
      <c r="R176" s="11">
        <f t="shared" si="3"/>
        <v>4</v>
      </c>
      <c r="S176" s="21">
        <v>2.0</v>
      </c>
      <c r="T176" s="21">
        <v>2.0</v>
      </c>
      <c r="U176" s="21">
        <v>3.0</v>
      </c>
      <c r="V176" s="24">
        <f>ROUND((P176*'Scoring Model'!$C$4+Q176*'Scoring Model'!$C$5+R176*'Scoring Model'!$C$6+S176*'Scoring Model'!$C$7+T176*'Scoring Model'!$C$8+U176*'Scoring Model'!$C$9)/5*100,0)</f>
        <v>56</v>
      </c>
      <c r="W176" s="11" t="str">
        <f t="shared" si="4"/>
        <v>Low</v>
      </c>
      <c r="X176" s="11" t="s">
        <v>402</v>
      </c>
      <c r="Y176" s="11" t="s">
        <v>293</v>
      </c>
      <c r="Z176" s="19" t="s">
        <v>294</v>
      </c>
    </row>
    <row r="177" ht="15.75" customHeight="1">
      <c r="A177" s="25" t="s">
        <v>406</v>
      </c>
      <c r="B177" s="26" t="s">
        <v>56</v>
      </c>
      <c r="C177" s="26" t="s">
        <v>405</v>
      </c>
      <c r="D177" s="26" t="s">
        <v>405</v>
      </c>
      <c r="E177" s="26" t="s">
        <v>60</v>
      </c>
      <c r="F177" s="26" t="s">
        <v>61</v>
      </c>
      <c r="G177" s="26" t="s">
        <v>62</v>
      </c>
      <c r="H177" s="27">
        <v>50.0</v>
      </c>
      <c r="I177" s="26" t="s">
        <v>71</v>
      </c>
      <c r="J177" s="26">
        <v>25.0</v>
      </c>
      <c r="K177" s="26" t="s">
        <v>74</v>
      </c>
      <c r="L177" s="28">
        <v>6.0</v>
      </c>
      <c r="M177" s="26" t="s">
        <v>77</v>
      </c>
      <c r="N177" s="26" t="str">
        <f t="shared" si="1"/>
        <v>Moderate</v>
      </c>
      <c r="O177" s="29" t="s">
        <v>97</v>
      </c>
      <c r="P177" s="30">
        <v>4.0</v>
      </c>
      <c r="Q177" s="26">
        <f t="shared" si="2"/>
        <v>2</v>
      </c>
      <c r="R177" s="26">
        <f t="shared" si="3"/>
        <v>5</v>
      </c>
      <c r="S177" s="30">
        <v>5.0</v>
      </c>
      <c r="T177" s="30">
        <v>5.0</v>
      </c>
      <c r="U177" s="30">
        <v>3.0</v>
      </c>
      <c r="V177" s="31">
        <f>ROUND((P177*'Scoring Model'!$C$4+Q177*'Scoring Model'!$C$5+R177*'Scoring Model'!$C$6+S177*'Scoring Model'!$C$7+T177*'Scoring Model'!$C$8+U177*'Scoring Model'!$C$9)/5*100,0)</f>
        <v>82</v>
      </c>
      <c r="W177" s="26" t="str">
        <f t="shared" si="4"/>
        <v>High</v>
      </c>
      <c r="X177" s="26" t="s">
        <v>410</v>
      </c>
      <c r="Y177" s="26" t="s">
        <v>141</v>
      </c>
      <c r="Z177" s="29" t="s">
        <v>142</v>
      </c>
    </row>
    <row r="178" ht="15.75" customHeight="1">
      <c r="A178" s="9" t="s">
        <v>407</v>
      </c>
      <c r="B178" s="11" t="s">
        <v>173</v>
      </c>
      <c r="C178" s="11" t="s">
        <v>405</v>
      </c>
      <c r="D178" s="11" t="s">
        <v>405</v>
      </c>
      <c r="E178" s="11" t="s">
        <v>60</v>
      </c>
      <c r="F178" s="11" t="s">
        <v>61</v>
      </c>
      <c r="G178" s="11" t="s">
        <v>150</v>
      </c>
      <c r="H178" s="14">
        <v>80.0</v>
      </c>
      <c r="I178" s="11" t="s">
        <v>71</v>
      </c>
      <c r="J178" s="11">
        <v>31.0</v>
      </c>
      <c r="K178" s="11" t="s">
        <v>74</v>
      </c>
      <c r="L178" s="15">
        <v>6.3</v>
      </c>
      <c r="M178" s="11" t="s">
        <v>77</v>
      </c>
      <c r="N178" s="11" t="str">
        <f t="shared" si="1"/>
        <v>Moderate</v>
      </c>
      <c r="O178" s="19" t="s">
        <v>97</v>
      </c>
      <c r="P178" s="21">
        <v>4.0</v>
      </c>
      <c r="Q178" s="11">
        <f t="shared" si="2"/>
        <v>2</v>
      </c>
      <c r="R178" s="11">
        <f t="shared" si="3"/>
        <v>4</v>
      </c>
      <c r="S178" s="21">
        <v>5.0</v>
      </c>
      <c r="T178" s="21">
        <v>5.0</v>
      </c>
      <c r="U178" s="21">
        <v>3.0</v>
      </c>
      <c r="V178" s="24">
        <f>ROUND((P178*'Scoring Model'!$C$4+Q178*'Scoring Model'!$C$5+R178*'Scoring Model'!$C$6+S178*'Scoring Model'!$C$7+T178*'Scoring Model'!$C$8+U178*'Scoring Model'!$C$9)/5*100,0)</f>
        <v>78</v>
      </c>
      <c r="W178" s="11" t="str">
        <f t="shared" si="4"/>
        <v>High</v>
      </c>
      <c r="X178" s="11" t="s">
        <v>410</v>
      </c>
      <c r="Y178" s="11" t="s">
        <v>141</v>
      </c>
      <c r="Z178" s="19" t="s">
        <v>142</v>
      </c>
    </row>
    <row r="179" ht="15.75" customHeight="1">
      <c r="A179" s="25" t="s">
        <v>412</v>
      </c>
      <c r="B179" s="26" t="s">
        <v>371</v>
      </c>
      <c r="C179" s="26" t="s">
        <v>405</v>
      </c>
      <c r="D179" s="26" t="s">
        <v>411</v>
      </c>
      <c r="E179" s="26" t="s">
        <v>95</v>
      </c>
      <c r="F179" s="26" t="s">
        <v>100</v>
      </c>
      <c r="G179" s="26" t="s">
        <v>62</v>
      </c>
      <c r="H179" s="27">
        <v>3600.0</v>
      </c>
      <c r="I179" s="26" t="s">
        <v>71</v>
      </c>
      <c r="J179" s="26">
        <v>38.0</v>
      </c>
      <c r="K179" s="26" t="s">
        <v>74</v>
      </c>
      <c r="L179" s="28">
        <v>1.4</v>
      </c>
      <c r="M179" s="26" t="s">
        <v>77</v>
      </c>
      <c r="N179" s="26" t="str">
        <f t="shared" si="1"/>
        <v>Moderate</v>
      </c>
      <c r="O179" s="29" t="s">
        <v>282</v>
      </c>
      <c r="P179" s="30">
        <v>2.0</v>
      </c>
      <c r="Q179" s="26">
        <f t="shared" si="2"/>
        <v>5</v>
      </c>
      <c r="R179" s="26">
        <f t="shared" si="3"/>
        <v>4</v>
      </c>
      <c r="S179" s="30">
        <v>2.0</v>
      </c>
      <c r="T179" s="30">
        <v>2.0</v>
      </c>
      <c r="U179" s="30">
        <v>3.0</v>
      </c>
      <c r="V179" s="31">
        <f>ROUND((P179*'Scoring Model'!$C$4+Q179*'Scoring Model'!$C$5+R179*'Scoring Model'!$C$6+S179*'Scoring Model'!$C$7+T179*'Scoring Model'!$C$8+U179*'Scoring Model'!$C$9)/5*100,0)</f>
        <v>59</v>
      </c>
      <c r="W179" s="26" t="str">
        <f t="shared" si="4"/>
        <v>Low</v>
      </c>
      <c r="X179" s="26" t="s">
        <v>414</v>
      </c>
      <c r="Y179" s="26" t="s">
        <v>293</v>
      </c>
      <c r="Z179" s="29" t="s">
        <v>294</v>
      </c>
    </row>
    <row r="180" ht="15.75" customHeight="1">
      <c r="A180" s="9" t="s">
        <v>1118</v>
      </c>
      <c r="B180" s="11" t="s">
        <v>371</v>
      </c>
      <c r="C180" s="11" t="s">
        <v>405</v>
      </c>
      <c r="D180" s="11" t="s">
        <v>411</v>
      </c>
      <c r="E180" s="11" t="s">
        <v>95</v>
      </c>
      <c r="F180" s="11" t="s">
        <v>100</v>
      </c>
      <c r="G180" s="11" t="s">
        <v>150</v>
      </c>
      <c r="H180" s="14">
        <v>2400.0</v>
      </c>
      <c r="I180" s="11" t="s">
        <v>71</v>
      </c>
      <c r="J180" s="11">
        <v>36.0</v>
      </c>
      <c r="K180" s="11" t="s">
        <v>74</v>
      </c>
      <c r="L180" s="15">
        <v>1.3</v>
      </c>
      <c r="M180" s="11" t="s">
        <v>77</v>
      </c>
      <c r="N180" s="11" t="str">
        <f t="shared" si="1"/>
        <v>Moderate</v>
      </c>
      <c r="O180" s="19" t="s">
        <v>282</v>
      </c>
      <c r="P180" s="21">
        <v>2.0</v>
      </c>
      <c r="Q180" s="11">
        <f t="shared" si="2"/>
        <v>5</v>
      </c>
      <c r="R180" s="11">
        <f t="shared" si="3"/>
        <v>4</v>
      </c>
      <c r="S180" s="21">
        <v>2.0</v>
      </c>
      <c r="T180" s="21">
        <v>2.0</v>
      </c>
      <c r="U180" s="21">
        <v>3.0</v>
      </c>
      <c r="V180" s="24">
        <f>ROUND((P180*'Scoring Model'!$C$4+Q180*'Scoring Model'!$C$5+R180*'Scoring Model'!$C$6+S180*'Scoring Model'!$C$7+T180*'Scoring Model'!$C$8+U180*'Scoring Model'!$C$9)/5*100,0)</f>
        <v>59</v>
      </c>
      <c r="W180" s="11" t="str">
        <f t="shared" si="4"/>
        <v>Low</v>
      </c>
      <c r="X180" s="11" t="s">
        <v>414</v>
      </c>
      <c r="Y180" s="11" t="s">
        <v>293</v>
      </c>
      <c r="Z180" s="19" t="s">
        <v>294</v>
      </c>
    </row>
    <row r="181" ht="15.75" customHeight="1">
      <c r="A181" s="25" t="s">
        <v>1119</v>
      </c>
      <c r="B181" s="26" t="s">
        <v>371</v>
      </c>
      <c r="C181" s="26" t="s">
        <v>405</v>
      </c>
      <c r="D181" s="26" t="s">
        <v>411</v>
      </c>
      <c r="E181" s="26" t="s">
        <v>95</v>
      </c>
      <c r="F181" s="26" t="s">
        <v>100</v>
      </c>
      <c r="G181" s="26" t="s">
        <v>150</v>
      </c>
      <c r="H181" s="27">
        <v>1300.0</v>
      </c>
      <c r="I181" s="26" t="s">
        <v>71</v>
      </c>
      <c r="J181" s="26">
        <v>32.0</v>
      </c>
      <c r="K181" s="26" t="s">
        <v>74</v>
      </c>
      <c r="L181" s="28">
        <v>2.1</v>
      </c>
      <c r="M181" s="26" t="s">
        <v>77</v>
      </c>
      <c r="N181" s="26" t="str">
        <f t="shared" si="1"/>
        <v>Moderate</v>
      </c>
      <c r="O181" s="29" t="s">
        <v>282</v>
      </c>
      <c r="P181" s="30">
        <v>2.0</v>
      </c>
      <c r="Q181" s="26">
        <f t="shared" si="2"/>
        <v>5</v>
      </c>
      <c r="R181" s="26">
        <f t="shared" si="3"/>
        <v>4</v>
      </c>
      <c r="S181" s="30">
        <v>2.0</v>
      </c>
      <c r="T181" s="30">
        <v>2.0</v>
      </c>
      <c r="U181" s="30">
        <v>3.0</v>
      </c>
      <c r="V181" s="31">
        <f>ROUND((P181*'Scoring Model'!$C$4+Q181*'Scoring Model'!$C$5+R181*'Scoring Model'!$C$6+S181*'Scoring Model'!$C$7+T181*'Scoring Model'!$C$8+U181*'Scoring Model'!$C$9)/5*100,0)</f>
        <v>59</v>
      </c>
      <c r="W181" s="26" t="str">
        <f t="shared" si="4"/>
        <v>Low</v>
      </c>
      <c r="X181" s="26" t="s">
        <v>414</v>
      </c>
      <c r="Y181" s="26" t="s">
        <v>293</v>
      </c>
      <c r="Z181" s="29" t="s">
        <v>294</v>
      </c>
    </row>
    <row r="182" ht="15.75" customHeight="1">
      <c r="A182" s="9" t="s">
        <v>417</v>
      </c>
      <c r="B182" s="11" t="s">
        <v>56</v>
      </c>
      <c r="C182" s="11" t="s">
        <v>416</v>
      </c>
      <c r="D182" s="11" t="s">
        <v>416</v>
      </c>
      <c r="E182" s="11" t="s">
        <v>60</v>
      </c>
      <c r="F182" s="11" t="s">
        <v>61</v>
      </c>
      <c r="G182" s="11" t="s">
        <v>62</v>
      </c>
      <c r="H182" s="14">
        <v>90.0</v>
      </c>
      <c r="I182" s="11" t="s">
        <v>71</v>
      </c>
      <c r="J182" s="11">
        <v>26.0</v>
      </c>
      <c r="K182" s="11" t="s">
        <v>74</v>
      </c>
      <c r="L182" s="15">
        <v>5.2</v>
      </c>
      <c r="M182" s="11" t="s">
        <v>77</v>
      </c>
      <c r="N182" s="11" t="str">
        <f t="shared" si="1"/>
        <v>Moderate</v>
      </c>
      <c r="O182" s="19" t="s">
        <v>97</v>
      </c>
      <c r="P182" s="21">
        <v>3.0</v>
      </c>
      <c r="Q182" s="11">
        <f t="shared" si="2"/>
        <v>2</v>
      </c>
      <c r="R182" s="11">
        <f t="shared" si="3"/>
        <v>4</v>
      </c>
      <c r="S182" s="21">
        <v>5.0</v>
      </c>
      <c r="T182" s="21">
        <v>5.0</v>
      </c>
      <c r="U182" s="21">
        <v>4.0</v>
      </c>
      <c r="V182" s="24">
        <f>ROUND((P182*'Scoring Model'!$C$4+Q182*'Scoring Model'!$C$5+R182*'Scoring Model'!$C$6+S182*'Scoring Model'!$C$7+T182*'Scoring Model'!$C$8+U182*'Scoring Model'!$C$9)/5*100,0)</f>
        <v>75</v>
      </c>
      <c r="W182" s="11" t="str">
        <f t="shared" si="4"/>
        <v>High</v>
      </c>
      <c r="X182" s="11" t="s">
        <v>420</v>
      </c>
      <c r="Y182" s="11" t="s">
        <v>141</v>
      </c>
      <c r="Z182" s="19" t="s">
        <v>142</v>
      </c>
    </row>
    <row r="183" ht="15.75" customHeight="1">
      <c r="A183" s="25" t="s">
        <v>425</v>
      </c>
      <c r="B183" s="26" t="s">
        <v>280</v>
      </c>
      <c r="C183" s="26" t="s">
        <v>416</v>
      </c>
      <c r="D183" s="26" t="s">
        <v>424</v>
      </c>
      <c r="E183" s="26" t="s">
        <v>95</v>
      </c>
      <c r="F183" s="26" t="s">
        <v>100</v>
      </c>
      <c r="G183" s="26" t="s">
        <v>62</v>
      </c>
      <c r="H183" s="27">
        <v>200.0</v>
      </c>
      <c r="I183" s="26" t="s">
        <v>71</v>
      </c>
      <c r="J183" s="26">
        <v>12.0</v>
      </c>
      <c r="K183" s="26" t="s">
        <v>74</v>
      </c>
      <c r="L183" s="28">
        <v>1.3</v>
      </c>
      <c r="M183" s="26" t="s">
        <v>77</v>
      </c>
      <c r="N183" s="26" t="str">
        <f t="shared" si="1"/>
        <v>Easy</v>
      </c>
      <c r="O183" s="29" t="s">
        <v>282</v>
      </c>
      <c r="P183" s="30">
        <v>1.0</v>
      </c>
      <c r="Q183" s="26">
        <f t="shared" si="2"/>
        <v>3</v>
      </c>
      <c r="R183" s="26">
        <f t="shared" si="3"/>
        <v>5</v>
      </c>
      <c r="S183" s="30">
        <v>1.0</v>
      </c>
      <c r="T183" s="30">
        <v>1.0</v>
      </c>
      <c r="U183" s="30">
        <v>4.0</v>
      </c>
      <c r="V183" s="31">
        <f>ROUND((P183*'Scoring Model'!$C$4+Q183*'Scoring Model'!$C$5+R183*'Scoring Model'!$C$6+S183*'Scoring Model'!$C$7+T183*'Scoring Model'!$C$8+U183*'Scoring Model'!$C$9)/5*100,0)</f>
        <v>48</v>
      </c>
      <c r="W183" s="26" t="str">
        <f t="shared" si="4"/>
        <v>Low</v>
      </c>
      <c r="X183" s="26" t="s">
        <v>427</v>
      </c>
      <c r="Y183" s="26" t="s">
        <v>293</v>
      </c>
      <c r="Z183" s="29" t="s">
        <v>294</v>
      </c>
    </row>
    <row r="184" ht="15.75" customHeight="1">
      <c r="A184" s="9" t="s">
        <v>426</v>
      </c>
      <c r="B184" s="11" t="s">
        <v>280</v>
      </c>
      <c r="C184" s="11" t="s">
        <v>416</v>
      </c>
      <c r="D184" s="11" t="s">
        <v>424</v>
      </c>
      <c r="E184" s="11" t="s">
        <v>95</v>
      </c>
      <c r="F184" s="11" t="s">
        <v>100</v>
      </c>
      <c r="G184" s="11" t="s">
        <v>150</v>
      </c>
      <c r="H184" s="14">
        <v>210.0</v>
      </c>
      <c r="I184" s="11" t="s">
        <v>71</v>
      </c>
      <c r="J184" s="11">
        <v>22.0</v>
      </c>
      <c r="K184" s="11" t="s">
        <v>74</v>
      </c>
      <c r="L184" s="15">
        <v>2.0</v>
      </c>
      <c r="M184" s="11" t="s">
        <v>77</v>
      </c>
      <c r="N184" s="11" t="str">
        <f t="shared" si="1"/>
        <v>Moderate</v>
      </c>
      <c r="O184" s="19" t="s">
        <v>282</v>
      </c>
      <c r="P184" s="21">
        <v>1.0</v>
      </c>
      <c r="Q184" s="11">
        <f t="shared" si="2"/>
        <v>3</v>
      </c>
      <c r="R184" s="11">
        <f t="shared" si="3"/>
        <v>5</v>
      </c>
      <c r="S184" s="21">
        <v>1.0</v>
      </c>
      <c r="T184" s="21">
        <v>1.0</v>
      </c>
      <c r="U184" s="21">
        <v>4.0</v>
      </c>
      <c r="V184" s="24">
        <f>ROUND((P184*'Scoring Model'!$C$4+Q184*'Scoring Model'!$C$5+R184*'Scoring Model'!$C$6+S184*'Scoring Model'!$C$7+T184*'Scoring Model'!$C$8+U184*'Scoring Model'!$C$9)/5*100,0)</f>
        <v>48</v>
      </c>
      <c r="W184" s="11" t="str">
        <f t="shared" si="4"/>
        <v>Low</v>
      </c>
      <c r="X184" s="11" t="s">
        <v>427</v>
      </c>
      <c r="Y184" s="11" t="s">
        <v>293</v>
      </c>
      <c r="Z184" s="19" t="s">
        <v>294</v>
      </c>
    </row>
    <row r="185" ht="15.75" customHeight="1">
      <c r="A185" s="25" t="s">
        <v>431</v>
      </c>
      <c r="B185" s="26" t="s">
        <v>56</v>
      </c>
      <c r="C185" s="26" t="s">
        <v>1120</v>
      </c>
      <c r="D185" s="26" t="s">
        <v>430</v>
      </c>
      <c r="E185" s="26" t="s">
        <v>60</v>
      </c>
      <c r="F185" s="26" t="s">
        <v>61</v>
      </c>
      <c r="G185" s="26" t="s">
        <v>62</v>
      </c>
      <c r="H185" s="27">
        <v>2900.0</v>
      </c>
      <c r="I185" s="26" t="s">
        <v>71</v>
      </c>
      <c r="J185" s="26">
        <v>55.0</v>
      </c>
      <c r="K185" s="26" t="s">
        <v>74</v>
      </c>
      <c r="L185" s="28">
        <v>9.4</v>
      </c>
      <c r="M185" s="26" t="s">
        <v>77</v>
      </c>
      <c r="N185" s="26" t="str">
        <f t="shared" si="1"/>
        <v>Competitive</v>
      </c>
      <c r="O185" s="29" t="s">
        <v>97</v>
      </c>
      <c r="P185" s="30">
        <v>5.0</v>
      </c>
      <c r="Q185" s="26">
        <f t="shared" si="2"/>
        <v>5</v>
      </c>
      <c r="R185" s="26">
        <f t="shared" si="3"/>
        <v>3</v>
      </c>
      <c r="S185" s="30">
        <v>5.0</v>
      </c>
      <c r="T185" s="30">
        <v>5.0</v>
      </c>
      <c r="U185" s="30">
        <v>5.0</v>
      </c>
      <c r="V185" s="31">
        <f>ROUND((P185*'Scoring Model'!$C$4+Q185*'Scoring Model'!$C$5+R185*'Scoring Model'!$C$6+S185*'Scoring Model'!$C$7+T185*'Scoring Model'!$C$8+U185*'Scoring Model'!$C$9)/5*100,0)</f>
        <v>92</v>
      </c>
      <c r="W185" s="26" t="str">
        <f t="shared" si="4"/>
        <v>Critical</v>
      </c>
      <c r="X185" s="26" t="s">
        <v>435</v>
      </c>
      <c r="Y185" s="26" t="s">
        <v>141</v>
      </c>
      <c r="Z185" s="29" t="s">
        <v>142</v>
      </c>
    </row>
    <row r="186" ht="15.75" customHeight="1">
      <c r="A186" s="9" t="s">
        <v>1121</v>
      </c>
      <c r="B186" s="11" t="s">
        <v>56</v>
      </c>
      <c r="C186" s="11" t="s">
        <v>1120</v>
      </c>
      <c r="D186" s="11" t="s">
        <v>430</v>
      </c>
      <c r="E186" s="11" t="s">
        <v>60</v>
      </c>
      <c r="F186" s="11" t="s">
        <v>61</v>
      </c>
      <c r="G186" s="11" t="s">
        <v>150</v>
      </c>
      <c r="H186" s="14">
        <v>1300.0</v>
      </c>
      <c r="I186" s="11" t="s">
        <v>71</v>
      </c>
      <c r="J186" s="11">
        <v>52.0</v>
      </c>
      <c r="K186" s="11" t="s">
        <v>74</v>
      </c>
      <c r="L186" s="15">
        <v>9.1</v>
      </c>
      <c r="M186" s="11" t="s">
        <v>77</v>
      </c>
      <c r="N186" s="11" t="str">
        <f t="shared" si="1"/>
        <v>Competitive</v>
      </c>
      <c r="O186" s="19" t="s">
        <v>97</v>
      </c>
      <c r="P186" s="21">
        <v>5.0</v>
      </c>
      <c r="Q186" s="11">
        <f t="shared" si="2"/>
        <v>5</v>
      </c>
      <c r="R186" s="11">
        <f t="shared" si="3"/>
        <v>3</v>
      </c>
      <c r="S186" s="21">
        <v>5.0</v>
      </c>
      <c r="T186" s="21">
        <v>5.0</v>
      </c>
      <c r="U186" s="21">
        <v>5.0</v>
      </c>
      <c r="V186" s="24">
        <f>ROUND((P186*'Scoring Model'!$C$4+Q186*'Scoring Model'!$C$5+R186*'Scoring Model'!$C$6+S186*'Scoring Model'!$C$7+T186*'Scoring Model'!$C$8+U186*'Scoring Model'!$C$9)/5*100,0)</f>
        <v>92</v>
      </c>
      <c r="W186" s="11" t="str">
        <f t="shared" si="4"/>
        <v>Critical</v>
      </c>
      <c r="X186" s="11" t="s">
        <v>435</v>
      </c>
      <c r="Y186" s="11" t="s">
        <v>141</v>
      </c>
      <c r="Z186" s="19" t="s">
        <v>142</v>
      </c>
    </row>
    <row r="187" ht="15.75" customHeight="1">
      <c r="A187" s="25" t="s">
        <v>943</v>
      </c>
      <c r="B187" s="26" t="s">
        <v>173</v>
      </c>
      <c r="C187" s="26" t="s">
        <v>1120</v>
      </c>
      <c r="D187" s="26" t="s">
        <v>430</v>
      </c>
      <c r="E187" s="26" t="s">
        <v>60</v>
      </c>
      <c r="F187" s="26" t="s">
        <v>61</v>
      </c>
      <c r="G187" s="26" t="s">
        <v>150</v>
      </c>
      <c r="H187" s="27">
        <v>5400.0</v>
      </c>
      <c r="I187" s="26" t="s">
        <v>71</v>
      </c>
      <c r="J187" s="26">
        <v>68.0</v>
      </c>
      <c r="K187" s="26" t="s">
        <v>74</v>
      </c>
      <c r="L187" s="28">
        <v>9.8</v>
      </c>
      <c r="M187" s="26" t="s">
        <v>77</v>
      </c>
      <c r="N187" s="26" t="str">
        <f t="shared" si="1"/>
        <v>Competitive</v>
      </c>
      <c r="O187" s="29" t="s">
        <v>97</v>
      </c>
      <c r="P187" s="30">
        <v>5.0</v>
      </c>
      <c r="Q187" s="26">
        <f t="shared" si="2"/>
        <v>5</v>
      </c>
      <c r="R187" s="26">
        <f t="shared" si="3"/>
        <v>2</v>
      </c>
      <c r="S187" s="30">
        <v>5.0</v>
      </c>
      <c r="T187" s="30">
        <v>5.0</v>
      </c>
      <c r="U187" s="30">
        <v>5.0</v>
      </c>
      <c r="V187" s="31">
        <f>ROUND((P187*'Scoring Model'!$C$4+Q187*'Scoring Model'!$C$5+R187*'Scoring Model'!$C$6+S187*'Scoring Model'!$C$7+T187*'Scoring Model'!$C$8+U187*'Scoring Model'!$C$9)/5*100,0)</f>
        <v>88</v>
      </c>
      <c r="W187" s="26" t="str">
        <f t="shared" si="4"/>
        <v>High</v>
      </c>
      <c r="X187" s="26" t="s">
        <v>435</v>
      </c>
      <c r="Y187" s="26" t="s">
        <v>141</v>
      </c>
      <c r="Z187" s="29" t="s">
        <v>142</v>
      </c>
    </row>
    <row r="188" ht="15.75" customHeight="1">
      <c r="A188" s="9" t="s">
        <v>1122</v>
      </c>
      <c r="B188" s="11" t="s">
        <v>56</v>
      </c>
      <c r="C188" s="11" t="s">
        <v>1120</v>
      </c>
      <c r="D188" s="11" t="s">
        <v>430</v>
      </c>
      <c r="E188" s="11" t="s">
        <v>60</v>
      </c>
      <c r="F188" s="11" t="s">
        <v>61</v>
      </c>
      <c r="G188" s="11" t="s">
        <v>150</v>
      </c>
      <c r="H188" s="14">
        <v>480.0</v>
      </c>
      <c r="I188" s="11" t="s">
        <v>71</v>
      </c>
      <c r="J188" s="11">
        <v>44.0</v>
      </c>
      <c r="K188" s="11" t="s">
        <v>74</v>
      </c>
      <c r="L188" s="15">
        <v>8.6</v>
      </c>
      <c r="M188" s="11" t="s">
        <v>77</v>
      </c>
      <c r="N188" s="11" t="str">
        <f t="shared" si="1"/>
        <v>Competitive</v>
      </c>
      <c r="O188" s="19" t="s">
        <v>97</v>
      </c>
      <c r="P188" s="21">
        <v>5.0</v>
      </c>
      <c r="Q188" s="11">
        <f t="shared" si="2"/>
        <v>4</v>
      </c>
      <c r="R188" s="11">
        <f t="shared" si="3"/>
        <v>3</v>
      </c>
      <c r="S188" s="21">
        <v>5.0</v>
      </c>
      <c r="T188" s="21">
        <v>5.0</v>
      </c>
      <c r="U188" s="21">
        <v>5.0</v>
      </c>
      <c r="V188" s="24">
        <f>ROUND((P188*'Scoring Model'!$C$4+Q188*'Scoring Model'!$C$5+R188*'Scoring Model'!$C$6+S188*'Scoring Model'!$C$7+T188*'Scoring Model'!$C$8+U188*'Scoring Model'!$C$9)/5*100,0)</f>
        <v>89</v>
      </c>
      <c r="W188" s="11" t="str">
        <f t="shared" si="4"/>
        <v>High</v>
      </c>
      <c r="X188" s="11" t="s">
        <v>435</v>
      </c>
      <c r="Y188" s="11" t="s">
        <v>141</v>
      </c>
      <c r="Z188" s="19" t="s">
        <v>142</v>
      </c>
    </row>
    <row r="189" ht="15.75" customHeight="1">
      <c r="A189" s="25" t="s">
        <v>1123</v>
      </c>
      <c r="B189" s="26" t="s">
        <v>56</v>
      </c>
      <c r="C189" s="26" t="s">
        <v>1120</v>
      </c>
      <c r="D189" s="26" t="s">
        <v>430</v>
      </c>
      <c r="E189" s="26" t="s">
        <v>60</v>
      </c>
      <c r="F189" s="26" t="s">
        <v>61</v>
      </c>
      <c r="G189" s="26" t="s">
        <v>150</v>
      </c>
      <c r="H189" s="27">
        <v>320.0</v>
      </c>
      <c r="I189" s="26" t="s">
        <v>71</v>
      </c>
      <c r="J189" s="26">
        <v>40.0</v>
      </c>
      <c r="K189" s="26" t="s">
        <v>74</v>
      </c>
      <c r="L189" s="28">
        <v>8.2</v>
      </c>
      <c r="M189" s="26" t="s">
        <v>77</v>
      </c>
      <c r="N189" s="26" t="str">
        <f t="shared" si="1"/>
        <v>Moderate</v>
      </c>
      <c r="O189" s="29" t="s">
        <v>97</v>
      </c>
      <c r="P189" s="30">
        <v>5.0</v>
      </c>
      <c r="Q189" s="26">
        <f t="shared" si="2"/>
        <v>3</v>
      </c>
      <c r="R189" s="26">
        <f t="shared" si="3"/>
        <v>4</v>
      </c>
      <c r="S189" s="30">
        <v>5.0</v>
      </c>
      <c r="T189" s="30">
        <v>5.0</v>
      </c>
      <c r="U189" s="30">
        <v>5.0</v>
      </c>
      <c r="V189" s="31">
        <f>ROUND((P189*'Scoring Model'!$C$4+Q189*'Scoring Model'!$C$5+R189*'Scoring Model'!$C$6+S189*'Scoring Model'!$C$7+T189*'Scoring Model'!$C$8+U189*'Scoring Model'!$C$9)/5*100,0)</f>
        <v>90</v>
      </c>
      <c r="W189" s="26" t="str">
        <f t="shared" si="4"/>
        <v>Critical</v>
      </c>
      <c r="X189" s="26" t="s">
        <v>435</v>
      </c>
      <c r="Y189" s="26" t="s">
        <v>141</v>
      </c>
      <c r="Z189" s="29" t="s">
        <v>142</v>
      </c>
    </row>
    <row r="190" ht="15.75" customHeight="1">
      <c r="A190" s="9" t="s">
        <v>1124</v>
      </c>
      <c r="B190" s="11" t="s">
        <v>173</v>
      </c>
      <c r="C190" s="11" t="s">
        <v>1120</v>
      </c>
      <c r="D190" s="11" t="s">
        <v>430</v>
      </c>
      <c r="E190" s="11" t="s">
        <v>60</v>
      </c>
      <c r="F190" s="11" t="s">
        <v>61</v>
      </c>
      <c r="G190" s="11" t="s">
        <v>150</v>
      </c>
      <c r="H190" s="14">
        <v>1900.0</v>
      </c>
      <c r="I190" s="11" t="s">
        <v>71</v>
      </c>
      <c r="J190" s="11">
        <v>58.0</v>
      </c>
      <c r="K190" s="11" t="s">
        <v>74</v>
      </c>
      <c r="L190" s="15">
        <v>10.4</v>
      </c>
      <c r="M190" s="11" t="s">
        <v>77</v>
      </c>
      <c r="N190" s="11" t="str">
        <f t="shared" si="1"/>
        <v>Competitive</v>
      </c>
      <c r="O190" s="19" t="s">
        <v>97</v>
      </c>
      <c r="P190" s="21">
        <v>5.0</v>
      </c>
      <c r="Q190" s="11">
        <f t="shared" si="2"/>
        <v>5</v>
      </c>
      <c r="R190" s="11">
        <f t="shared" si="3"/>
        <v>2</v>
      </c>
      <c r="S190" s="21">
        <v>5.0</v>
      </c>
      <c r="T190" s="21">
        <v>5.0</v>
      </c>
      <c r="U190" s="21">
        <v>5.0</v>
      </c>
      <c r="V190" s="24">
        <f>ROUND((P190*'Scoring Model'!$C$4+Q190*'Scoring Model'!$C$5+R190*'Scoring Model'!$C$6+S190*'Scoring Model'!$C$7+T190*'Scoring Model'!$C$8+U190*'Scoring Model'!$C$9)/5*100,0)</f>
        <v>88</v>
      </c>
      <c r="W190" s="11" t="str">
        <f t="shared" si="4"/>
        <v>High</v>
      </c>
      <c r="X190" s="11" t="s">
        <v>435</v>
      </c>
      <c r="Y190" s="11" t="s">
        <v>141</v>
      </c>
      <c r="Z190" s="19" t="s">
        <v>142</v>
      </c>
    </row>
    <row r="191" ht="15.75" customHeight="1">
      <c r="A191" s="25" t="s">
        <v>1125</v>
      </c>
      <c r="B191" s="26" t="s">
        <v>56</v>
      </c>
      <c r="C191" s="26" t="s">
        <v>1120</v>
      </c>
      <c r="D191" s="26" t="s">
        <v>430</v>
      </c>
      <c r="E191" s="26" t="s">
        <v>120</v>
      </c>
      <c r="F191" s="26" t="s">
        <v>191</v>
      </c>
      <c r="G191" s="26" t="s">
        <v>150</v>
      </c>
      <c r="H191" s="27">
        <v>1000.0</v>
      </c>
      <c r="I191" s="26" t="s">
        <v>71</v>
      </c>
      <c r="J191" s="26">
        <v>57.0</v>
      </c>
      <c r="K191" s="26" t="s">
        <v>74</v>
      </c>
      <c r="L191" s="28">
        <v>8.9</v>
      </c>
      <c r="M191" s="26" t="s">
        <v>77</v>
      </c>
      <c r="N191" s="26" t="str">
        <f t="shared" si="1"/>
        <v>Competitive</v>
      </c>
      <c r="O191" s="29" t="s">
        <v>97</v>
      </c>
      <c r="P191" s="30">
        <v>4.0</v>
      </c>
      <c r="Q191" s="26">
        <f t="shared" si="2"/>
        <v>5</v>
      </c>
      <c r="R191" s="26">
        <f t="shared" si="3"/>
        <v>2</v>
      </c>
      <c r="S191" s="30">
        <v>4.0</v>
      </c>
      <c r="T191" s="30">
        <v>3.0</v>
      </c>
      <c r="U191" s="30">
        <v>5.0</v>
      </c>
      <c r="V191" s="31">
        <f>ROUND((P191*'Scoring Model'!$C$4+Q191*'Scoring Model'!$C$5+R191*'Scoring Model'!$C$6+S191*'Scoring Model'!$C$7+T191*'Scoring Model'!$C$8+U191*'Scoring Model'!$C$9)/5*100,0)</f>
        <v>74</v>
      </c>
      <c r="W191" s="26" t="str">
        <f t="shared" si="4"/>
        <v>Medium</v>
      </c>
      <c r="X191" s="26" t="s">
        <v>435</v>
      </c>
      <c r="Y191" s="26" t="s">
        <v>141</v>
      </c>
      <c r="Z191" s="29" t="s">
        <v>249</v>
      </c>
    </row>
    <row r="192" ht="15.75" customHeight="1">
      <c r="A192" s="9" t="s">
        <v>441</v>
      </c>
      <c r="B192" s="11" t="s">
        <v>56</v>
      </c>
      <c r="C192" s="11" t="s">
        <v>1120</v>
      </c>
      <c r="D192" s="11" t="s">
        <v>439</v>
      </c>
      <c r="E192" s="11" t="s">
        <v>60</v>
      </c>
      <c r="F192" s="11" t="s">
        <v>61</v>
      </c>
      <c r="G192" s="11" t="s">
        <v>62</v>
      </c>
      <c r="H192" s="14">
        <v>320.0</v>
      </c>
      <c r="I192" s="11" t="s">
        <v>71</v>
      </c>
      <c r="J192" s="11">
        <v>38.0</v>
      </c>
      <c r="K192" s="11" t="s">
        <v>74</v>
      </c>
      <c r="L192" s="15">
        <v>9.0</v>
      </c>
      <c r="M192" s="11" t="s">
        <v>77</v>
      </c>
      <c r="N192" s="11" t="str">
        <f t="shared" si="1"/>
        <v>Moderate</v>
      </c>
      <c r="O192" s="19" t="s">
        <v>97</v>
      </c>
      <c r="P192" s="21">
        <v>5.0</v>
      </c>
      <c r="Q192" s="11">
        <f t="shared" si="2"/>
        <v>3</v>
      </c>
      <c r="R192" s="11">
        <f t="shared" si="3"/>
        <v>4</v>
      </c>
      <c r="S192" s="21">
        <v>5.0</v>
      </c>
      <c r="T192" s="21">
        <v>5.0</v>
      </c>
      <c r="U192" s="21">
        <v>3.0</v>
      </c>
      <c r="V192" s="24">
        <f>ROUND((P192*'Scoring Model'!$C$4+Q192*'Scoring Model'!$C$5+R192*'Scoring Model'!$C$6+S192*'Scoring Model'!$C$7+T192*'Scoring Model'!$C$8+U192*'Scoring Model'!$C$9)/5*100,0)</f>
        <v>86</v>
      </c>
      <c r="W192" s="11" t="str">
        <f t="shared" si="4"/>
        <v>High</v>
      </c>
      <c r="X192" s="11" t="s">
        <v>445</v>
      </c>
      <c r="Y192" s="11" t="s">
        <v>293</v>
      </c>
      <c r="Z192" s="19" t="s">
        <v>142</v>
      </c>
    </row>
    <row r="193" ht="15.75" customHeight="1">
      <c r="A193" s="25" t="s">
        <v>1060</v>
      </c>
      <c r="B193" s="26" t="s">
        <v>56</v>
      </c>
      <c r="C193" s="26" t="s">
        <v>1120</v>
      </c>
      <c r="D193" s="26" t="s">
        <v>439</v>
      </c>
      <c r="E193" s="26" t="s">
        <v>60</v>
      </c>
      <c r="F193" s="26" t="s">
        <v>61</v>
      </c>
      <c r="G193" s="26" t="s">
        <v>150</v>
      </c>
      <c r="H193" s="27">
        <v>110.0</v>
      </c>
      <c r="I193" s="26" t="s">
        <v>71</v>
      </c>
      <c r="J193" s="26">
        <v>30.0</v>
      </c>
      <c r="K193" s="26" t="s">
        <v>74</v>
      </c>
      <c r="L193" s="28">
        <v>8.4</v>
      </c>
      <c r="M193" s="26" t="s">
        <v>77</v>
      </c>
      <c r="N193" s="26" t="str">
        <f t="shared" si="1"/>
        <v>Moderate</v>
      </c>
      <c r="O193" s="29" t="s">
        <v>97</v>
      </c>
      <c r="P193" s="30">
        <v>5.0</v>
      </c>
      <c r="Q193" s="26">
        <f t="shared" si="2"/>
        <v>2</v>
      </c>
      <c r="R193" s="26">
        <f t="shared" si="3"/>
        <v>4</v>
      </c>
      <c r="S193" s="30">
        <v>5.0</v>
      </c>
      <c r="T193" s="30">
        <v>5.0</v>
      </c>
      <c r="U193" s="30">
        <v>3.0</v>
      </c>
      <c r="V193" s="31">
        <f>ROUND((P193*'Scoring Model'!$C$4+Q193*'Scoring Model'!$C$5+R193*'Scoring Model'!$C$6+S193*'Scoring Model'!$C$7+T193*'Scoring Model'!$C$8+U193*'Scoring Model'!$C$9)/5*100,0)</f>
        <v>83</v>
      </c>
      <c r="W193" s="26" t="str">
        <f t="shared" si="4"/>
        <v>High</v>
      </c>
      <c r="X193" s="26" t="s">
        <v>445</v>
      </c>
      <c r="Y193" s="26" t="s">
        <v>293</v>
      </c>
      <c r="Z193" s="29" t="s">
        <v>142</v>
      </c>
    </row>
    <row r="194" ht="15.75" customHeight="1">
      <c r="A194" s="9" t="s">
        <v>1067</v>
      </c>
      <c r="B194" s="11" t="s">
        <v>56</v>
      </c>
      <c r="C194" s="11" t="s">
        <v>1120</v>
      </c>
      <c r="D194" s="11" t="s">
        <v>439</v>
      </c>
      <c r="E194" s="11" t="s">
        <v>60</v>
      </c>
      <c r="F194" s="11" t="s">
        <v>61</v>
      </c>
      <c r="G194" s="11" t="s">
        <v>150</v>
      </c>
      <c r="H194" s="14">
        <v>60.0</v>
      </c>
      <c r="I194" s="11" t="s">
        <v>71</v>
      </c>
      <c r="J194" s="11">
        <v>26.0</v>
      </c>
      <c r="K194" s="11" t="s">
        <v>74</v>
      </c>
      <c r="L194" s="15">
        <v>7.2</v>
      </c>
      <c r="M194" s="11" t="s">
        <v>77</v>
      </c>
      <c r="N194" s="11" t="str">
        <f t="shared" si="1"/>
        <v>Moderate</v>
      </c>
      <c r="O194" s="19" t="s">
        <v>97</v>
      </c>
      <c r="P194" s="21">
        <v>5.0</v>
      </c>
      <c r="Q194" s="11">
        <f t="shared" si="2"/>
        <v>2</v>
      </c>
      <c r="R194" s="11">
        <f t="shared" si="3"/>
        <v>4</v>
      </c>
      <c r="S194" s="21">
        <v>5.0</v>
      </c>
      <c r="T194" s="21">
        <v>5.0</v>
      </c>
      <c r="U194" s="21">
        <v>3.0</v>
      </c>
      <c r="V194" s="24">
        <f>ROUND((P194*'Scoring Model'!$C$4+Q194*'Scoring Model'!$C$5+R194*'Scoring Model'!$C$6+S194*'Scoring Model'!$C$7+T194*'Scoring Model'!$C$8+U194*'Scoring Model'!$C$9)/5*100,0)</f>
        <v>83</v>
      </c>
      <c r="W194" s="11" t="str">
        <f t="shared" si="4"/>
        <v>High</v>
      </c>
      <c r="X194" s="11" t="s">
        <v>445</v>
      </c>
      <c r="Y194" s="11" t="s">
        <v>293</v>
      </c>
      <c r="Z194" s="19" t="s">
        <v>142</v>
      </c>
    </row>
    <row r="195" ht="15.75" customHeight="1">
      <c r="A195" s="25" t="s">
        <v>451</v>
      </c>
      <c r="B195" s="26" t="s">
        <v>56</v>
      </c>
      <c r="C195" s="26" t="s">
        <v>1120</v>
      </c>
      <c r="D195" s="26" t="s">
        <v>450</v>
      </c>
      <c r="E195" s="26" t="s">
        <v>60</v>
      </c>
      <c r="F195" s="26" t="s">
        <v>61</v>
      </c>
      <c r="G195" s="26" t="s">
        <v>62</v>
      </c>
      <c r="H195" s="27">
        <v>390.0</v>
      </c>
      <c r="I195" s="26" t="s">
        <v>71</v>
      </c>
      <c r="J195" s="26">
        <v>40.0</v>
      </c>
      <c r="K195" s="26" t="s">
        <v>74</v>
      </c>
      <c r="L195" s="28">
        <v>9.6</v>
      </c>
      <c r="M195" s="26" t="s">
        <v>77</v>
      </c>
      <c r="N195" s="26" t="str">
        <f t="shared" si="1"/>
        <v>Moderate</v>
      </c>
      <c r="O195" s="29" t="s">
        <v>97</v>
      </c>
      <c r="P195" s="30">
        <v>5.0</v>
      </c>
      <c r="Q195" s="26">
        <f t="shared" si="2"/>
        <v>3</v>
      </c>
      <c r="R195" s="26">
        <f t="shared" si="3"/>
        <v>4</v>
      </c>
      <c r="S195" s="30">
        <v>5.0</v>
      </c>
      <c r="T195" s="30">
        <v>5.0</v>
      </c>
      <c r="U195" s="30">
        <v>3.0</v>
      </c>
      <c r="V195" s="31">
        <f>ROUND((P195*'Scoring Model'!$C$4+Q195*'Scoring Model'!$C$5+R195*'Scoring Model'!$C$6+S195*'Scoring Model'!$C$7+T195*'Scoring Model'!$C$8+U195*'Scoring Model'!$C$9)/5*100,0)</f>
        <v>86</v>
      </c>
      <c r="W195" s="26" t="str">
        <f t="shared" si="4"/>
        <v>High</v>
      </c>
      <c r="X195" s="26" t="s">
        <v>454</v>
      </c>
      <c r="Y195" s="26" t="s">
        <v>293</v>
      </c>
      <c r="Z195" s="29" t="s">
        <v>303</v>
      </c>
    </row>
    <row r="196" ht="15.75" customHeight="1">
      <c r="A196" s="9" t="s">
        <v>1126</v>
      </c>
      <c r="B196" s="11" t="s">
        <v>56</v>
      </c>
      <c r="C196" s="11" t="s">
        <v>1120</v>
      </c>
      <c r="D196" s="11" t="s">
        <v>450</v>
      </c>
      <c r="E196" s="11" t="s">
        <v>60</v>
      </c>
      <c r="F196" s="11" t="s">
        <v>61</v>
      </c>
      <c r="G196" s="11" t="s">
        <v>150</v>
      </c>
      <c r="H196" s="14">
        <v>170.0</v>
      </c>
      <c r="I196" s="11" t="s">
        <v>71</v>
      </c>
      <c r="J196" s="11">
        <v>36.0</v>
      </c>
      <c r="K196" s="11" t="s">
        <v>74</v>
      </c>
      <c r="L196" s="15">
        <v>9.9</v>
      </c>
      <c r="M196" s="11" t="s">
        <v>77</v>
      </c>
      <c r="N196" s="11" t="str">
        <f t="shared" si="1"/>
        <v>Moderate</v>
      </c>
      <c r="O196" s="19" t="s">
        <v>97</v>
      </c>
      <c r="P196" s="21">
        <v>5.0</v>
      </c>
      <c r="Q196" s="11">
        <f t="shared" si="2"/>
        <v>3</v>
      </c>
      <c r="R196" s="11">
        <f t="shared" si="3"/>
        <v>4</v>
      </c>
      <c r="S196" s="21">
        <v>5.0</v>
      </c>
      <c r="T196" s="21">
        <v>5.0</v>
      </c>
      <c r="U196" s="21">
        <v>3.0</v>
      </c>
      <c r="V196" s="24">
        <f>ROUND((P196*'Scoring Model'!$C$4+Q196*'Scoring Model'!$C$5+R196*'Scoring Model'!$C$6+S196*'Scoring Model'!$C$7+T196*'Scoring Model'!$C$8+U196*'Scoring Model'!$C$9)/5*100,0)</f>
        <v>86</v>
      </c>
      <c r="W196" s="11" t="str">
        <f t="shared" si="4"/>
        <v>High</v>
      </c>
      <c r="X196" s="11" t="s">
        <v>454</v>
      </c>
      <c r="Y196" s="11" t="s">
        <v>293</v>
      </c>
      <c r="Z196" s="19" t="s">
        <v>142</v>
      </c>
    </row>
    <row r="197" ht="15.75" customHeight="1">
      <c r="A197" s="25" t="s">
        <v>1127</v>
      </c>
      <c r="B197" s="26" t="s">
        <v>56</v>
      </c>
      <c r="C197" s="26" t="s">
        <v>1120</v>
      </c>
      <c r="D197" s="26" t="s">
        <v>450</v>
      </c>
      <c r="E197" s="26" t="s">
        <v>60</v>
      </c>
      <c r="F197" s="26" t="s">
        <v>61</v>
      </c>
      <c r="G197" s="26" t="s">
        <v>150</v>
      </c>
      <c r="H197" s="27">
        <v>260.0</v>
      </c>
      <c r="I197" s="26" t="s">
        <v>71</v>
      </c>
      <c r="J197" s="26">
        <v>36.0</v>
      </c>
      <c r="K197" s="26" t="s">
        <v>74</v>
      </c>
      <c r="L197" s="28">
        <v>8.8</v>
      </c>
      <c r="M197" s="26" t="s">
        <v>77</v>
      </c>
      <c r="N197" s="26" t="str">
        <f t="shared" si="1"/>
        <v>Moderate</v>
      </c>
      <c r="O197" s="29" t="s">
        <v>97</v>
      </c>
      <c r="P197" s="30">
        <v>5.0</v>
      </c>
      <c r="Q197" s="26">
        <f t="shared" si="2"/>
        <v>3</v>
      </c>
      <c r="R197" s="26">
        <f t="shared" si="3"/>
        <v>4</v>
      </c>
      <c r="S197" s="30">
        <v>5.0</v>
      </c>
      <c r="T197" s="30">
        <v>5.0</v>
      </c>
      <c r="U197" s="30">
        <v>3.0</v>
      </c>
      <c r="V197" s="31">
        <f>ROUND((P197*'Scoring Model'!$C$4+Q197*'Scoring Model'!$C$5+R197*'Scoring Model'!$C$6+S197*'Scoring Model'!$C$7+T197*'Scoring Model'!$C$8+U197*'Scoring Model'!$C$9)/5*100,0)</f>
        <v>86</v>
      </c>
      <c r="W197" s="26" t="str">
        <f t="shared" si="4"/>
        <v>High</v>
      </c>
      <c r="X197" s="26" t="s">
        <v>454</v>
      </c>
      <c r="Y197" s="26" t="s">
        <v>293</v>
      </c>
      <c r="Z197" s="29" t="s">
        <v>303</v>
      </c>
    </row>
    <row r="198" ht="15.75" customHeight="1">
      <c r="A198" s="9" t="s">
        <v>1128</v>
      </c>
      <c r="B198" s="11" t="s">
        <v>56</v>
      </c>
      <c r="C198" s="11" t="s">
        <v>1120</v>
      </c>
      <c r="D198" s="11" t="s">
        <v>450</v>
      </c>
      <c r="E198" s="11" t="s">
        <v>60</v>
      </c>
      <c r="F198" s="11" t="s">
        <v>61</v>
      </c>
      <c r="G198" s="11" t="s">
        <v>150</v>
      </c>
      <c r="H198" s="14">
        <v>90.0</v>
      </c>
      <c r="I198" s="11" t="s">
        <v>71</v>
      </c>
      <c r="J198" s="11">
        <v>33.0</v>
      </c>
      <c r="K198" s="11" t="s">
        <v>74</v>
      </c>
      <c r="L198" s="15">
        <v>8.7</v>
      </c>
      <c r="M198" s="11" t="s">
        <v>77</v>
      </c>
      <c r="N198" s="11" t="str">
        <f t="shared" si="1"/>
        <v>Moderate</v>
      </c>
      <c r="O198" s="19" t="s">
        <v>97</v>
      </c>
      <c r="P198" s="21">
        <v>5.0</v>
      </c>
      <c r="Q198" s="11">
        <f t="shared" si="2"/>
        <v>2</v>
      </c>
      <c r="R198" s="11">
        <f t="shared" si="3"/>
        <v>4</v>
      </c>
      <c r="S198" s="21">
        <v>5.0</v>
      </c>
      <c r="T198" s="21">
        <v>5.0</v>
      </c>
      <c r="U198" s="21">
        <v>3.0</v>
      </c>
      <c r="V198" s="24">
        <f>ROUND((P198*'Scoring Model'!$C$4+Q198*'Scoring Model'!$C$5+R198*'Scoring Model'!$C$6+S198*'Scoring Model'!$C$7+T198*'Scoring Model'!$C$8+U198*'Scoring Model'!$C$9)/5*100,0)</f>
        <v>83</v>
      </c>
      <c r="W198" s="11" t="str">
        <f t="shared" si="4"/>
        <v>High</v>
      </c>
      <c r="X198" s="11" t="s">
        <v>454</v>
      </c>
      <c r="Y198" s="11" t="s">
        <v>293</v>
      </c>
      <c r="Z198" s="19" t="s">
        <v>303</v>
      </c>
    </row>
    <row r="199" ht="15.75" customHeight="1">
      <c r="A199" s="25" t="s">
        <v>1064</v>
      </c>
      <c r="B199" s="26" t="s">
        <v>56</v>
      </c>
      <c r="C199" s="26" t="s">
        <v>1120</v>
      </c>
      <c r="D199" s="26" t="s">
        <v>450</v>
      </c>
      <c r="E199" s="26" t="s">
        <v>60</v>
      </c>
      <c r="F199" s="26" t="s">
        <v>61</v>
      </c>
      <c r="G199" s="26" t="s">
        <v>150</v>
      </c>
      <c r="H199" s="27">
        <v>110.0</v>
      </c>
      <c r="I199" s="26" t="s">
        <v>71</v>
      </c>
      <c r="J199" s="26">
        <v>30.0</v>
      </c>
      <c r="K199" s="26" t="s">
        <v>74</v>
      </c>
      <c r="L199" s="28">
        <v>9.0</v>
      </c>
      <c r="M199" s="26" t="s">
        <v>77</v>
      </c>
      <c r="N199" s="26" t="str">
        <f t="shared" si="1"/>
        <v>Moderate</v>
      </c>
      <c r="O199" s="29" t="s">
        <v>97</v>
      </c>
      <c r="P199" s="30">
        <v>5.0</v>
      </c>
      <c r="Q199" s="26">
        <f t="shared" si="2"/>
        <v>2</v>
      </c>
      <c r="R199" s="26">
        <f t="shared" si="3"/>
        <v>4</v>
      </c>
      <c r="S199" s="30">
        <v>5.0</v>
      </c>
      <c r="T199" s="30">
        <v>5.0</v>
      </c>
      <c r="U199" s="30">
        <v>3.0</v>
      </c>
      <c r="V199" s="31">
        <f>ROUND((P199*'Scoring Model'!$C$4+Q199*'Scoring Model'!$C$5+R199*'Scoring Model'!$C$6+S199*'Scoring Model'!$C$7+T199*'Scoring Model'!$C$8+U199*'Scoring Model'!$C$9)/5*100,0)</f>
        <v>83</v>
      </c>
      <c r="W199" s="26" t="str">
        <f t="shared" si="4"/>
        <v>High</v>
      </c>
      <c r="X199" s="26" t="s">
        <v>454</v>
      </c>
      <c r="Y199" s="26" t="s">
        <v>293</v>
      </c>
      <c r="Z199" s="29" t="s">
        <v>303</v>
      </c>
    </row>
    <row r="200" ht="15.75" customHeight="1">
      <c r="A200" s="9" t="s">
        <v>458</v>
      </c>
      <c r="B200" s="11" t="s">
        <v>1129</v>
      </c>
      <c r="C200" s="11" t="s">
        <v>457</v>
      </c>
      <c r="D200" s="11" t="s">
        <v>457</v>
      </c>
      <c r="E200" s="11" t="s">
        <v>60</v>
      </c>
      <c r="F200" s="11" t="s">
        <v>61</v>
      </c>
      <c r="G200" s="11" t="s">
        <v>62</v>
      </c>
      <c r="H200" s="14">
        <v>1300.0</v>
      </c>
      <c r="I200" s="11" t="s">
        <v>71</v>
      </c>
      <c r="J200" s="11">
        <v>54.0</v>
      </c>
      <c r="K200" s="11" t="s">
        <v>74</v>
      </c>
      <c r="L200" s="15">
        <v>8.6</v>
      </c>
      <c r="M200" s="11" t="s">
        <v>77</v>
      </c>
      <c r="N200" s="11" t="str">
        <f t="shared" si="1"/>
        <v>Competitive</v>
      </c>
      <c r="O200" s="19" t="s">
        <v>97</v>
      </c>
      <c r="P200" s="21">
        <v>5.0</v>
      </c>
      <c r="Q200" s="11">
        <f t="shared" si="2"/>
        <v>5</v>
      </c>
      <c r="R200" s="11">
        <f t="shared" si="3"/>
        <v>3</v>
      </c>
      <c r="S200" s="21">
        <v>5.0</v>
      </c>
      <c r="T200" s="21">
        <v>5.0</v>
      </c>
      <c r="U200" s="21">
        <v>5.0</v>
      </c>
      <c r="V200" s="24">
        <f>ROUND((P200*'Scoring Model'!$C$4+Q200*'Scoring Model'!$C$5+R200*'Scoring Model'!$C$6+S200*'Scoring Model'!$C$7+T200*'Scoring Model'!$C$8+U200*'Scoring Model'!$C$9)/5*100,0)</f>
        <v>92</v>
      </c>
      <c r="W200" s="11" t="str">
        <f t="shared" si="4"/>
        <v>Critical</v>
      </c>
      <c r="X200" s="11" t="s">
        <v>462</v>
      </c>
      <c r="Y200" s="11" t="s">
        <v>293</v>
      </c>
      <c r="Z200" s="19" t="s">
        <v>142</v>
      </c>
    </row>
    <row r="201" ht="15.75" customHeight="1">
      <c r="A201" s="25" t="s">
        <v>1130</v>
      </c>
      <c r="B201" s="26" t="s">
        <v>173</v>
      </c>
      <c r="C201" s="26" t="s">
        <v>457</v>
      </c>
      <c r="D201" s="26" t="s">
        <v>457</v>
      </c>
      <c r="E201" s="26" t="s">
        <v>60</v>
      </c>
      <c r="F201" s="26" t="s">
        <v>61</v>
      </c>
      <c r="G201" s="26" t="s">
        <v>150</v>
      </c>
      <c r="H201" s="27">
        <v>2400.0</v>
      </c>
      <c r="I201" s="26" t="s">
        <v>71</v>
      </c>
      <c r="J201" s="26">
        <v>60.0</v>
      </c>
      <c r="K201" s="26" t="s">
        <v>74</v>
      </c>
      <c r="L201" s="28">
        <v>8.9</v>
      </c>
      <c r="M201" s="26" t="s">
        <v>77</v>
      </c>
      <c r="N201" s="26" t="str">
        <f t="shared" si="1"/>
        <v>Competitive</v>
      </c>
      <c r="O201" s="29" t="s">
        <v>97</v>
      </c>
      <c r="P201" s="30">
        <v>5.0</v>
      </c>
      <c r="Q201" s="26">
        <f t="shared" si="2"/>
        <v>5</v>
      </c>
      <c r="R201" s="26">
        <f t="shared" si="3"/>
        <v>2</v>
      </c>
      <c r="S201" s="30">
        <v>5.0</v>
      </c>
      <c r="T201" s="30">
        <v>5.0</v>
      </c>
      <c r="U201" s="30">
        <v>5.0</v>
      </c>
      <c r="V201" s="31">
        <f>ROUND((P201*'Scoring Model'!$C$4+Q201*'Scoring Model'!$C$5+R201*'Scoring Model'!$C$6+S201*'Scoring Model'!$C$7+T201*'Scoring Model'!$C$8+U201*'Scoring Model'!$C$9)/5*100,0)</f>
        <v>88</v>
      </c>
      <c r="W201" s="26" t="str">
        <f t="shared" si="4"/>
        <v>High</v>
      </c>
      <c r="X201" s="26" t="s">
        <v>462</v>
      </c>
      <c r="Y201" s="26" t="s">
        <v>293</v>
      </c>
      <c r="Z201" s="29" t="s">
        <v>142</v>
      </c>
    </row>
    <row r="202" ht="15.75" customHeight="1">
      <c r="A202" s="9" t="s">
        <v>1131</v>
      </c>
      <c r="B202" s="11" t="s">
        <v>1129</v>
      </c>
      <c r="C202" s="11" t="s">
        <v>457</v>
      </c>
      <c r="D202" s="11" t="s">
        <v>457</v>
      </c>
      <c r="E202" s="11" t="s">
        <v>60</v>
      </c>
      <c r="F202" s="11" t="s">
        <v>61</v>
      </c>
      <c r="G202" s="11" t="s">
        <v>150</v>
      </c>
      <c r="H202" s="14">
        <v>390.0</v>
      </c>
      <c r="I202" s="11" t="s">
        <v>71</v>
      </c>
      <c r="J202" s="11">
        <v>46.0</v>
      </c>
      <c r="K202" s="11" t="s">
        <v>74</v>
      </c>
      <c r="L202" s="15">
        <v>8.2</v>
      </c>
      <c r="M202" s="11" t="s">
        <v>77</v>
      </c>
      <c r="N202" s="11" t="str">
        <f t="shared" si="1"/>
        <v>Competitive</v>
      </c>
      <c r="O202" s="19" t="s">
        <v>97</v>
      </c>
      <c r="P202" s="21">
        <v>5.0</v>
      </c>
      <c r="Q202" s="11">
        <f t="shared" si="2"/>
        <v>3</v>
      </c>
      <c r="R202" s="11">
        <f t="shared" si="3"/>
        <v>3</v>
      </c>
      <c r="S202" s="21">
        <v>5.0</v>
      </c>
      <c r="T202" s="21">
        <v>5.0</v>
      </c>
      <c r="U202" s="21">
        <v>5.0</v>
      </c>
      <c r="V202" s="24">
        <f>ROUND((P202*'Scoring Model'!$C$4+Q202*'Scoring Model'!$C$5+R202*'Scoring Model'!$C$6+S202*'Scoring Model'!$C$7+T202*'Scoring Model'!$C$8+U202*'Scoring Model'!$C$9)/5*100,0)</f>
        <v>86</v>
      </c>
      <c r="W202" s="11" t="str">
        <f t="shared" si="4"/>
        <v>High</v>
      </c>
      <c r="X202" s="11" t="s">
        <v>462</v>
      </c>
      <c r="Y202" s="11" t="s">
        <v>293</v>
      </c>
      <c r="Z202" s="19" t="s">
        <v>142</v>
      </c>
    </row>
    <row r="203" ht="15.75" customHeight="1">
      <c r="A203" s="25" t="s">
        <v>1132</v>
      </c>
      <c r="B203" s="26" t="s">
        <v>1129</v>
      </c>
      <c r="C203" s="26" t="s">
        <v>457</v>
      </c>
      <c r="D203" s="26" t="s">
        <v>457</v>
      </c>
      <c r="E203" s="26" t="s">
        <v>120</v>
      </c>
      <c r="F203" s="26" t="s">
        <v>191</v>
      </c>
      <c r="G203" s="26" t="s">
        <v>150</v>
      </c>
      <c r="H203" s="27">
        <v>320.0</v>
      </c>
      <c r="I203" s="26" t="s">
        <v>71</v>
      </c>
      <c r="J203" s="26">
        <v>44.0</v>
      </c>
      <c r="K203" s="26" t="s">
        <v>74</v>
      </c>
      <c r="L203" s="28">
        <v>8.5</v>
      </c>
      <c r="M203" s="26" t="s">
        <v>77</v>
      </c>
      <c r="N203" s="26" t="str">
        <f t="shared" si="1"/>
        <v>Competitive</v>
      </c>
      <c r="O203" s="29" t="s">
        <v>97</v>
      </c>
      <c r="P203" s="30">
        <v>4.0</v>
      </c>
      <c r="Q203" s="26">
        <f t="shared" si="2"/>
        <v>3</v>
      </c>
      <c r="R203" s="26">
        <f t="shared" si="3"/>
        <v>3</v>
      </c>
      <c r="S203" s="30">
        <v>4.0</v>
      </c>
      <c r="T203" s="30">
        <v>3.0</v>
      </c>
      <c r="U203" s="30">
        <v>5.0</v>
      </c>
      <c r="V203" s="31">
        <f>ROUND((P203*'Scoring Model'!$C$4+Q203*'Scoring Model'!$C$5+R203*'Scoring Model'!$C$6+S203*'Scoring Model'!$C$7+T203*'Scoring Model'!$C$8+U203*'Scoring Model'!$C$9)/5*100,0)</f>
        <v>72</v>
      </c>
      <c r="W203" s="26" t="str">
        <f t="shared" si="4"/>
        <v>Medium</v>
      </c>
      <c r="X203" s="26" t="s">
        <v>462</v>
      </c>
      <c r="Y203" s="26" t="s">
        <v>293</v>
      </c>
      <c r="Z203" s="29" t="s">
        <v>249</v>
      </c>
    </row>
    <row r="204" ht="15.75" customHeight="1">
      <c r="A204" s="9" t="s">
        <v>1044</v>
      </c>
      <c r="B204" s="11" t="s">
        <v>173</v>
      </c>
      <c r="C204" s="11" t="s">
        <v>457</v>
      </c>
      <c r="D204" s="11" t="s">
        <v>457</v>
      </c>
      <c r="E204" s="11" t="s">
        <v>60</v>
      </c>
      <c r="F204" s="11" t="s">
        <v>61</v>
      </c>
      <c r="G204" s="11" t="s">
        <v>150</v>
      </c>
      <c r="H204" s="14">
        <v>70.0</v>
      </c>
      <c r="I204" s="11" t="s">
        <v>71</v>
      </c>
      <c r="J204" s="11">
        <v>30.0</v>
      </c>
      <c r="K204" s="11" t="s">
        <v>74</v>
      </c>
      <c r="L204" s="15">
        <v>7.2</v>
      </c>
      <c r="M204" s="11" t="s">
        <v>77</v>
      </c>
      <c r="N204" s="11" t="str">
        <f t="shared" si="1"/>
        <v>Moderate</v>
      </c>
      <c r="O204" s="19" t="s">
        <v>97</v>
      </c>
      <c r="P204" s="21">
        <v>5.0</v>
      </c>
      <c r="Q204" s="11">
        <f t="shared" si="2"/>
        <v>2</v>
      </c>
      <c r="R204" s="11">
        <f t="shared" si="3"/>
        <v>4</v>
      </c>
      <c r="S204" s="21">
        <v>5.0</v>
      </c>
      <c r="T204" s="21">
        <v>5.0</v>
      </c>
      <c r="U204" s="21">
        <v>5.0</v>
      </c>
      <c r="V204" s="24">
        <f>ROUND((P204*'Scoring Model'!$C$4+Q204*'Scoring Model'!$C$5+R204*'Scoring Model'!$C$6+S204*'Scoring Model'!$C$7+T204*'Scoring Model'!$C$8+U204*'Scoring Model'!$C$9)/5*100,0)</f>
        <v>87</v>
      </c>
      <c r="W204" s="11" t="str">
        <f t="shared" si="4"/>
        <v>High</v>
      </c>
      <c r="X204" s="11" t="s">
        <v>462</v>
      </c>
      <c r="Y204" s="11" t="s">
        <v>293</v>
      </c>
      <c r="Z204" s="19" t="s">
        <v>142</v>
      </c>
    </row>
    <row r="205" ht="15.75" customHeight="1">
      <c r="A205" s="25" t="s">
        <v>469</v>
      </c>
      <c r="B205" s="26" t="s">
        <v>1129</v>
      </c>
      <c r="C205" s="26" t="s">
        <v>457</v>
      </c>
      <c r="D205" s="26" t="s">
        <v>468</v>
      </c>
      <c r="E205" s="26" t="s">
        <v>60</v>
      </c>
      <c r="F205" s="26" t="s">
        <v>61</v>
      </c>
      <c r="G205" s="26" t="s">
        <v>62</v>
      </c>
      <c r="H205" s="27">
        <v>480.0</v>
      </c>
      <c r="I205" s="26" t="s">
        <v>71</v>
      </c>
      <c r="J205" s="26">
        <v>48.0</v>
      </c>
      <c r="K205" s="26" t="s">
        <v>74</v>
      </c>
      <c r="L205" s="28">
        <v>7.9</v>
      </c>
      <c r="M205" s="26" t="s">
        <v>77</v>
      </c>
      <c r="N205" s="26" t="str">
        <f t="shared" si="1"/>
        <v>Competitive</v>
      </c>
      <c r="O205" s="29" t="s">
        <v>97</v>
      </c>
      <c r="P205" s="30">
        <v>3.0</v>
      </c>
      <c r="Q205" s="26">
        <f t="shared" si="2"/>
        <v>4</v>
      </c>
      <c r="R205" s="26">
        <f t="shared" si="3"/>
        <v>3</v>
      </c>
      <c r="S205" s="30">
        <v>5.0</v>
      </c>
      <c r="T205" s="30">
        <v>5.0</v>
      </c>
      <c r="U205" s="30">
        <v>3.0</v>
      </c>
      <c r="V205" s="31">
        <f>ROUND((P205*'Scoring Model'!$C$4+Q205*'Scoring Model'!$C$5+R205*'Scoring Model'!$C$6+S205*'Scoring Model'!$C$7+T205*'Scoring Model'!$C$8+U205*'Scoring Model'!$C$9)/5*100,0)</f>
        <v>75</v>
      </c>
      <c r="W205" s="26" t="str">
        <f t="shared" si="4"/>
        <v>High</v>
      </c>
      <c r="X205" s="26" t="s">
        <v>472</v>
      </c>
      <c r="Y205" s="26" t="s">
        <v>293</v>
      </c>
      <c r="Z205" s="29" t="s">
        <v>142</v>
      </c>
    </row>
    <row r="206" ht="15.75" customHeight="1">
      <c r="A206" s="9" t="s">
        <v>1133</v>
      </c>
      <c r="B206" s="11" t="s">
        <v>1129</v>
      </c>
      <c r="C206" s="11" t="s">
        <v>457</v>
      </c>
      <c r="D206" s="11" t="s">
        <v>468</v>
      </c>
      <c r="E206" s="11" t="s">
        <v>120</v>
      </c>
      <c r="F206" s="11" t="s">
        <v>191</v>
      </c>
      <c r="G206" s="11" t="s">
        <v>150</v>
      </c>
      <c r="H206" s="14">
        <v>140.0</v>
      </c>
      <c r="I206" s="11" t="s">
        <v>71</v>
      </c>
      <c r="J206" s="11">
        <v>32.0</v>
      </c>
      <c r="K206" s="11" t="s">
        <v>74</v>
      </c>
      <c r="L206" s="15">
        <v>7.4</v>
      </c>
      <c r="M206" s="11" t="s">
        <v>77</v>
      </c>
      <c r="N206" s="11" t="str">
        <f t="shared" si="1"/>
        <v>Moderate</v>
      </c>
      <c r="O206" s="19" t="s">
        <v>97</v>
      </c>
      <c r="P206" s="21">
        <v>2.0</v>
      </c>
      <c r="Q206" s="11">
        <f t="shared" si="2"/>
        <v>2</v>
      </c>
      <c r="R206" s="11">
        <f t="shared" si="3"/>
        <v>4</v>
      </c>
      <c r="S206" s="21">
        <v>3.0</v>
      </c>
      <c r="T206" s="21">
        <v>3.0</v>
      </c>
      <c r="U206" s="21">
        <v>3.0</v>
      </c>
      <c r="V206" s="24">
        <f>ROUND((P206*'Scoring Model'!$C$4+Q206*'Scoring Model'!$C$5+R206*'Scoring Model'!$C$6+S206*'Scoring Model'!$C$7+T206*'Scoring Model'!$C$8+U206*'Scoring Model'!$C$9)/5*100,0)</f>
        <v>56</v>
      </c>
      <c r="W206" s="11" t="str">
        <f t="shared" si="4"/>
        <v>Low</v>
      </c>
      <c r="X206" s="11" t="s">
        <v>472</v>
      </c>
      <c r="Y206" s="11" t="s">
        <v>293</v>
      </c>
      <c r="Z206" s="19" t="s">
        <v>249</v>
      </c>
    </row>
    <row r="207" ht="15.75" customHeight="1">
      <c r="A207" s="25" t="s">
        <v>662</v>
      </c>
      <c r="B207" s="26" t="s">
        <v>173</v>
      </c>
      <c r="C207" s="26" t="s">
        <v>457</v>
      </c>
      <c r="D207" s="26" t="s">
        <v>468</v>
      </c>
      <c r="E207" s="26" t="s">
        <v>60</v>
      </c>
      <c r="F207" s="26" t="s">
        <v>61</v>
      </c>
      <c r="G207" s="26" t="s">
        <v>150</v>
      </c>
      <c r="H207" s="27">
        <v>1000.0</v>
      </c>
      <c r="I207" s="26" t="s">
        <v>71</v>
      </c>
      <c r="J207" s="26">
        <v>52.0</v>
      </c>
      <c r="K207" s="26" t="s">
        <v>74</v>
      </c>
      <c r="L207" s="28">
        <v>7.6</v>
      </c>
      <c r="M207" s="26" t="s">
        <v>77</v>
      </c>
      <c r="N207" s="26" t="str">
        <f t="shared" si="1"/>
        <v>Competitive</v>
      </c>
      <c r="O207" s="29" t="s">
        <v>97</v>
      </c>
      <c r="P207" s="30">
        <v>3.0</v>
      </c>
      <c r="Q207" s="26">
        <f t="shared" si="2"/>
        <v>5</v>
      </c>
      <c r="R207" s="26">
        <f t="shared" si="3"/>
        <v>3</v>
      </c>
      <c r="S207" s="30">
        <v>5.0</v>
      </c>
      <c r="T207" s="30">
        <v>5.0</v>
      </c>
      <c r="U207" s="30">
        <v>3.0</v>
      </c>
      <c r="V207" s="31">
        <f>ROUND((P207*'Scoring Model'!$C$4+Q207*'Scoring Model'!$C$5+R207*'Scoring Model'!$C$6+S207*'Scoring Model'!$C$7+T207*'Scoring Model'!$C$8+U207*'Scoring Model'!$C$9)/5*100,0)</f>
        <v>78</v>
      </c>
      <c r="W207" s="26" t="str">
        <f t="shared" si="4"/>
        <v>High</v>
      </c>
      <c r="X207" s="26" t="s">
        <v>472</v>
      </c>
      <c r="Y207" s="26" t="s">
        <v>293</v>
      </c>
      <c r="Z207" s="29" t="s">
        <v>142</v>
      </c>
    </row>
    <row r="208" ht="15.75" customHeight="1">
      <c r="A208" s="9" t="s">
        <v>1134</v>
      </c>
      <c r="B208" s="11" t="s">
        <v>1129</v>
      </c>
      <c r="C208" s="11" t="s">
        <v>457</v>
      </c>
      <c r="D208" s="11" t="s">
        <v>468</v>
      </c>
      <c r="E208" s="11" t="s">
        <v>60</v>
      </c>
      <c r="F208" s="11" t="s">
        <v>61</v>
      </c>
      <c r="G208" s="11" t="s">
        <v>150</v>
      </c>
      <c r="H208" s="14">
        <v>590.0</v>
      </c>
      <c r="I208" s="11" t="s">
        <v>71</v>
      </c>
      <c r="J208" s="11">
        <v>54.0</v>
      </c>
      <c r="K208" s="11" t="s">
        <v>74</v>
      </c>
      <c r="L208" s="15">
        <v>8.1</v>
      </c>
      <c r="M208" s="11" t="s">
        <v>77</v>
      </c>
      <c r="N208" s="11" t="str">
        <f t="shared" si="1"/>
        <v>Competitive</v>
      </c>
      <c r="O208" s="19" t="s">
        <v>97</v>
      </c>
      <c r="P208" s="21">
        <v>3.0</v>
      </c>
      <c r="Q208" s="11">
        <f t="shared" si="2"/>
        <v>4</v>
      </c>
      <c r="R208" s="11">
        <f t="shared" si="3"/>
        <v>3</v>
      </c>
      <c r="S208" s="21">
        <v>5.0</v>
      </c>
      <c r="T208" s="21">
        <v>5.0</v>
      </c>
      <c r="U208" s="21">
        <v>3.0</v>
      </c>
      <c r="V208" s="24">
        <f>ROUND((P208*'Scoring Model'!$C$4+Q208*'Scoring Model'!$C$5+R208*'Scoring Model'!$C$6+S208*'Scoring Model'!$C$7+T208*'Scoring Model'!$C$8+U208*'Scoring Model'!$C$9)/5*100,0)</f>
        <v>75</v>
      </c>
      <c r="W208" s="11" t="str">
        <f t="shared" si="4"/>
        <v>High</v>
      </c>
      <c r="X208" s="11" t="s">
        <v>472</v>
      </c>
      <c r="Y208" s="11" t="s">
        <v>293</v>
      </c>
      <c r="Z208" s="19" t="s">
        <v>303</v>
      </c>
    </row>
    <row r="209" ht="15.75" customHeight="1">
      <c r="A209" s="25" t="s">
        <v>477</v>
      </c>
      <c r="B209" s="26" t="s">
        <v>1129</v>
      </c>
      <c r="C209" s="26" t="s">
        <v>457</v>
      </c>
      <c r="D209" s="26" t="s">
        <v>476</v>
      </c>
      <c r="E209" s="26" t="s">
        <v>120</v>
      </c>
      <c r="F209" s="26" t="s">
        <v>191</v>
      </c>
      <c r="G209" s="26" t="s">
        <v>62</v>
      </c>
      <c r="H209" s="27">
        <v>70.0</v>
      </c>
      <c r="I209" s="26" t="s">
        <v>71</v>
      </c>
      <c r="J209" s="26">
        <v>28.0</v>
      </c>
      <c r="K209" s="26" t="s">
        <v>74</v>
      </c>
      <c r="L209" s="28">
        <v>7.1</v>
      </c>
      <c r="M209" s="26" t="s">
        <v>77</v>
      </c>
      <c r="N209" s="26" t="str">
        <f t="shared" si="1"/>
        <v>Moderate</v>
      </c>
      <c r="O209" s="29" t="s">
        <v>97</v>
      </c>
      <c r="P209" s="30">
        <v>2.0</v>
      </c>
      <c r="Q209" s="26">
        <f t="shared" si="2"/>
        <v>2</v>
      </c>
      <c r="R209" s="26">
        <f t="shared" si="3"/>
        <v>4</v>
      </c>
      <c r="S209" s="30">
        <v>3.0</v>
      </c>
      <c r="T209" s="30">
        <v>3.0</v>
      </c>
      <c r="U209" s="30">
        <v>3.0</v>
      </c>
      <c r="V209" s="31">
        <f>ROUND((P209*'Scoring Model'!$C$4+Q209*'Scoring Model'!$C$5+R209*'Scoring Model'!$C$6+S209*'Scoring Model'!$C$7+T209*'Scoring Model'!$C$8+U209*'Scoring Model'!$C$9)/5*100,0)</f>
        <v>56</v>
      </c>
      <c r="W209" s="26" t="str">
        <f t="shared" si="4"/>
        <v>Low</v>
      </c>
      <c r="X209" s="26" t="s">
        <v>480</v>
      </c>
      <c r="Y209" s="26" t="s">
        <v>293</v>
      </c>
      <c r="Z209" s="29" t="s">
        <v>1135</v>
      </c>
    </row>
    <row r="210" ht="15.75" customHeight="1">
      <c r="A210" s="9" t="s">
        <v>478</v>
      </c>
      <c r="B210" s="11" t="s">
        <v>1129</v>
      </c>
      <c r="C210" s="11" t="s">
        <v>457</v>
      </c>
      <c r="D210" s="11" t="s">
        <v>476</v>
      </c>
      <c r="E210" s="11" t="s">
        <v>60</v>
      </c>
      <c r="F210" s="11" t="s">
        <v>61</v>
      </c>
      <c r="G210" s="11" t="s">
        <v>150</v>
      </c>
      <c r="H210" s="14">
        <v>390.0</v>
      </c>
      <c r="I210" s="11" t="s">
        <v>71</v>
      </c>
      <c r="J210" s="11">
        <v>42.0</v>
      </c>
      <c r="K210" s="11" t="s">
        <v>74</v>
      </c>
      <c r="L210" s="15">
        <v>10.8</v>
      </c>
      <c r="M210" s="11" t="s">
        <v>77</v>
      </c>
      <c r="N210" s="11" t="str">
        <f t="shared" si="1"/>
        <v>Competitive</v>
      </c>
      <c r="O210" s="19" t="s">
        <v>97</v>
      </c>
      <c r="P210" s="21">
        <v>3.0</v>
      </c>
      <c r="Q210" s="11">
        <f t="shared" si="2"/>
        <v>3</v>
      </c>
      <c r="R210" s="11">
        <f t="shared" si="3"/>
        <v>3</v>
      </c>
      <c r="S210" s="21">
        <v>5.0</v>
      </c>
      <c r="T210" s="21">
        <v>5.0</v>
      </c>
      <c r="U210" s="21">
        <v>3.0</v>
      </c>
      <c r="V210" s="24">
        <f>ROUND((P210*'Scoring Model'!$C$4+Q210*'Scoring Model'!$C$5+R210*'Scoring Model'!$C$6+S210*'Scoring Model'!$C$7+T210*'Scoring Model'!$C$8+U210*'Scoring Model'!$C$9)/5*100,0)</f>
        <v>72</v>
      </c>
      <c r="W210" s="11" t="str">
        <f t="shared" si="4"/>
        <v>Medium</v>
      </c>
      <c r="X210" s="11" t="s">
        <v>480</v>
      </c>
      <c r="Y210" s="11" t="s">
        <v>293</v>
      </c>
      <c r="Z210" s="19" t="s">
        <v>303</v>
      </c>
    </row>
    <row r="211" ht="15.75" customHeight="1">
      <c r="A211" s="25" t="s">
        <v>483</v>
      </c>
      <c r="B211" s="26" t="s">
        <v>1136</v>
      </c>
      <c r="C211" s="26" t="s">
        <v>1137</v>
      </c>
      <c r="D211" s="26" t="s">
        <v>482</v>
      </c>
      <c r="E211" s="26" t="s">
        <v>60</v>
      </c>
      <c r="F211" s="26" t="s">
        <v>61</v>
      </c>
      <c r="G211" s="26" t="s">
        <v>62</v>
      </c>
      <c r="H211" s="27">
        <v>210.0</v>
      </c>
      <c r="I211" s="26" t="s">
        <v>71</v>
      </c>
      <c r="J211" s="26">
        <v>34.0</v>
      </c>
      <c r="K211" s="26" t="s">
        <v>74</v>
      </c>
      <c r="L211" s="28">
        <v>8.4</v>
      </c>
      <c r="M211" s="26" t="s">
        <v>77</v>
      </c>
      <c r="N211" s="26" t="str">
        <f t="shared" si="1"/>
        <v>Moderate</v>
      </c>
      <c r="O211" s="29" t="s">
        <v>97</v>
      </c>
      <c r="P211" s="30">
        <v>4.0</v>
      </c>
      <c r="Q211" s="26">
        <f t="shared" si="2"/>
        <v>3</v>
      </c>
      <c r="R211" s="26">
        <f t="shared" si="3"/>
        <v>4</v>
      </c>
      <c r="S211" s="30">
        <v>5.0</v>
      </c>
      <c r="T211" s="30">
        <v>5.0</v>
      </c>
      <c r="U211" s="30">
        <v>3.0</v>
      </c>
      <c r="V211" s="31">
        <f>ROUND((P211*'Scoring Model'!$C$4+Q211*'Scoring Model'!$C$5+R211*'Scoring Model'!$C$6+S211*'Scoring Model'!$C$7+T211*'Scoring Model'!$C$8+U211*'Scoring Model'!$C$9)/5*100,0)</f>
        <v>81</v>
      </c>
      <c r="W211" s="26" t="str">
        <f t="shared" si="4"/>
        <v>High</v>
      </c>
      <c r="X211" s="26" t="s">
        <v>486</v>
      </c>
      <c r="Y211" s="26" t="s">
        <v>293</v>
      </c>
      <c r="Z211" s="29" t="s">
        <v>142</v>
      </c>
    </row>
    <row r="212" ht="15.75" customHeight="1">
      <c r="A212" s="9" t="s">
        <v>665</v>
      </c>
      <c r="B212" s="11" t="s">
        <v>1136</v>
      </c>
      <c r="C212" s="11" t="s">
        <v>1137</v>
      </c>
      <c r="D212" s="11" t="s">
        <v>482</v>
      </c>
      <c r="E212" s="11" t="s">
        <v>60</v>
      </c>
      <c r="F212" s="11" t="s">
        <v>61</v>
      </c>
      <c r="G212" s="11" t="s">
        <v>150</v>
      </c>
      <c r="H212" s="14">
        <v>140.0</v>
      </c>
      <c r="I212" s="11" t="s">
        <v>71</v>
      </c>
      <c r="J212" s="11">
        <v>22.0</v>
      </c>
      <c r="K212" s="11" t="s">
        <v>74</v>
      </c>
      <c r="L212" s="15">
        <v>8.0</v>
      </c>
      <c r="M212" s="11" t="s">
        <v>77</v>
      </c>
      <c r="N212" s="11" t="str">
        <f t="shared" si="1"/>
        <v>Moderate</v>
      </c>
      <c r="O212" s="19" t="s">
        <v>97</v>
      </c>
      <c r="P212" s="21">
        <v>4.0</v>
      </c>
      <c r="Q212" s="11">
        <f t="shared" si="2"/>
        <v>2</v>
      </c>
      <c r="R212" s="11">
        <f t="shared" si="3"/>
        <v>5</v>
      </c>
      <c r="S212" s="21">
        <v>5.0</v>
      </c>
      <c r="T212" s="21">
        <v>5.0</v>
      </c>
      <c r="U212" s="21">
        <v>3.0</v>
      </c>
      <c r="V212" s="24">
        <f>ROUND((P212*'Scoring Model'!$C$4+Q212*'Scoring Model'!$C$5+R212*'Scoring Model'!$C$6+S212*'Scoring Model'!$C$7+T212*'Scoring Model'!$C$8+U212*'Scoring Model'!$C$9)/5*100,0)</f>
        <v>82</v>
      </c>
      <c r="W212" s="11" t="str">
        <f t="shared" si="4"/>
        <v>High</v>
      </c>
      <c r="X212" s="11" t="s">
        <v>486</v>
      </c>
      <c r="Y212" s="11" t="s">
        <v>293</v>
      </c>
      <c r="Z212" s="19" t="s">
        <v>142</v>
      </c>
    </row>
    <row r="213" ht="15.75" customHeight="1">
      <c r="A213" s="25" t="s">
        <v>1138</v>
      </c>
      <c r="B213" s="26" t="s">
        <v>1136</v>
      </c>
      <c r="C213" s="26" t="s">
        <v>1137</v>
      </c>
      <c r="D213" s="26" t="s">
        <v>482</v>
      </c>
      <c r="E213" s="26" t="s">
        <v>60</v>
      </c>
      <c r="F213" s="26" t="s">
        <v>61</v>
      </c>
      <c r="G213" s="26" t="s">
        <v>150</v>
      </c>
      <c r="H213" s="27">
        <v>60.0</v>
      </c>
      <c r="I213" s="26" t="s">
        <v>71</v>
      </c>
      <c r="J213" s="26">
        <v>20.0</v>
      </c>
      <c r="K213" s="26" t="s">
        <v>74</v>
      </c>
      <c r="L213" s="28">
        <v>7.9</v>
      </c>
      <c r="M213" s="26" t="s">
        <v>77</v>
      </c>
      <c r="N213" s="26" t="str">
        <f t="shared" si="1"/>
        <v>Easy</v>
      </c>
      <c r="O213" s="29" t="s">
        <v>97</v>
      </c>
      <c r="P213" s="30">
        <v>4.0</v>
      </c>
      <c r="Q213" s="26">
        <f t="shared" si="2"/>
        <v>2</v>
      </c>
      <c r="R213" s="26">
        <f t="shared" si="3"/>
        <v>5</v>
      </c>
      <c r="S213" s="30">
        <v>5.0</v>
      </c>
      <c r="T213" s="30">
        <v>5.0</v>
      </c>
      <c r="U213" s="30">
        <v>3.0</v>
      </c>
      <c r="V213" s="31">
        <f>ROUND((P213*'Scoring Model'!$C$4+Q213*'Scoring Model'!$C$5+R213*'Scoring Model'!$C$6+S213*'Scoring Model'!$C$7+T213*'Scoring Model'!$C$8+U213*'Scoring Model'!$C$9)/5*100,0)</f>
        <v>82</v>
      </c>
      <c r="W213" s="26" t="str">
        <f t="shared" si="4"/>
        <v>High</v>
      </c>
      <c r="X213" s="26" t="s">
        <v>486</v>
      </c>
      <c r="Y213" s="26" t="s">
        <v>293</v>
      </c>
      <c r="Z213" s="29" t="s">
        <v>142</v>
      </c>
    </row>
    <row r="214" ht="15.75" customHeight="1">
      <c r="A214" s="9" t="s">
        <v>1139</v>
      </c>
      <c r="B214" s="11" t="s">
        <v>1136</v>
      </c>
      <c r="C214" s="11" t="s">
        <v>1137</v>
      </c>
      <c r="D214" s="11" t="s">
        <v>482</v>
      </c>
      <c r="E214" s="11" t="s">
        <v>60</v>
      </c>
      <c r="F214" s="11" t="s">
        <v>61</v>
      </c>
      <c r="G214" s="11" t="s">
        <v>150</v>
      </c>
      <c r="H214" s="14">
        <v>170.0</v>
      </c>
      <c r="I214" s="11" t="s">
        <v>71</v>
      </c>
      <c r="J214" s="11">
        <v>30.0</v>
      </c>
      <c r="K214" s="11" t="s">
        <v>74</v>
      </c>
      <c r="L214" s="15">
        <v>8.2</v>
      </c>
      <c r="M214" s="11" t="s">
        <v>77</v>
      </c>
      <c r="N214" s="11" t="str">
        <f t="shared" si="1"/>
        <v>Moderate</v>
      </c>
      <c r="O214" s="19" t="s">
        <v>97</v>
      </c>
      <c r="P214" s="21">
        <v>4.0</v>
      </c>
      <c r="Q214" s="11">
        <f t="shared" si="2"/>
        <v>3</v>
      </c>
      <c r="R214" s="11">
        <f t="shared" si="3"/>
        <v>4</v>
      </c>
      <c r="S214" s="21">
        <v>5.0</v>
      </c>
      <c r="T214" s="21">
        <v>5.0</v>
      </c>
      <c r="U214" s="21">
        <v>3.0</v>
      </c>
      <c r="V214" s="24">
        <f>ROUND((P214*'Scoring Model'!$C$4+Q214*'Scoring Model'!$C$5+R214*'Scoring Model'!$C$6+S214*'Scoring Model'!$C$7+T214*'Scoring Model'!$C$8+U214*'Scoring Model'!$C$9)/5*100,0)</f>
        <v>81</v>
      </c>
      <c r="W214" s="11" t="str">
        <f t="shared" si="4"/>
        <v>High</v>
      </c>
      <c r="X214" s="11" t="s">
        <v>486</v>
      </c>
      <c r="Y214" s="11" t="s">
        <v>293</v>
      </c>
      <c r="Z214" s="19" t="s">
        <v>142</v>
      </c>
    </row>
    <row r="215" ht="15.75" customHeight="1">
      <c r="A215" s="25" t="s">
        <v>1140</v>
      </c>
      <c r="B215" s="26" t="s">
        <v>1136</v>
      </c>
      <c r="C215" s="26" t="s">
        <v>1137</v>
      </c>
      <c r="D215" s="26" t="s">
        <v>482</v>
      </c>
      <c r="E215" s="26" t="s">
        <v>60</v>
      </c>
      <c r="F215" s="26" t="s">
        <v>61</v>
      </c>
      <c r="G215" s="26" t="s">
        <v>150</v>
      </c>
      <c r="H215" s="27">
        <v>40.0</v>
      </c>
      <c r="I215" s="26" t="s">
        <v>71</v>
      </c>
      <c r="J215" s="26">
        <v>14.0</v>
      </c>
      <c r="K215" s="26" t="s">
        <v>74</v>
      </c>
      <c r="L215" s="28">
        <v>7.5</v>
      </c>
      <c r="M215" s="26" t="s">
        <v>77</v>
      </c>
      <c r="N215" s="26" t="str">
        <f t="shared" si="1"/>
        <v>Easy</v>
      </c>
      <c r="O215" s="29" t="s">
        <v>97</v>
      </c>
      <c r="P215" s="30">
        <v>4.0</v>
      </c>
      <c r="Q215" s="26">
        <f t="shared" si="2"/>
        <v>1</v>
      </c>
      <c r="R215" s="26">
        <f t="shared" si="3"/>
        <v>5</v>
      </c>
      <c r="S215" s="30">
        <v>5.0</v>
      </c>
      <c r="T215" s="30">
        <v>5.0</v>
      </c>
      <c r="U215" s="30">
        <v>3.0</v>
      </c>
      <c r="V215" s="31">
        <f>ROUND((P215*'Scoring Model'!$C$4+Q215*'Scoring Model'!$C$5+R215*'Scoring Model'!$C$6+S215*'Scoring Model'!$C$7+T215*'Scoring Model'!$C$8+U215*'Scoring Model'!$C$9)/5*100,0)</f>
        <v>79</v>
      </c>
      <c r="W215" s="26" t="str">
        <f t="shared" si="4"/>
        <v>High</v>
      </c>
      <c r="X215" s="26" t="s">
        <v>486</v>
      </c>
      <c r="Y215" s="26" t="s">
        <v>293</v>
      </c>
      <c r="Z215" s="29" t="s">
        <v>142</v>
      </c>
    </row>
    <row r="216" ht="15.75" customHeight="1">
      <c r="A216" s="9" t="s">
        <v>1141</v>
      </c>
      <c r="B216" s="11" t="s">
        <v>1136</v>
      </c>
      <c r="C216" s="11" t="s">
        <v>1137</v>
      </c>
      <c r="D216" s="11" t="s">
        <v>482</v>
      </c>
      <c r="E216" s="11" t="s">
        <v>60</v>
      </c>
      <c r="F216" s="11" t="s">
        <v>61</v>
      </c>
      <c r="G216" s="11" t="s">
        <v>150</v>
      </c>
      <c r="H216" s="14">
        <v>70.0</v>
      </c>
      <c r="I216" s="11" t="s">
        <v>71</v>
      </c>
      <c r="J216" s="11">
        <v>22.0</v>
      </c>
      <c r="K216" s="11" t="s">
        <v>74</v>
      </c>
      <c r="L216" s="15">
        <v>7.8</v>
      </c>
      <c r="M216" s="11" t="s">
        <v>77</v>
      </c>
      <c r="N216" s="11" t="str">
        <f t="shared" si="1"/>
        <v>Moderate</v>
      </c>
      <c r="O216" s="19" t="s">
        <v>97</v>
      </c>
      <c r="P216" s="21">
        <v>4.0</v>
      </c>
      <c r="Q216" s="11">
        <f t="shared" si="2"/>
        <v>2</v>
      </c>
      <c r="R216" s="11">
        <f t="shared" si="3"/>
        <v>5</v>
      </c>
      <c r="S216" s="21">
        <v>5.0</v>
      </c>
      <c r="T216" s="21">
        <v>5.0</v>
      </c>
      <c r="U216" s="21">
        <v>3.0</v>
      </c>
      <c r="V216" s="24">
        <f>ROUND((P216*'Scoring Model'!$C$4+Q216*'Scoring Model'!$C$5+R216*'Scoring Model'!$C$6+S216*'Scoring Model'!$C$7+T216*'Scoring Model'!$C$8+U216*'Scoring Model'!$C$9)/5*100,0)</f>
        <v>82</v>
      </c>
      <c r="W216" s="11" t="str">
        <f t="shared" si="4"/>
        <v>High</v>
      </c>
      <c r="X216" s="11" t="s">
        <v>486</v>
      </c>
      <c r="Y216" s="11" t="s">
        <v>293</v>
      </c>
      <c r="Z216" s="19" t="s">
        <v>142</v>
      </c>
    </row>
    <row r="217" ht="15.75" customHeight="1">
      <c r="A217" s="25" t="s">
        <v>1142</v>
      </c>
      <c r="B217" s="26" t="s">
        <v>1136</v>
      </c>
      <c r="C217" s="26" t="s">
        <v>1137</v>
      </c>
      <c r="D217" s="26" t="s">
        <v>482</v>
      </c>
      <c r="E217" s="26" t="s">
        <v>60</v>
      </c>
      <c r="F217" s="26" t="s">
        <v>61</v>
      </c>
      <c r="G217" s="26" t="s">
        <v>150</v>
      </c>
      <c r="H217" s="27">
        <v>50.0</v>
      </c>
      <c r="I217" s="26" t="s">
        <v>71</v>
      </c>
      <c r="J217" s="26">
        <v>20.0</v>
      </c>
      <c r="K217" s="26" t="s">
        <v>74</v>
      </c>
      <c r="L217" s="28">
        <v>7.6</v>
      </c>
      <c r="M217" s="26" t="s">
        <v>77</v>
      </c>
      <c r="N217" s="26" t="str">
        <f t="shared" si="1"/>
        <v>Easy</v>
      </c>
      <c r="O217" s="29" t="s">
        <v>97</v>
      </c>
      <c r="P217" s="30">
        <v>4.0</v>
      </c>
      <c r="Q217" s="26">
        <f t="shared" si="2"/>
        <v>2</v>
      </c>
      <c r="R217" s="26">
        <f t="shared" si="3"/>
        <v>5</v>
      </c>
      <c r="S217" s="30">
        <v>5.0</v>
      </c>
      <c r="T217" s="30">
        <v>5.0</v>
      </c>
      <c r="U217" s="30">
        <v>3.0</v>
      </c>
      <c r="V217" s="31">
        <f>ROUND((P217*'Scoring Model'!$C$4+Q217*'Scoring Model'!$C$5+R217*'Scoring Model'!$C$6+S217*'Scoring Model'!$C$7+T217*'Scoring Model'!$C$8+U217*'Scoring Model'!$C$9)/5*100,0)</f>
        <v>82</v>
      </c>
      <c r="W217" s="26" t="str">
        <f t="shared" si="4"/>
        <v>High</v>
      </c>
      <c r="X217" s="26" t="s">
        <v>486</v>
      </c>
      <c r="Y217" s="26" t="s">
        <v>293</v>
      </c>
      <c r="Z217" s="29" t="s">
        <v>142</v>
      </c>
    </row>
    <row r="218" ht="15.75" customHeight="1">
      <c r="A218" s="9" t="s">
        <v>1143</v>
      </c>
      <c r="B218" s="11" t="s">
        <v>1136</v>
      </c>
      <c r="C218" s="11" t="s">
        <v>1137</v>
      </c>
      <c r="D218" s="11" t="s">
        <v>482</v>
      </c>
      <c r="E218" s="11" t="s">
        <v>60</v>
      </c>
      <c r="F218" s="11" t="s">
        <v>61</v>
      </c>
      <c r="G218" s="11" t="s">
        <v>150</v>
      </c>
      <c r="H218" s="14">
        <v>40.0</v>
      </c>
      <c r="I218" s="11" t="s">
        <v>71</v>
      </c>
      <c r="J218" s="11">
        <v>18.0</v>
      </c>
      <c r="K218" s="11" t="s">
        <v>74</v>
      </c>
      <c r="L218" s="15">
        <v>7.5</v>
      </c>
      <c r="M218" s="11" t="s">
        <v>77</v>
      </c>
      <c r="N218" s="11" t="str">
        <f t="shared" si="1"/>
        <v>Easy</v>
      </c>
      <c r="O218" s="19" t="s">
        <v>97</v>
      </c>
      <c r="P218" s="21">
        <v>4.0</v>
      </c>
      <c r="Q218" s="11">
        <f t="shared" si="2"/>
        <v>1</v>
      </c>
      <c r="R218" s="11">
        <f t="shared" si="3"/>
        <v>5</v>
      </c>
      <c r="S218" s="21">
        <v>5.0</v>
      </c>
      <c r="T218" s="21">
        <v>5.0</v>
      </c>
      <c r="U218" s="21">
        <v>3.0</v>
      </c>
      <c r="V218" s="24">
        <f>ROUND((P218*'Scoring Model'!$C$4+Q218*'Scoring Model'!$C$5+R218*'Scoring Model'!$C$6+S218*'Scoring Model'!$C$7+T218*'Scoring Model'!$C$8+U218*'Scoring Model'!$C$9)/5*100,0)</f>
        <v>79</v>
      </c>
      <c r="W218" s="11" t="str">
        <f t="shared" si="4"/>
        <v>High</v>
      </c>
      <c r="X218" s="11" t="s">
        <v>486</v>
      </c>
      <c r="Y218" s="11" t="s">
        <v>293</v>
      </c>
      <c r="Z218" s="19" t="s">
        <v>142</v>
      </c>
    </row>
    <row r="219" ht="15.75" customHeight="1">
      <c r="A219" s="25" t="s">
        <v>1144</v>
      </c>
      <c r="B219" s="26" t="s">
        <v>1136</v>
      </c>
      <c r="C219" s="26" t="s">
        <v>1137</v>
      </c>
      <c r="D219" s="26" t="s">
        <v>482</v>
      </c>
      <c r="E219" s="26" t="s">
        <v>60</v>
      </c>
      <c r="F219" s="26" t="s">
        <v>61</v>
      </c>
      <c r="G219" s="26" t="s">
        <v>150</v>
      </c>
      <c r="H219" s="27">
        <v>40.0</v>
      </c>
      <c r="I219" s="26" t="s">
        <v>71</v>
      </c>
      <c r="J219" s="26">
        <v>18.0</v>
      </c>
      <c r="K219" s="26" t="s">
        <v>74</v>
      </c>
      <c r="L219" s="28">
        <v>7.4</v>
      </c>
      <c r="M219" s="26" t="s">
        <v>77</v>
      </c>
      <c r="N219" s="26" t="str">
        <f t="shared" si="1"/>
        <v>Easy</v>
      </c>
      <c r="O219" s="29" t="s">
        <v>97</v>
      </c>
      <c r="P219" s="30">
        <v>4.0</v>
      </c>
      <c r="Q219" s="26">
        <f t="shared" si="2"/>
        <v>1</v>
      </c>
      <c r="R219" s="26">
        <f t="shared" si="3"/>
        <v>5</v>
      </c>
      <c r="S219" s="30">
        <v>5.0</v>
      </c>
      <c r="T219" s="30">
        <v>5.0</v>
      </c>
      <c r="U219" s="30">
        <v>3.0</v>
      </c>
      <c r="V219" s="31">
        <f>ROUND((P219*'Scoring Model'!$C$4+Q219*'Scoring Model'!$C$5+R219*'Scoring Model'!$C$6+S219*'Scoring Model'!$C$7+T219*'Scoring Model'!$C$8+U219*'Scoring Model'!$C$9)/5*100,0)</f>
        <v>79</v>
      </c>
      <c r="W219" s="26" t="str">
        <f t="shared" si="4"/>
        <v>High</v>
      </c>
      <c r="X219" s="26" t="s">
        <v>486</v>
      </c>
      <c r="Y219" s="26" t="s">
        <v>293</v>
      </c>
      <c r="Z219" s="29" t="s">
        <v>142</v>
      </c>
    </row>
    <row r="220" ht="15.75" customHeight="1">
      <c r="A220" s="9" t="s">
        <v>491</v>
      </c>
      <c r="B220" s="11" t="s">
        <v>1136</v>
      </c>
      <c r="C220" s="11" t="s">
        <v>1137</v>
      </c>
      <c r="D220" s="11" t="s">
        <v>490</v>
      </c>
      <c r="E220" s="11" t="s">
        <v>60</v>
      </c>
      <c r="F220" s="11" t="s">
        <v>61</v>
      </c>
      <c r="G220" s="11" t="s">
        <v>62</v>
      </c>
      <c r="H220" s="14">
        <v>480.0</v>
      </c>
      <c r="I220" s="11" t="s">
        <v>71</v>
      </c>
      <c r="J220" s="11">
        <v>40.0</v>
      </c>
      <c r="K220" s="11" t="s">
        <v>74</v>
      </c>
      <c r="L220" s="15">
        <v>8.6</v>
      </c>
      <c r="M220" s="11" t="s">
        <v>77</v>
      </c>
      <c r="N220" s="11" t="str">
        <f t="shared" si="1"/>
        <v>Moderate</v>
      </c>
      <c r="O220" s="19" t="s">
        <v>97</v>
      </c>
      <c r="P220" s="21">
        <v>4.0</v>
      </c>
      <c r="Q220" s="11">
        <f t="shared" si="2"/>
        <v>4</v>
      </c>
      <c r="R220" s="11">
        <f t="shared" si="3"/>
        <v>4</v>
      </c>
      <c r="S220" s="21">
        <v>5.0</v>
      </c>
      <c r="T220" s="21">
        <v>5.0</v>
      </c>
      <c r="U220" s="21">
        <v>3.0</v>
      </c>
      <c r="V220" s="24">
        <f>ROUND((P220*'Scoring Model'!$C$4+Q220*'Scoring Model'!$C$5+R220*'Scoring Model'!$C$6+S220*'Scoring Model'!$C$7+T220*'Scoring Model'!$C$8+U220*'Scoring Model'!$C$9)/5*100,0)</f>
        <v>84</v>
      </c>
      <c r="W220" s="11" t="str">
        <f t="shared" si="4"/>
        <v>High</v>
      </c>
      <c r="X220" s="11" t="s">
        <v>496</v>
      </c>
      <c r="Y220" s="11" t="s">
        <v>293</v>
      </c>
      <c r="Z220" s="19" t="s">
        <v>142</v>
      </c>
    </row>
    <row r="221" ht="15.75" customHeight="1">
      <c r="A221" s="25" t="s">
        <v>1145</v>
      </c>
      <c r="B221" s="26" t="s">
        <v>1136</v>
      </c>
      <c r="C221" s="26" t="s">
        <v>1137</v>
      </c>
      <c r="D221" s="26" t="s">
        <v>490</v>
      </c>
      <c r="E221" s="26" t="s">
        <v>60</v>
      </c>
      <c r="F221" s="26" t="s">
        <v>61</v>
      </c>
      <c r="G221" s="26" t="s">
        <v>150</v>
      </c>
      <c r="H221" s="27">
        <v>110.0</v>
      </c>
      <c r="I221" s="26" t="s">
        <v>71</v>
      </c>
      <c r="J221" s="26">
        <v>33.0</v>
      </c>
      <c r="K221" s="26" t="s">
        <v>74</v>
      </c>
      <c r="L221" s="28">
        <v>8.4</v>
      </c>
      <c r="M221" s="26" t="s">
        <v>77</v>
      </c>
      <c r="N221" s="26" t="str">
        <f t="shared" si="1"/>
        <v>Moderate</v>
      </c>
      <c r="O221" s="29" t="s">
        <v>97</v>
      </c>
      <c r="P221" s="30">
        <v>4.0</v>
      </c>
      <c r="Q221" s="26">
        <f t="shared" si="2"/>
        <v>2</v>
      </c>
      <c r="R221" s="26">
        <f t="shared" si="3"/>
        <v>4</v>
      </c>
      <c r="S221" s="30">
        <v>5.0</v>
      </c>
      <c r="T221" s="30">
        <v>5.0</v>
      </c>
      <c r="U221" s="30">
        <v>3.0</v>
      </c>
      <c r="V221" s="31">
        <f>ROUND((P221*'Scoring Model'!$C$4+Q221*'Scoring Model'!$C$5+R221*'Scoring Model'!$C$6+S221*'Scoring Model'!$C$7+T221*'Scoring Model'!$C$8+U221*'Scoring Model'!$C$9)/5*100,0)</f>
        <v>78</v>
      </c>
      <c r="W221" s="26" t="str">
        <f t="shared" si="4"/>
        <v>High</v>
      </c>
      <c r="X221" s="26" t="s">
        <v>496</v>
      </c>
      <c r="Y221" s="26" t="s">
        <v>293</v>
      </c>
      <c r="Z221" s="29" t="s">
        <v>142</v>
      </c>
    </row>
    <row r="222" ht="15.75" customHeight="1">
      <c r="A222" s="9" t="s">
        <v>1146</v>
      </c>
      <c r="B222" s="11" t="s">
        <v>1136</v>
      </c>
      <c r="C222" s="11" t="s">
        <v>1137</v>
      </c>
      <c r="D222" s="11" t="s">
        <v>490</v>
      </c>
      <c r="E222" s="11" t="s">
        <v>60</v>
      </c>
      <c r="F222" s="11" t="s">
        <v>61</v>
      </c>
      <c r="G222" s="11" t="s">
        <v>150</v>
      </c>
      <c r="H222" s="14">
        <v>90.0</v>
      </c>
      <c r="I222" s="11" t="s">
        <v>71</v>
      </c>
      <c r="J222" s="11">
        <v>30.0</v>
      </c>
      <c r="K222" s="11" t="s">
        <v>74</v>
      </c>
      <c r="L222" s="15">
        <v>8.3</v>
      </c>
      <c r="M222" s="11" t="s">
        <v>77</v>
      </c>
      <c r="N222" s="11" t="str">
        <f t="shared" si="1"/>
        <v>Moderate</v>
      </c>
      <c r="O222" s="19" t="s">
        <v>97</v>
      </c>
      <c r="P222" s="21">
        <v>4.0</v>
      </c>
      <c r="Q222" s="11">
        <f t="shared" si="2"/>
        <v>2</v>
      </c>
      <c r="R222" s="11">
        <f t="shared" si="3"/>
        <v>4</v>
      </c>
      <c r="S222" s="21">
        <v>5.0</v>
      </c>
      <c r="T222" s="21">
        <v>5.0</v>
      </c>
      <c r="U222" s="21">
        <v>3.0</v>
      </c>
      <c r="V222" s="24">
        <f>ROUND((P222*'Scoring Model'!$C$4+Q222*'Scoring Model'!$C$5+R222*'Scoring Model'!$C$6+S222*'Scoring Model'!$C$7+T222*'Scoring Model'!$C$8+U222*'Scoring Model'!$C$9)/5*100,0)</f>
        <v>78</v>
      </c>
      <c r="W222" s="11" t="str">
        <f t="shared" si="4"/>
        <v>High</v>
      </c>
      <c r="X222" s="11" t="s">
        <v>496</v>
      </c>
      <c r="Y222" s="11" t="s">
        <v>293</v>
      </c>
      <c r="Z222" s="19" t="s">
        <v>142</v>
      </c>
    </row>
    <row r="223" ht="15.75" customHeight="1">
      <c r="A223" s="25" t="s">
        <v>1147</v>
      </c>
      <c r="B223" s="26" t="s">
        <v>1136</v>
      </c>
      <c r="C223" s="26" t="s">
        <v>1137</v>
      </c>
      <c r="D223" s="26" t="s">
        <v>490</v>
      </c>
      <c r="E223" s="26" t="s">
        <v>60</v>
      </c>
      <c r="F223" s="26" t="s">
        <v>61</v>
      </c>
      <c r="G223" s="26" t="s">
        <v>150</v>
      </c>
      <c r="H223" s="27">
        <v>70.0</v>
      </c>
      <c r="I223" s="26" t="s">
        <v>71</v>
      </c>
      <c r="J223" s="26">
        <v>28.0</v>
      </c>
      <c r="K223" s="26" t="s">
        <v>74</v>
      </c>
      <c r="L223" s="28">
        <v>11.2</v>
      </c>
      <c r="M223" s="26" t="s">
        <v>77</v>
      </c>
      <c r="N223" s="26" t="str">
        <f t="shared" si="1"/>
        <v>Moderate</v>
      </c>
      <c r="O223" s="29" t="s">
        <v>97</v>
      </c>
      <c r="P223" s="30">
        <v>4.0</v>
      </c>
      <c r="Q223" s="26">
        <f t="shared" si="2"/>
        <v>2</v>
      </c>
      <c r="R223" s="26">
        <f t="shared" si="3"/>
        <v>4</v>
      </c>
      <c r="S223" s="30">
        <v>5.0</v>
      </c>
      <c r="T223" s="30">
        <v>5.0</v>
      </c>
      <c r="U223" s="30">
        <v>3.0</v>
      </c>
      <c r="V223" s="31">
        <f>ROUND((P223*'Scoring Model'!$C$4+Q223*'Scoring Model'!$C$5+R223*'Scoring Model'!$C$6+S223*'Scoring Model'!$C$7+T223*'Scoring Model'!$C$8+U223*'Scoring Model'!$C$9)/5*100,0)</f>
        <v>78</v>
      </c>
      <c r="W223" s="26" t="str">
        <f t="shared" si="4"/>
        <v>High</v>
      </c>
      <c r="X223" s="26" t="s">
        <v>496</v>
      </c>
      <c r="Y223" s="26" t="s">
        <v>293</v>
      </c>
      <c r="Z223" s="29" t="s">
        <v>142</v>
      </c>
    </row>
    <row r="224" ht="15.75" customHeight="1">
      <c r="A224" s="9" t="s">
        <v>498</v>
      </c>
      <c r="B224" s="11" t="s">
        <v>1136</v>
      </c>
      <c r="C224" s="11" t="s">
        <v>1137</v>
      </c>
      <c r="D224" s="11" t="s">
        <v>497</v>
      </c>
      <c r="E224" s="11" t="s">
        <v>60</v>
      </c>
      <c r="F224" s="11" t="s">
        <v>61</v>
      </c>
      <c r="G224" s="11" t="s">
        <v>62</v>
      </c>
      <c r="H224" s="14">
        <v>210.0</v>
      </c>
      <c r="I224" s="11" t="s">
        <v>71</v>
      </c>
      <c r="J224" s="11">
        <v>33.0</v>
      </c>
      <c r="K224" s="11" t="s">
        <v>74</v>
      </c>
      <c r="L224" s="15">
        <v>8.2</v>
      </c>
      <c r="M224" s="11" t="s">
        <v>77</v>
      </c>
      <c r="N224" s="11" t="str">
        <f t="shared" si="1"/>
        <v>Moderate</v>
      </c>
      <c r="O224" s="19" t="s">
        <v>97</v>
      </c>
      <c r="P224" s="21">
        <v>3.0</v>
      </c>
      <c r="Q224" s="11">
        <f t="shared" si="2"/>
        <v>3</v>
      </c>
      <c r="R224" s="11">
        <f t="shared" si="3"/>
        <v>4</v>
      </c>
      <c r="S224" s="21">
        <v>5.0</v>
      </c>
      <c r="T224" s="21">
        <v>5.0</v>
      </c>
      <c r="U224" s="21">
        <v>3.0</v>
      </c>
      <c r="V224" s="24">
        <f>ROUND((P224*'Scoring Model'!$C$4+Q224*'Scoring Model'!$C$5+R224*'Scoring Model'!$C$6+S224*'Scoring Model'!$C$7+T224*'Scoring Model'!$C$8+U224*'Scoring Model'!$C$9)/5*100,0)</f>
        <v>76</v>
      </c>
      <c r="W224" s="11" t="str">
        <f t="shared" si="4"/>
        <v>High</v>
      </c>
      <c r="X224" s="11" t="s">
        <v>504</v>
      </c>
      <c r="Y224" s="11" t="s">
        <v>293</v>
      </c>
      <c r="Z224" s="19" t="s">
        <v>142</v>
      </c>
    </row>
    <row r="225" ht="15.75" customHeight="1">
      <c r="A225" s="25" t="s">
        <v>499</v>
      </c>
      <c r="B225" s="26" t="s">
        <v>1136</v>
      </c>
      <c r="C225" s="26" t="s">
        <v>1137</v>
      </c>
      <c r="D225" s="26" t="s">
        <v>497</v>
      </c>
      <c r="E225" s="26" t="s">
        <v>60</v>
      </c>
      <c r="F225" s="26" t="s">
        <v>61</v>
      </c>
      <c r="G225" s="26" t="s">
        <v>150</v>
      </c>
      <c r="H225" s="27">
        <v>70.0</v>
      </c>
      <c r="I225" s="26" t="s">
        <v>71</v>
      </c>
      <c r="J225" s="26">
        <v>28.0</v>
      </c>
      <c r="K225" s="26" t="s">
        <v>74</v>
      </c>
      <c r="L225" s="28">
        <v>8.0</v>
      </c>
      <c r="M225" s="26" t="s">
        <v>77</v>
      </c>
      <c r="N225" s="26" t="str">
        <f t="shared" si="1"/>
        <v>Moderate</v>
      </c>
      <c r="O225" s="29" t="s">
        <v>97</v>
      </c>
      <c r="P225" s="30">
        <v>3.0</v>
      </c>
      <c r="Q225" s="26">
        <f t="shared" si="2"/>
        <v>2</v>
      </c>
      <c r="R225" s="26">
        <f t="shared" si="3"/>
        <v>4</v>
      </c>
      <c r="S225" s="30">
        <v>5.0</v>
      </c>
      <c r="T225" s="30">
        <v>5.0</v>
      </c>
      <c r="U225" s="30">
        <v>3.0</v>
      </c>
      <c r="V225" s="31">
        <f>ROUND((P225*'Scoring Model'!$C$4+Q225*'Scoring Model'!$C$5+R225*'Scoring Model'!$C$6+S225*'Scoring Model'!$C$7+T225*'Scoring Model'!$C$8+U225*'Scoring Model'!$C$9)/5*100,0)</f>
        <v>73</v>
      </c>
      <c r="W225" s="26" t="str">
        <f t="shared" si="4"/>
        <v>Medium</v>
      </c>
      <c r="X225" s="26" t="s">
        <v>504</v>
      </c>
      <c r="Y225" s="26" t="s">
        <v>293</v>
      </c>
      <c r="Z225" s="29" t="s">
        <v>142</v>
      </c>
    </row>
    <row r="226" ht="15.75" customHeight="1">
      <c r="A226" s="9" t="s">
        <v>509</v>
      </c>
      <c r="B226" s="11" t="s">
        <v>1136</v>
      </c>
      <c r="C226" s="11" t="s">
        <v>1137</v>
      </c>
      <c r="D226" s="11" t="s">
        <v>508</v>
      </c>
      <c r="E226" s="11" t="s">
        <v>60</v>
      </c>
      <c r="F226" s="11" t="s">
        <v>61</v>
      </c>
      <c r="G226" s="11" t="s">
        <v>62</v>
      </c>
      <c r="H226" s="14">
        <v>1000.0</v>
      </c>
      <c r="I226" s="11" t="s">
        <v>71</v>
      </c>
      <c r="J226" s="11">
        <v>52.0</v>
      </c>
      <c r="K226" s="11" t="s">
        <v>74</v>
      </c>
      <c r="L226" s="15">
        <v>9.2</v>
      </c>
      <c r="M226" s="11" t="s">
        <v>77</v>
      </c>
      <c r="N226" s="11" t="str">
        <f t="shared" si="1"/>
        <v>Competitive</v>
      </c>
      <c r="O226" s="19" t="s">
        <v>97</v>
      </c>
      <c r="P226" s="21">
        <v>3.0</v>
      </c>
      <c r="Q226" s="11">
        <f t="shared" si="2"/>
        <v>5</v>
      </c>
      <c r="R226" s="11">
        <f t="shared" si="3"/>
        <v>3</v>
      </c>
      <c r="S226" s="21">
        <v>5.0</v>
      </c>
      <c r="T226" s="21">
        <v>5.0</v>
      </c>
      <c r="U226" s="21">
        <v>2.0</v>
      </c>
      <c r="V226" s="24">
        <f>ROUND((P226*'Scoring Model'!$C$4+Q226*'Scoring Model'!$C$5+R226*'Scoring Model'!$C$6+S226*'Scoring Model'!$C$7+T226*'Scoring Model'!$C$8+U226*'Scoring Model'!$C$9)/5*100,0)</f>
        <v>76</v>
      </c>
      <c r="W226" s="11" t="str">
        <f t="shared" si="4"/>
        <v>High</v>
      </c>
      <c r="X226" s="11" t="s">
        <v>513</v>
      </c>
      <c r="Y226" s="11" t="s">
        <v>293</v>
      </c>
      <c r="Z226" s="19" t="s">
        <v>142</v>
      </c>
    </row>
    <row r="227" ht="15.75" customHeight="1">
      <c r="A227" s="25" t="s">
        <v>1148</v>
      </c>
      <c r="B227" s="26" t="s">
        <v>1136</v>
      </c>
      <c r="C227" s="26" t="s">
        <v>1137</v>
      </c>
      <c r="D227" s="26" t="s">
        <v>508</v>
      </c>
      <c r="E227" s="26" t="s">
        <v>60</v>
      </c>
      <c r="F227" s="26" t="s">
        <v>61</v>
      </c>
      <c r="G227" s="26" t="s">
        <v>150</v>
      </c>
      <c r="H227" s="27">
        <v>210.0</v>
      </c>
      <c r="I227" s="26" t="s">
        <v>71</v>
      </c>
      <c r="J227" s="26">
        <v>46.0</v>
      </c>
      <c r="K227" s="26" t="s">
        <v>74</v>
      </c>
      <c r="L227" s="28">
        <v>9.6</v>
      </c>
      <c r="M227" s="26" t="s">
        <v>77</v>
      </c>
      <c r="N227" s="26" t="str">
        <f t="shared" si="1"/>
        <v>Competitive</v>
      </c>
      <c r="O227" s="29" t="s">
        <v>97</v>
      </c>
      <c r="P227" s="30">
        <v>3.0</v>
      </c>
      <c r="Q227" s="26">
        <f t="shared" si="2"/>
        <v>3</v>
      </c>
      <c r="R227" s="26">
        <f t="shared" si="3"/>
        <v>3</v>
      </c>
      <c r="S227" s="30">
        <v>5.0</v>
      </c>
      <c r="T227" s="30">
        <v>5.0</v>
      </c>
      <c r="U227" s="30">
        <v>2.0</v>
      </c>
      <c r="V227" s="31">
        <f>ROUND((P227*'Scoring Model'!$C$4+Q227*'Scoring Model'!$C$5+R227*'Scoring Model'!$C$6+S227*'Scoring Model'!$C$7+T227*'Scoring Model'!$C$8+U227*'Scoring Model'!$C$9)/5*100,0)</f>
        <v>70</v>
      </c>
      <c r="W227" s="26" t="str">
        <f t="shared" si="4"/>
        <v>Medium</v>
      </c>
      <c r="X227" s="26" t="s">
        <v>513</v>
      </c>
      <c r="Y227" s="26" t="s">
        <v>293</v>
      </c>
      <c r="Z227" s="29" t="s">
        <v>142</v>
      </c>
    </row>
    <row r="228" ht="15.75" customHeight="1">
      <c r="A228" s="9" t="s">
        <v>1149</v>
      </c>
      <c r="B228" s="11" t="s">
        <v>1136</v>
      </c>
      <c r="C228" s="11" t="s">
        <v>1137</v>
      </c>
      <c r="D228" s="11" t="s">
        <v>508</v>
      </c>
      <c r="E228" s="11" t="s">
        <v>60</v>
      </c>
      <c r="F228" s="11" t="s">
        <v>61</v>
      </c>
      <c r="G228" s="11" t="s">
        <v>150</v>
      </c>
      <c r="H228" s="14">
        <v>260.0</v>
      </c>
      <c r="I228" s="11" t="s">
        <v>71</v>
      </c>
      <c r="J228" s="11">
        <v>48.0</v>
      </c>
      <c r="K228" s="11" t="s">
        <v>74</v>
      </c>
      <c r="L228" s="15">
        <v>8.4</v>
      </c>
      <c r="M228" s="11" t="s">
        <v>77</v>
      </c>
      <c r="N228" s="11" t="str">
        <f t="shared" si="1"/>
        <v>Competitive</v>
      </c>
      <c r="O228" s="19" t="s">
        <v>97</v>
      </c>
      <c r="P228" s="21">
        <v>3.0</v>
      </c>
      <c r="Q228" s="11">
        <f t="shared" si="2"/>
        <v>3</v>
      </c>
      <c r="R228" s="11">
        <f t="shared" si="3"/>
        <v>3</v>
      </c>
      <c r="S228" s="21">
        <v>5.0</v>
      </c>
      <c r="T228" s="21">
        <v>5.0</v>
      </c>
      <c r="U228" s="21">
        <v>2.0</v>
      </c>
      <c r="V228" s="24">
        <f>ROUND((P228*'Scoring Model'!$C$4+Q228*'Scoring Model'!$C$5+R228*'Scoring Model'!$C$6+S228*'Scoring Model'!$C$7+T228*'Scoring Model'!$C$8+U228*'Scoring Model'!$C$9)/5*100,0)</f>
        <v>70</v>
      </c>
      <c r="W228" s="11" t="str">
        <f t="shared" si="4"/>
        <v>Medium</v>
      </c>
      <c r="X228" s="11" t="s">
        <v>513</v>
      </c>
      <c r="Y228" s="11" t="s">
        <v>293</v>
      </c>
      <c r="Z228" s="19" t="s">
        <v>142</v>
      </c>
    </row>
    <row r="229" ht="15.75" customHeight="1">
      <c r="A229" s="25" t="s">
        <v>519</v>
      </c>
      <c r="B229" s="26" t="s">
        <v>1150</v>
      </c>
      <c r="C229" s="26" t="s">
        <v>517</v>
      </c>
      <c r="D229" s="26" t="s">
        <v>517</v>
      </c>
      <c r="E229" s="26" t="s">
        <v>60</v>
      </c>
      <c r="F229" s="26" t="s">
        <v>61</v>
      </c>
      <c r="G229" s="26" t="s">
        <v>62</v>
      </c>
      <c r="H229" s="27">
        <v>320.0</v>
      </c>
      <c r="I229" s="26" t="s">
        <v>71</v>
      </c>
      <c r="J229" s="26">
        <v>38.0</v>
      </c>
      <c r="K229" s="26" t="s">
        <v>74</v>
      </c>
      <c r="L229" s="28">
        <v>9.2</v>
      </c>
      <c r="M229" s="26" t="s">
        <v>77</v>
      </c>
      <c r="N229" s="26" t="str">
        <f t="shared" si="1"/>
        <v>Moderate</v>
      </c>
      <c r="O229" s="29" t="s">
        <v>97</v>
      </c>
      <c r="P229" s="30">
        <v>4.0</v>
      </c>
      <c r="Q229" s="26">
        <f t="shared" si="2"/>
        <v>3</v>
      </c>
      <c r="R229" s="26">
        <f t="shared" si="3"/>
        <v>4</v>
      </c>
      <c r="S229" s="30">
        <v>5.0</v>
      </c>
      <c r="T229" s="30">
        <v>5.0</v>
      </c>
      <c r="U229" s="30">
        <v>3.0</v>
      </c>
      <c r="V229" s="31">
        <f>ROUND((P229*'Scoring Model'!$C$4+Q229*'Scoring Model'!$C$5+R229*'Scoring Model'!$C$6+S229*'Scoring Model'!$C$7+T229*'Scoring Model'!$C$8+U229*'Scoring Model'!$C$9)/5*100,0)</f>
        <v>81</v>
      </c>
      <c r="W229" s="26" t="str">
        <f t="shared" si="4"/>
        <v>High</v>
      </c>
      <c r="X229" s="26" t="s">
        <v>522</v>
      </c>
      <c r="Y229" s="26" t="s">
        <v>293</v>
      </c>
      <c r="Z229" s="29" t="s">
        <v>142</v>
      </c>
    </row>
    <row r="230" ht="15.75" customHeight="1">
      <c r="A230" s="9" t="s">
        <v>1151</v>
      </c>
      <c r="B230" s="11" t="s">
        <v>1150</v>
      </c>
      <c r="C230" s="11" t="s">
        <v>517</v>
      </c>
      <c r="D230" s="11" t="s">
        <v>517</v>
      </c>
      <c r="E230" s="11" t="s">
        <v>60</v>
      </c>
      <c r="F230" s="11" t="s">
        <v>61</v>
      </c>
      <c r="G230" s="11" t="s">
        <v>150</v>
      </c>
      <c r="H230" s="14">
        <v>210.0</v>
      </c>
      <c r="I230" s="11" t="s">
        <v>71</v>
      </c>
      <c r="J230" s="11">
        <v>35.0</v>
      </c>
      <c r="K230" s="11" t="s">
        <v>74</v>
      </c>
      <c r="L230" s="15">
        <v>8.4</v>
      </c>
      <c r="M230" s="11" t="s">
        <v>77</v>
      </c>
      <c r="N230" s="11" t="str">
        <f t="shared" si="1"/>
        <v>Moderate</v>
      </c>
      <c r="O230" s="19" t="s">
        <v>97</v>
      </c>
      <c r="P230" s="21">
        <v>4.0</v>
      </c>
      <c r="Q230" s="11">
        <f t="shared" si="2"/>
        <v>3</v>
      </c>
      <c r="R230" s="11">
        <f t="shared" si="3"/>
        <v>4</v>
      </c>
      <c r="S230" s="21">
        <v>5.0</v>
      </c>
      <c r="T230" s="21">
        <v>5.0</v>
      </c>
      <c r="U230" s="21">
        <v>3.0</v>
      </c>
      <c r="V230" s="24">
        <f>ROUND((P230*'Scoring Model'!$C$4+Q230*'Scoring Model'!$C$5+R230*'Scoring Model'!$C$6+S230*'Scoring Model'!$C$7+T230*'Scoring Model'!$C$8+U230*'Scoring Model'!$C$9)/5*100,0)</f>
        <v>81</v>
      </c>
      <c r="W230" s="11" t="str">
        <f t="shared" si="4"/>
        <v>High</v>
      </c>
      <c r="X230" s="11" t="s">
        <v>522</v>
      </c>
      <c r="Y230" s="11" t="s">
        <v>293</v>
      </c>
      <c r="Z230" s="19" t="s">
        <v>142</v>
      </c>
    </row>
    <row r="231" ht="15.75" customHeight="1">
      <c r="A231" s="25" t="s">
        <v>1152</v>
      </c>
      <c r="B231" s="26" t="s">
        <v>1150</v>
      </c>
      <c r="C231" s="26" t="s">
        <v>517</v>
      </c>
      <c r="D231" s="26" t="s">
        <v>517</v>
      </c>
      <c r="E231" s="26" t="s">
        <v>60</v>
      </c>
      <c r="F231" s="26" t="s">
        <v>61</v>
      </c>
      <c r="G231" s="26" t="s">
        <v>150</v>
      </c>
      <c r="H231" s="27">
        <v>480.0</v>
      </c>
      <c r="I231" s="26" t="s">
        <v>71</v>
      </c>
      <c r="J231" s="26">
        <v>42.0</v>
      </c>
      <c r="K231" s="26" t="s">
        <v>74</v>
      </c>
      <c r="L231" s="28">
        <v>8.8</v>
      </c>
      <c r="M231" s="26" t="s">
        <v>77</v>
      </c>
      <c r="N231" s="26" t="str">
        <f t="shared" si="1"/>
        <v>Competitive</v>
      </c>
      <c r="O231" s="29" t="s">
        <v>97</v>
      </c>
      <c r="P231" s="30">
        <v>4.0</v>
      </c>
      <c r="Q231" s="26">
        <f t="shared" si="2"/>
        <v>4</v>
      </c>
      <c r="R231" s="26">
        <f t="shared" si="3"/>
        <v>3</v>
      </c>
      <c r="S231" s="30">
        <v>5.0</v>
      </c>
      <c r="T231" s="30">
        <v>5.0</v>
      </c>
      <c r="U231" s="30">
        <v>3.0</v>
      </c>
      <c r="V231" s="31">
        <f>ROUND((P231*'Scoring Model'!$C$4+Q231*'Scoring Model'!$C$5+R231*'Scoring Model'!$C$6+S231*'Scoring Model'!$C$7+T231*'Scoring Model'!$C$8+U231*'Scoring Model'!$C$9)/5*100,0)</f>
        <v>80</v>
      </c>
      <c r="W231" s="26" t="str">
        <f t="shared" si="4"/>
        <v>High</v>
      </c>
      <c r="X231" s="26" t="s">
        <v>522</v>
      </c>
      <c r="Y231" s="26" t="s">
        <v>293</v>
      </c>
      <c r="Z231" s="29" t="s">
        <v>142</v>
      </c>
    </row>
    <row r="232" ht="15.75" customHeight="1">
      <c r="A232" s="9" t="s">
        <v>1153</v>
      </c>
      <c r="B232" s="11" t="s">
        <v>1150</v>
      </c>
      <c r="C232" s="11" t="s">
        <v>517</v>
      </c>
      <c r="D232" s="11" t="s">
        <v>517</v>
      </c>
      <c r="E232" s="11" t="s">
        <v>60</v>
      </c>
      <c r="F232" s="11" t="s">
        <v>61</v>
      </c>
      <c r="G232" s="11" t="s">
        <v>150</v>
      </c>
      <c r="H232" s="14">
        <v>390.0</v>
      </c>
      <c r="I232" s="11" t="s">
        <v>71</v>
      </c>
      <c r="J232" s="11">
        <v>40.0</v>
      </c>
      <c r="K232" s="11" t="s">
        <v>74</v>
      </c>
      <c r="L232" s="15">
        <v>8.4</v>
      </c>
      <c r="M232" s="11" t="s">
        <v>77</v>
      </c>
      <c r="N232" s="11" t="str">
        <f t="shared" si="1"/>
        <v>Moderate</v>
      </c>
      <c r="O232" s="19" t="s">
        <v>97</v>
      </c>
      <c r="P232" s="21">
        <v>4.0</v>
      </c>
      <c r="Q232" s="11">
        <f t="shared" si="2"/>
        <v>3</v>
      </c>
      <c r="R232" s="11">
        <f t="shared" si="3"/>
        <v>4</v>
      </c>
      <c r="S232" s="21">
        <v>5.0</v>
      </c>
      <c r="T232" s="21">
        <v>4.0</v>
      </c>
      <c r="U232" s="21">
        <v>3.0</v>
      </c>
      <c r="V232" s="24">
        <f>ROUND((P232*'Scoring Model'!$C$4+Q232*'Scoring Model'!$C$5+R232*'Scoring Model'!$C$6+S232*'Scoring Model'!$C$7+T232*'Scoring Model'!$C$8+U232*'Scoring Model'!$C$9)/5*100,0)</f>
        <v>78</v>
      </c>
      <c r="W232" s="11" t="str">
        <f t="shared" si="4"/>
        <v>High</v>
      </c>
      <c r="X232" s="11" t="s">
        <v>522</v>
      </c>
      <c r="Y232" s="11" t="s">
        <v>293</v>
      </c>
      <c r="Z232" s="19" t="s">
        <v>142</v>
      </c>
    </row>
    <row r="233" ht="15.75" customHeight="1">
      <c r="A233" s="25" t="s">
        <v>1154</v>
      </c>
      <c r="B233" s="26" t="s">
        <v>1150</v>
      </c>
      <c r="C233" s="26" t="s">
        <v>517</v>
      </c>
      <c r="D233" s="26" t="s">
        <v>517</v>
      </c>
      <c r="E233" s="26" t="s">
        <v>60</v>
      </c>
      <c r="F233" s="26" t="s">
        <v>61</v>
      </c>
      <c r="G233" s="26" t="s">
        <v>150</v>
      </c>
      <c r="H233" s="27">
        <v>90.0</v>
      </c>
      <c r="I233" s="26" t="s">
        <v>71</v>
      </c>
      <c r="J233" s="26">
        <v>29.0</v>
      </c>
      <c r="K233" s="26" t="s">
        <v>74</v>
      </c>
      <c r="L233" s="28">
        <v>8.0</v>
      </c>
      <c r="M233" s="26" t="s">
        <v>77</v>
      </c>
      <c r="N233" s="26" t="str">
        <f t="shared" si="1"/>
        <v>Moderate</v>
      </c>
      <c r="O233" s="29" t="s">
        <v>97</v>
      </c>
      <c r="P233" s="30">
        <v>4.0</v>
      </c>
      <c r="Q233" s="26">
        <f t="shared" si="2"/>
        <v>2</v>
      </c>
      <c r="R233" s="26">
        <f t="shared" si="3"/>
        <v>4</v>
      </c>
      <c r="S233" s="30">
        <v>5.0</v>
      </c>
      <c r="T233" s="30">
        <v>5.0</v>
      </c>
      <c r="U233" s="30">
        <v>3.0</v>
      </c>
      <c r="V233" s="31">
        <f>ROUND((P233*'Scoring Model'!$C$4+Q233*'Scoring Model'!$C$5+R233*'Scoring Model'!$C$6+S233*'Scoring Model'!$C$7+T233*'Scoring Model'!$C$8+U233*'Scoring Model'!$C$9)/5*100,0)</f>
        <v>78</v>
      </c>
      <c r="W233" s="26" t="str">
        <f t="shared" si="4"/>
        <v>High</v>
      </c>
      <c r="X233" s="26" t="s">
        <v>522</v>
      </c>
      <c r="Y233" s="26" t="s">
        <v>293</v>
      </c>
      <c r="Z233" s="29" t="s">
        <v>142</v>
      </c>
    </row>
    <row r="234" ht="15.75" customHeight="1">
      <c r="A234" s="9" t="s">
        <v>1155</v>
      </c>
      <c r="B234" s="11" t="s">
        <v>1150</v>
      </c>
      <c r="C234" s="11" t="s">
        <v>517</v>
      </c>
      <c r="D234" s="11" t="s">
        <v>517</v>
      </c>
      <c r="E234" s="11" t="s">
        <v>60</v>
      </c>
      <c r="F234" s="11" t="s">
        <v>61</v>
      </c>
      <c r="G234" s="11" t="s">
        <v>150</v>
      </c>
      <c r="H234" s="14">
        <v>110.0</v>
      </c>
      <c r="I234" s="11" t="s">
        <v>71</v>
      </c>
      <c r="J234" s="11">
        <v>33.0</v>
      </c>
      <c r="K234" s="11" t="s">
        <v>74</v>
      </c>
      <c r="L234" s="15">
        <v>9.6</v>
      </c>
      <c r="M234" s="11" t="s">
        <v>77</v>
      </c>
      <c r="N234" s="11" t="str">
        <f t="shared" si="1"/>
        <v>Moderate</v>
      </c>
      <c r="O234" s="19" t="s">
        <v>97</v>
      </c>
      <c r="P234" s="21">
        <v>4.0</v>
      </c>
      <c r="Q234" s="11">
        <f t="shared" si="2"/>
        <v>2</v>
      </c>
      <c r="R234" s="11">
        <f t="shared" si="3"/>
        <v>4</v>
      </c>
      <c r="S234" s="21">
        <v>5.0</v>
      </c>
      <c r="T234" s="21">
        <v>5.0</v>
      </c>
      <c r="U234" s="21">
        <v>3.0</v>
      </c>
      <c r="V234" s="24">
        <f>ROUND((P234*'Scoring Model'!$C$4+Q234*'Scoring Model'!$C$5+R234*'Scoring Model'!$C$6+S234*'Scoring Model'!$C$7+T234*'Scoring Model'!$C$8+U234*'Scoring Model'!$C$9)/5*100,0)</f>
        <v>78</v>
      </c>
      <c r="W234" s="11" t="str">
        <f t="shared" si="4"/>
        <v>High</v>
      </c>
      <c r="X234" s="11" t="s">
        <v>522</v>
      </c>
      <c r="Y234" s="11" t="s">
        <v>293</v>
      </c>
      <c r="Z234" s="19" t="s">
        <v>303</v>
      </c>
    </row>
    <row r="235" ht="15.75" customHeight="1">
      <c r="A235" s="25" t="s">
        <v>1156</v>
      </c>
      <c r="B235" s="26" t="s">
        <v>1150</v>
      </c>
      <c r="C235" s="26" t="s">
        <v>517</v>
      </c>
      <c r="D235" s="26" t="s">
        <v>517</v>
      </c>
      <c r="E235" s="26" t="s">
        <v>60</v>
      </c>
      <c r="F235" s="26" t="s">
        <v>61</v>
      </c>
      <c r="G235" s="26" t="s">
        <v>150</v>
      </c>
      <c r="H235" s="27">
        <v>40.0</v>
      </c>
      <c r="I235" s="26" t="s">
        <v>71</v>
      </c>
      <c r="J235" s="26">
        <v>20.0</v>
      </c>
      <c r="K235" s="26" t="s">
        <v>74</v>
      </c>
      <c r="L235" s="28">
        <v>7.8</v>
      </c>
      <c r="M235" s="26" t="s">
        <v>77</v>
      </c>
      <c r="N235" s="26" t="str">
        <f t="shared" si="1"/>
        <v>Easy</v>
      </c>
      <c r="O235" s="29" t="s">
        <v>97</v>
      </c>
      <c r="P235" s="30">
        <v>4.0</v>
      </c>
      <c r="Q235" s="26">
        <f t="shared" si="2"/>
        <v>1</v>
      </c>
      <c r="R235" s="26">
        <f t="shared" si="3"/>
        <v>5</v>
      </c>
      <c r="S235" s="30">
        <v>5.0</v>
      </c>
      <c r="T235" s="30">
        <v>5.0</v>
      </c>
      <c r="U235" s="30">
        <v>3.0</v>
      </c>
      <c r="V235" s="31">
        <f>ROUND((P235*'Scoring Model'!$C$4+Q235*'Scoring Model'!$C$5+R235*'Scoring Model'!$C$6+S235*'Scoring Model'!$C$7+T235*'Scoring Model'!$C$8+U235*'Scoring Model'!$C$9)/5*100,0)</f>
        <v>79</v>
      </c>
      <c r="W235" s="26" t="str">
        <f t="shared" si="4"/>
        <v>High</v>
      </c>
      <c r="X235" s="26" t="s">
        <v>522</v>
      </c>
      <c r="Y235" s="26" t="s">
        <v>293</v>
      </c>
      <c r="Z235" s="29" t="s">
        <v>303</v>
      </c>
    </row>
    <row r="236" ht="15.75" customHeight="1">
      <c r="A236" s="9" t="s">
        <v>671</v>
      </c>
      <c r="B236" s="11" t="s">
        <v>1150</v>
      </c>
      <c r="C236" s="11" t="s">
        <v>517</v>
      </c>
      <c r="D236" s="11" t="s">
        <v>517</v>
      </c>
      <c r="E236" s="11" t="s">
        <v>60</v>
      </c>
      <c r="F236" s="11" t="s">
        <v>61</v>
      </c>
      <c r="G236" s="11" t="s">
        <v>150</v>
      </c>
      <c r="H236" s="14">
        <v>70.0</v>
      </c>
      <c r="I236" s="11" t="s">
        <v>71</v>
      </c>
      <c r="J236" s="11">
        <v>25.0</v>
      </c>
      <c r="K236" s="11" t="s">
        <v>74</v>
      </c>
      <c r="L236" s="15">
        <v>8.6</v>
      </c>
      <c r="M236" s="11" t="s">
        <v>77</v>
      </c>
      <c r="N236" s="11" t="str">
        <f t="shared" si="1"/>
        <v>Moderate</v>
      </c>
      <c r="O236" s="19" t="s">
        <v>97</v>
      </c>
      <c r="P236" s="21">
        <v>4.0</v>
      </c>
      <c r="Q236" s="11">
        <f t="shared" si="2"/>
        <v>2</v>
      </c>
      <c r="R236" s="11">
        <f t="shared" si="3"/>
        <v>5</v>
      </c>
      <c r="S236" s="21">
        <v>5.0</v>
      </c>
      <c r="T236" s="21">
        <v>5.0</v>
      </c>
      <c r="U236" s="21">
        <v>3.0</v>
      </c>
      <c r="V236" s="24">
        <f>ROUND((P236*'Scoring Model'!$C$4+Q236*'Scoring Model'!$C$5+R236*'Scoring Model'!$C$6+S236*'Scoring Model'!$C$7+T236*'Scoring Model'!$C$8+U236*'Scoring Model'!$C$9)/5*100,0)</f>
        <v>82</v>
      </c>
      <c r="W236" s="11" t="str">
        <f t="shared" si="4"/>
        <v>High</v>
      </c>
      <c r="X236" s="11" t="s">
        <v>522</v>
      </c>
      <c r="Y236" s="11" t="s">
        <v>293</v>
      </c>
      <c r="Z236" s="19" t="s">
        <v>303</v>
      </c>
    </row>
    <row r="237" ht="15.75" customHeight="1">
      <c r="A237" s="25" t="s">
        <v>1157</v>
      </c>
      <c r="B237" s="26" t="s">
        <v>1150</v>
      </c>
      <c r="C237" s="26" t="s">
        <v>517</v>
      </c>
      <c r="D237" s="26" t="s">
        <v>517</v>
      </c>
      <c r="E237" s="26" t="s">
        <v>60</v>
      </c>
      <c r="F237" s="26" t="s">
        <v>61</v>
      </c>
      <c r="G237" s="26" t="s">
        <v>150</v>
      </c>
      <c r="H237" s="27">
        <v>60.0</v>
      </c>
      <c r="I237" s="26" t="s">
        <v>71</v>
      </c>
      <c r="J237" s="26">
        <v>24.0</v>
      </c>
      <c r="K237" s="26" t="s">
        <v>74</v>
      </c>
      <c r="L237" s="28">
        <v>8.2</v>
      </c>
      <c r="M237" s="26" t="s">
        <v>77</v>
      </c>
      <c r="N237" s="26" t="str">
        <f t="shared" si="1"/>
        <v>Moderate</v>
      </c>
      <c r="O237" s="29" t="s">
        <v>97</v>
      </c>
      <c r="P237" s="30">
        <v>4.0</v>
      </c>
      <c r="Q237" s="26">
        <f t="shared" si="2"/>
        <v>2</v>
      </c>
      <c r="R237" s="26">
        <f t="shared" si="3"/>
        <v>5</v>
      </c>
      <c r="S237" s="30">
        <v>5.0</v>
      </c>
      <c r="T237" s="30">
        <v>5.0</v>
      </c>
      <c r="U237" s="30">
        <v>3.0</v>
      </c>
      <c r="V237" s="31">
        <f>ROUND((P237*'Scoring Model'!$C$4+Q237*'Scoring Model'!$C$5+R237*'Scoring Model'!$C$6+S237*'Scoring Model'!$C$7+T237*'Scoring Model'!$C$8+U237*'Scoring Model'!$C$9)/5*100,0)</f>
        <v>82</v>
      </c>
      <c r="W237" s="26" t="str">
        <f t="shared" si="4"/>
        <v>High</v>
      </c>
      <c r="X237" s="26" t="s">
        <v>522</v>
      </c>
      <c r="Y237" s="26" t="s">
        <v>293</v>
      </c>
      <c r="Z237" s="29" t="s">
        <v>303</v>
      </c>
    </row>
    <row r="238" ht="15.75" customHeight="1">
      <c r="A238" s="9" t="s">
        <v>1158</v>
      </c>
      <c r="B238" s="11" t="s">
        <v>1150</v>
      </c>
      <c r="C238" s="11" t="s">
        <v>517</v>
      </c>
      <c r="D238" s="11" t="s">
        <v>517</v>
      </c>
      <c r="E238" s="11" t="s">
        <v>60</v>
      </c>
      <c r="F238" s="11" t="s">
        <v>61</v>
      </c>
      <c r="G238" s="11" t="s">
        <v>150</v>
      </c>
      <c r="H238" s="14">
        <v>90.0</v>
      </c>
      <c r="I238" s="11" t="s">
        <v>71</v>
      </c>
      <c r="J238" s="11">
        <v>26.0</v>
      </c>
      <c r="K238" s="11" t="s">
        <v>74</v>
      </c>
      <c r="L238" s="15">
        <v>6.8</v>
      </c>
      <c r="M238" s="11" t="s">
        <v>77</v>
      </c>
      <c r="N238" s="11" t="str">
        <f t="shared" si="1"/>
        <v>Moderate</v>
      </c>
      <c r="O238" s="19" t="s">
        <v>97</v>
      </c>
      <c r="P238" s="21">
        <v>4.0</v>
      </c>
      <c r="Q238" s="11">
        <f t="shared" si="2"/>
        <v>2</v>
      </c>
      <c r="R238" s="11">
        <f t="shared" si="3"/>
        <v>4</v>
      </c>
      <c r="S238" s="21">
        <v>5.0</v>
      </c>
      <c r="T238" s="21">
        <v>5.0</v>
      </c>
      <c r="U238" s="21">
        <v>3.0</v>
      </c>
      <c r="V238" s="24">
        <f>ROUND((P238*'Scoring Model'!$C$4+Q238*'Scoring Model'!$C$5+R238*'Scoring Model'!$C$6+S238*'Scoring Model'!$C$7+T238*'Scoring Model'!$C$8+U238*'Scoring Model'!$C$9)/5*100,0)</f>
        <v>78</v>
      </c>
      <c r="W238" s="11" t="str">
        <f t="shared" si="4"/>
        <v>High</v>
      </c>
      <c r="X238" s="11" t="s">
        <v>522</v>
      </c>
      <c r="Y238" s="11" t="s">
        <v>293</v>
      </c>
      <c r="Z238" s="19" t="s">
        <v>303</v>
      </c>
    </row>
    <row r="239" ht="15.75" customHeight="1">
      <c r="A239" s="25" t="s">
        <v>1159</v>
      </c>
      <c r="B239" s="26" t="s">
        <v>652</v>
      </c>
      <c r="C239" s="26" t="s">
        <v>517</v>
      </c>
      <c r="D239" s="26" t="s">
        <v>517</v>
      </c>
      <c r="E239" s="26" t="s">
        <v>120</v>
      </c>
      <c r="F239" s="26" t="s">
        <v>191</v>
      </c>
      <c r="G239" s="26" t="s">
        <v>150</v>
      </c>
      <c r="H239" s="27">
        <v>590.0</v>
      </c>
      <c r="I239" s="26" t="s">
        <v>71</v>
      </c>
      <c r="J239" s="26">
        <v>36.0</v>
      </c>
      <c r="K239" s="26" t="s">
        <v>74</v>
      </c>
      <c r="L239" s="28">
        <v>3.1</v>
      </c>
      <c r="M239" s="26" t="s">
        <v>77</v>
      </c>
      <c r="N239" s="26" t="str">
        <f t="shared" si="1"/>
        <v>Moderate</v>
      </c>
      <c r="O239" s="29" t="s">
        <v>282</v>
      </c>
      <c r="P239" s="30">
        <v>3.0</v>
      </c>
      <c r="Q239" s="26">
        <f t="shared" si="2"/>
        <v>4</v>
      </c>
      <c r="R239" s="26">
        <f t="shared" si="3"/>
        <v>4</v>
      </c>
      <c r="S239" s="30">
        <v>3.0</v>
      </c>
      <c r="T239" s="30">
        <v>3.0</v>
      </c>
      <c r="U239" s="30">
        <v>3.0</v>
      </c>
      <c r="V239" s="31">
        <f>ROUND((P239*'Scoring Model'!$C$4+Q239*'Scoring Model'!$C$5+R239*'Scoring Model'!$C$6+S239*'Scoring Model'!$C$7+T239*'Scoring Model'!$C$8+U239*'Scoring Model'!$C$9)/5*100,0)</f>
        <v>67</v>
      </c>
      <c r="W239" s="26" t="str">
        <f t="shared" si="4"/>
        <v>Medium</v>
      </c>
      <c r="X239" s="26" t="s">
        <v>522</v>
      </c>
      <c r="Y239" s="26" t="s">
        <v>293</v>
      </c>
      <c r="Z239" s="29" t="s">
        <v>249</v>
      </c>
    </row>
    <row r="240" ht="15.75" customHeight="1">
      <c r="A240" s="9" t="s">
        <v>525</v>
      </c>
      <c r="B240" s="11" t="s">
        <v>1160</v>
      </c>
      <c r="C240" s="11" t="s">
        <v>1161</v>
      </c>
      <c r="D240" s="11" t="s">
        <v>524</v>
      </c>
      <c r="E240" s="11" t="s">
        <v>110</v>
      </c>
      <c r="F240" s="11" t="s">
        <v>61</v>
      </c>
      <c r="G240" s="11" t="s">
        <v>62</v>
      </c>
      <c r="H240" s="14">
        <v>90.0</v>
      </c>
      <c r="I240" s="11" t="s">
        <v>71</v>
      </c>
      <c r="J240" s="11">
        <v>6.0</v>
      </c>
      <c r="K240" s="11" t="s">
        <v>74</v>
      </c>
      <c r="L240" s="15">
        <v>3.2</v>
      </c>
      <c r="M240" s="11" t="s">
        <v>77</v>
      </c>
      <c r="N240" s="11" t="str">
        <f t="shared" si="1"/>
        <v>Easy</v>
      </c>
      <c r="O240" s="19" t="s">
        <v>1162</v>
      </c>
      <c r="P240" s="21">
        <v>5.0</v>
      </c>
      <c r="Q240" s="11">
        <f t="shared" si="2"/>
        <v>2</v>
      </c>
      <c r="R240" s="11">
        <f t="shared" si="3"/>
        <v>5</v>
      </c>
      <c r="S240" s="21">
        <v>4.0</v>
      </c>
      <c r="T240" s="21">
        <v>5.0</v>
      </c>
      <c r="U240" s="21">
        <v>3.0</v>
      </c>
      <c r="V240" s="24">
        <f>ROUND((P240*'Scoring Model'!$C$4+Q240*'Scoring Model'!$C$5+R240*'Scoring Model'!$C$6+S240*'Scoring Model'!$C$7+T240*'Scoring Model'!$C$8+U240*'Scoring Model'!$C$9)/5*100,0)</f>
        <v>84</v>
      </c>
      <c r="W240" s="11" t="str">
        <f t="shared" si="4"/>
        <v>High</v>
      </c>
      <c r="X240" s="11" t="s">
        <v>435</v>
      </c>
      <c r="Y240" s="11" t="s">
        <v>681</v>
      </c>
      <c r="Z240" s="19" t="s">
        <v>1163</v>
      </c>
    </row>
    <row r="241" ht="15.75" customHeight="1">
      <c r="A241" s="25" t="s">
        <v>1164</v>
      </c>
      <c r="B241" s="26" t="s">
        <v>1160</v>
      </c>
      <c r="C241" s="26" t="s">
        <v>1161</v>
      </c>
      <c r="D241" s="26" t="s">
        <v>524</v>
      </c>
      <c r="E241" s="26" t="s">
        <v>110</v>
      </c>
      <c r="F241" s="26" t="s">
        <v>61</v>
      </c>
      <c r="G241" s="26" t="s">
        <v>150</v>
      </c>
      <c r="H241" s="27">
        <v>70.0</v>
      </c>
      <c r="I241" s="26" t="s">
        <v>71</v>
      </c>
      <c r="J241" s="26">
        <v>5.0</v>
      </c>
      <c r="K241" s="26" t="s">
        <v>74</v>
      </c>
      <c r="L241" s="28">
        <v>3.4</v>
      </c>
      <c r="M241" s="26" t="s">
        <v>77</v>
      </c>
      <c r="N241" s="26" t="str">
        <f t="shared" si="1"/>
        <v>Easy</v>
      </c>
      <c r="O241" s="29" t="s">
        <v>1162</v>
      </c>
      <c r="P241" s="30">
        <v>5.0</v>
      </c>
      <c r="Q241" s="26">
        <f t="shared" si="2"/>
        <v>2</v>
      </c>
      <c r="R241" s="26">
        <f t="shared" si="3"/>
        <v>5</v>
      </c>
      <c r="S241" s="30">
        <v>4.0</v>
      </c>
      <c r="T241" s="30">
        <v>5.0</v>
      </c>
      <c r="U241" s="30">
        <v>3.0</v>
      </c>
      <c r="V241" s="31">
        <f>ROUND((P241*'Scoring Model'!$C$4+Q241*'Scoring Model'!$C$5+R241*'Scoring Model'!$C$6+S241*'Scoring Model'!$C$7+T241*'Scoring Model'!$C$8+U241*'Scoring Model'!$C$9)/5*100,0)</f>
        <v>84</v>
      </c>
      <c r="W241" s="26" t="str">
        <f t="shared" si="4"/>
        <v>High</v>
      </c>
      <c r="X241" s="26" t="s">
        <v>435</v>
      </c>
      <c r="Y241" s="26" t="s">
        <v>681</v>
      </c>
      <c r="Z241" s="29" t="s">
        <v>1163</v>
      </c>
    </row>
    <row r="242" ht="15.75" customHeight="1">
      <c r="A242" s="9" t="s">
        <v>1165</v>
      </c>
      <c r="B242" s="11" t="s">
        <v>1160</v>
      </c>
      <c r="C242" s="11" t="s">
        <v>1161</v>
      </c>
      <c r="D242" s="11" t="s">
        <v>524</v>
      </c>
      <c r="E242" s="11" t="s">
        <v>110</v>
      </c>
      <c r="F242" s="11" t="s">
        <v>61</v>
      </c>
      <c r="G242" s="11" t="s">
        <v>150</v>
      </c>
      <c r="H242" s="14">
        <v>20.0</v>
      </c>
      <c r="I242" s="11" t="s">
        <v>71</v>
      </c>
      <c r="J242" s="11">
        <v>4.0</v>
      </c>
      <c r="K242" s="11" t="s">
        <v>74</v>
      </c>
      <c r="L242" s="15">
        <v>3.0</v>
      </c>
      <c r="M242" s="11" t="s">
        <v>77</v>
      </c>
      <c r="N242" s="11" t="str">
        <f t="shared" si="1"/>
        <v>Easy</v>
      </c>
      <c r="O242" s="19" t="s">
        <v>1162</v>
      </c>
      <c r="P242" s="21">
        <v>5.0</v>
      </c>
      <c r="Q242" s="11">
        <f t="shared" si="2"/>
        <v>1</v>
      </c>
      <c r="R242" s="11">
        <f t="shared" si="3"/>
        <v>5</v>
      </c>
      <c r="S242" s="21">
        <v>4.0</v>
      </c>
      <c r="T242" s="21">
        <v>5.0</v>
      </c>
      <c r="U242" s="21">
        <v>3.0</v>
      </c>
      <c r="V242" s="24">
        <f>ROUND((P242*'Scoring Model'!$C$4+Q242*'Scoring Model'!$C$5+R242*'Scoring Model'!$C$6+S242*'Scoring Model'!$C$7+T242*'Scoring Model'!$C$8+U242*'Scoring Model'!$C$9)/5*100,0)</f>
        <v>81</v>
      </c>
      <c r="W242" s="11" t="str">
        <f t="shared" si="4"/>
        <v>High</v>
      </c>
      <c r="X242" s="11" t="s">
        <v>435</v>
      </c>
      <c r="Y242" s="11" t="s">
        <v>681</v>
      </c>
      <c r="Z242" s="19" t="s">
        <v>1163</v>
      </c>
    </row>
    <row r="243" ht="15.75" customHeight="1">
      <c r="A243" s="25" t="s">
        <v>676</v>
      </c>
      <c r="B243" s="26" t="s">
        <v>1160</v>
      </c>
      <c r="C243" s="26" t="s">
        <v>1161</v>
      </c>
      <c r="D243" s="26" t="s">
        <v>524</v>
      </c>
      <c r="E243" s="26" t="s">
        <v>110</v>
      </c>
      <c r="F243" s="26" t="s">
        <v>61</v>
      </c>
      <c r="G243" s="26" t="s">
        <v>150</v>
      </c>
      <c r="H243" s="27">
        <v>40.0</v>
      </c>
      <c r="I243" s="26" t="s">
        <v>71</v>
      </c>
      <c r="J243" s="26">
        <v>6.0</v>
      </c>
      <c r="K243" s="26" t="s">
        <v>74</v>
      </c>
      <c r="L243" s="28">
        <v>2.8</v>
      </c>
      <c r="M243" s="26" t="s">
        <v>77</v>
      </c>
      <c r="N243" s="26" t="str">
        <f t="shared" si="1"/>
        <v>Easy</v>
      </c>
      <c r="O243" s="29" t="s">
        <v>1162</v>
      </c>
      <c r="P243" s="30">
        <v>5.0</v>
      </c>
      <c r="Q243" s="26">
        <f t="shared" si="2"/>
        <v>1</v>
      </c>
      <c r="R243" s="26">
        <f t="shared" si="3"/>
        <v>5</v>
      </c>
      <c r="S243" s="30">
        <v>4.0</v>
      </c>
      <c r="T243" s="30">
        <v>5.0</v>
      </c>
      <c r="U243" s="30">
        <v>3.0</v>
      </c>
      <c r="V243" s="31">
        <f>ROUND((P243*'Scoring Model'!$C$4+Q243*'Scoring Model'!$C$5+R243*'Scoring Model'!$C$6+S243*'Scoring Model'!$C$7+T243*'Scoring Model'!$C$8+U243*'Scoring Model'!$C$9)/5*100,0)</f>
        <v>81</v>
      </c>
      <c r="W243" s="26" t="str">
        <f t="shared" si="4"/>
        <v>High</v>
      </c>
      <c r="X243" s="26" t="s">
        <v>674</v>
      </c>
      <c r="Y243" s="26" t="s">
        <v>681</v>
      </c>
      <c r="Z243" s="29" t="s">
        <v>1163</v>
      </c>
    </row>
    <row r="244" ht="15.75" customHeight="1">
      <c r="A244" s="9" t="s">
        <v>1166</v>
      </c>
      <c r="B244" s="11" t="s">
        <v>1160</v>
      </c>
      <c r="C244" s="11" t="s">
        <v>1161</v>
      </c>
      <c r="D244" s="11" t="s">
        <v>524</v>
      </c>
      <c r="E244" s="11" t="s">
        <v>110</v>
      </c>
      <c r="F244" s="11" t="s">
        <v>61</v>
      </c>
      <c r="G244" s="11" t="s">
        <v>150</v>
      </c>
      <c r="H244" s="14">
        <v>20.0</v>
      </c>
      <c r="I244" s="11" t="s">
        <v>71</v>
      </c>
      <c r="J244" s="11">
        <v>3.0</v>
      </c>
      <c r="K244" s="11" t="s">
        <v>74</v>
      </c>
      <c r="L244" s="15">
        <v>1.5</v>
      </c>
      <c r="M244" s="11" t="s">
        <v>77</v>
      </c>
      <c r="N244" s="11" t="str">
        <f t="shared" si="1"/>
        <v>Easy</v>
      </c>
      <c r="O244" s="19" t="s">
        <v>1162</v>
      </c>
      <c r="P244" s="21">
        <v>5.0</v>
      </c>
      <c r="Q244" s="11">
        <f t="shared" si="2"/>
        <v>1</v>
      </c>
      <c r="R244" s="11">
        <f t="shared" si="3"/>
        <v>5</v>
      </c>
      <c r="S244" s="21">
        <v>4.0</v>
      </c>
      <c r="T244" s="21">
        <v>5.0</v>
      </c>
      <c r="U244" s="21">
        <v>3.0</v>
      </c>
      <c r="V244" s="24">
        <f>ROUND((P244*'Scoring Model'!$C$4+Q244*'Scoring Model'!$C$5+R244*'Scoring Model'!$C$6+S244*'Scoring Model'!$C$7+T244*'Scoring Model'!$C$8+U244*'Scoring Model'!$C$9)/5*100,0)</f>
        <v>81</v>
      </c>
      <c r="W244" s="11" t="str">
        <f t="shared" si="4"/>
        <v>High</v>
      </c>
      <c r="X244" s="11" t="s">
        <v>435</v>
      </c>
      <c r="Y244" s="11" t="s">
        <v>681</v>
      </c>
      <c r="Z244" s="19" t="s">
        <v>1163</v>
      </c>
    </row>
    <row r="245" ht="15.75" customHeight="1">
      <c r="A245" s="25" t="s">
        <v>679</v>
      </c>
      <c r="B245" s="26" t="s">
        <v>1160</v>
      </c>
      <c r="C245" s="26" t="s">
        <v>1161</v>
      </c>
      <c r="D245" s="26" t="s">
        <v>524</v>
      </c>
      <c r="E245" s="26" t="s">
        <v>110</v>
      </c>
      <c r="F245" s="26" t="s">
        <v>61</v>
      </c>
      <c r="G245" s="26" t="s">
        <v>150</v>
      </c>
      <c r="H245" s="27">
        <v>20.0</v>
      </c>
      <c r="I245" s="26" t="s">
        <v>71</v>
      </c>
      <c r="J245" s="26">
        <v>4.0</v>
      </c>
      <c r="K245" s="26" t="s">
        <v>74</v>
      </c>
      <c r="L245" s="28">
        <v>3.0</v>
      </c>
      <c r="M245" s="26" t="s">
        <v>77</v>
      </c>
      <c r="N245" s="26" t="str">
        <f t="shared" si="1"/>
        <v>Easy</v>
      </c>
      <c r="O245" s="29" t="s">
        <v>1162</v>
      </c>
      <c r="P245" s="30">
        <v>5.0</v>
      </c>
      <c r="Q245" s="26">
        <f t="shared" si="2"/>
        <v>1</v>
      </c>
      <c r="R245" s="26">
        <f t="shared" si="3"/>
        <v>5</v>
      </c>
      <c r="S245" s="30">
        <v>4.0</v>
      </c>
      <c r="T245" s="30">
        <v>5.0</v>
      </c>
      <c r="U245" s="30">
        <v>3.0</v>
      </c>
      <c r="V245" s="31">
        <f>ROUND((P245*'Scoring Model'!$C$4+Q245*'Scoring Model'!$C$5+R245*'Scoring Model'!$C$6+S245*'Scoring Model'!$C$7+T245*'Scoring Model'!$C$8+U245*'Scoring Model'!$C$9)/5*100,0)</f>
        <v>81</v>
      </c>
      <c r="W245" s="26" t="str">
        <f t="shared" si="4"/>
        <v>High</v>
      </c>
      <c r="X245" s="26" t="s">
        <v>677</v>
      </c>
      <c r="Y245" s="26" t="s">
        <v>681</v>
      </c>
      <c r="Z245" s="29" t="s">
        <v>1163</v>
      </c>
    </row>
    <row r="246" ht="15.75" customHeight="1">
      <c r="A246" s="9" t="s">
        <v>680</v>
      </c>
      <c r="B246" s="11" t="s">
        <v>1160</v>
      </c>
      <c r="C246" s="11" t="s">
        <v>1161</v>
      </c>
      <c r="D246" s="11" t="s">
        <v>524</v>
      </c>
      <c r="E246" s="11" t="s">
        <v>110</v>
      </c>
      <c r="F246" s="11" t="s">
        <v>61</v>
      </c>
      <c r="G246" s="11" t="s">
        <v>150</v>
      </c>
      <c r="H246" s="14">
        <v>20.0</v>
      </c>
      <c r="I246" s="11" t="s">
        <v>71</v>
      </c>
      <c r="J246" s="11">
        <v>3.0</v>
      </c>
      <c r="K246" s="11" t="s">
        <v>74</v>
      </c>
      <c r="L246" s="15">
        <v>2.0</v>
      </c>
      <c r="M246" s="11" t="s">
        <v>77</v>
      </c>
      <c r="N246" s="11" t="str">
        <f t="shared" si="1"/>
        <v>Easy</v>
      </c>
      <c r="O246" s="19" t="s">
        <v>1162</v>
      </c>
      <c r="P246" s="21">
        <v>5.0</v>
      </c>
      <c r="Q246" s="11">
        <f t="shared" si="2"/>
        <v>1</v>
      </c>
      <c r="R246" s="11">
        <f t="shared" si="3"/>
        <v>5</v>
      </c>
      <c r="S246" s="21">
        <v>4.0</v>
      </c>
      <c r="T246" s="21">
        <v>5.0</v>
      </c>
      <c r="U246" s="21">
        <v>3.0</v>
      </c>
      <c r="V246" s="24">
        <f>ROUND((P246*'Scoring Model'!$C$4+Q246*'Scoring Model'!$C$5+R246*'Scoring Model'!$C$6+S246*'Scoring Model'!$C$7+T246*'Scoring Model'!$C$8+U246*'Scoring Model'!$C$9)/5*100,0)</f>
        <v>81</v>
      </c>
      <c r="W246" s="11" t="str">
        <f t="shared" si="4"/>
        <v>High</v>
      </c>
      <c r="X246" s="11" t="s">
        <v>677</v>
      </c>
      <c r="Y246" s="11" t="s">
        <v>681</v>
      </c>
      <c r="Z246" s="19" t="s">
        <v>1163</v>
      </c>
    </row>
    <row r="247" ht="15.75" customHeight="1">
      <c r="A247" s="25" t="s">
        <v>1167</v>
      </c>
      <c r="B247" s="26" t="s">
        <v>1160</v>
      </c>
      <c r="C247" s="26" t="s">
        <v>1161</v>
      </c>
      <c r="D247" s="26" t="s">
        <v>524</v>
      </c>
      <c r="E247" s="26" t="s">
        <v>110</v>
      </c>
      <c r="F247" s="26" t="s">
        <v>61</v>
      </c>
      <c r="G247" s="26" t="s">
        <v>150</v>
      </c>
      <c r="H247" s="27">
        <v>30.0</v>
      </c>
      <c r="I247" s="26" t="s">
        <v>71</v>
      </c>
      <c r="J247" s="26">
        <v>4.0</v>
      </c>
      <c r="K247" s="26" t="s">
        <v>74</v>
      </c>
      <c r="L247" s="28">
        <v>3.1</v>
      </c>
      <c r="M247" s="26" t="s">
        <v>77</v>
      </c>
      <c r="N247" s="26" t="str">
        <f t="shared" si="1"/>
        <v>Easy</v>
      </c>
      <c r="O247" s="29" t="s">
        <v>1162</v>
      </c>
      <c r="P247" s="30">
        <v>5.0</v>
      </c>
      <c r="Q247" s="26">
        <f t="shared" si="2"/>
        <v>1</v>
      </c>
      <c r="R247" s="26">
        <f t="shared" si="3"/>
        <v>5</v>
      </c>
      <c r="S247" s="30">
        <v>4.0</v>
      </c>
      <c r="T247" s="30">
        <v>5.0</v>
      </c>
      <c r="U247" s="30">
        <v>3.0</v>
      </c>
      <c r="V247" s="31">
        <f>ROUND((P247*'Scoring Model'!$C$4+Q247*'Scoring Model'!$C$5+R247*'Scoring Model'!$C$6+S247*'Scoring Model'!$C$7+T247*'Scoring Model'!$C$8+U247*'Scoring Model'!$C$9)/5*100,0)</f>
        <v>81</v>
      </c>
      <c r="W247" s="26" t="str">
        <f t="shared" si="4"/>
        <v>High</v>
      </c>
      <c r="X247" s="26" t="s">
        <v>435</v>
      </c>
      <c r="Y247" s="26" t="s">
        <v>681</v>
      </c>
      <c r="Z247" s="29" t="s">
        <v>1163</v>
      </c>
    </row>
    <row r="248" ht="15.75" customHeight="1">
      <c r="A248" s="9" t="s">
        <v>532</v>
      </c>
      <c r="B248" s="11" t="s">
        <v>1168</v>
      </c>
      <c r="C248" s="11" t="s">
        <v>822</v>
      </c>
      <c r="D248" s="11" t="s">
        <v>531</v>
      </c>
      <c r="E248" s="11" t="s">
        <v>60</v>
      </c>
      <c r="F248" s="11" t="s">
        <v>61</v>
      </c>
      <c r="G248" s="11" t="s">
        <v>62</v>
      </c>
      <c r="H248" s="14">
        <v>590.0</v>
      </c>
      <c r="I248" s="11" t="s">
        <v>71</v>
      </c>
      <c r="J248" s="11">
        <v>30.0</v>
      </c>
      <c r="K248" s="11" t="s">
        <v>74</v>
      </c>
      <c r="L248" s="15">
        <v>6.4</v>
      </c>
      <c r="M248" s="11" t="s">
        <v>77</v>
      </c>
      <c r="N248" s="11" t="str">
        <f t="shared" si="1"/>
        <v>Moderate</v>
      </c>
      <c r="O248" s="19" t="s">
        <v>1169</v>
      </c>
      <c r="P248" s="21">
        <v>5.0</v>
      </c>
      <c r="Q248" s="11">
        <f t="shared" si="2"/>
        <v>4</v>
      </c>
      <c r="R248" s="11">
        <f t="shared" si="3"/>
        <v>4</v>
      </c>
      <c r="S248" s="21">
        <v>5.0</v>
      </c>
      <c r="T248" s="21">
        <v>5.0</v>
      </c>
      <c r="U248" s="21">
        <v>4.0</v>
      </c>
      <c r="V248" s="24">
        <f>ROUND((P248*'Scoring Model'!$C$4+Q248*'Scoring Model'!$C$5+R248*'Scoring Model'!$C$6+S248*'Scoring Model'!$C$7+T248*'Scoring Model'!$C$8+U248*'Scoring Model'!$C$9)/5*100,0)</f>
        <v>91</v>
      </c>
      <c r="W248" s="11" t="str">
        <f t="shared" si="4"/>
        <v>Critical</v>
      </c>
      <c r="X248" s="11" t="s">
        <v>535</v>
      </c>
      <c r="Y248" s="11" t="s">
        <v>293</v>
      </c>
      <c r="Z248" s="19" t="s">
        <v>142</v>
      </c>
    </row>
    <row r="249" ht="15.75" customHeight="1">
      <c r="A249" s="25" t="s">
        <v>1170</v>
      </c>
      <c r="B249" s="26" t="s">
        <v>1168</v>
      </c>
      <c r="C249" s="26" t="s">
        <v>822</v>
      </c>
      <c r="D249" s="26" t="s">
        <v>531</v>
      </c>
      <c r="E249" s="26" t="s">
        <v>60</v>
      </c>
      <c r="F249" s="26" t="s">
        <v>61</v>
      </c>
      <c r="G249" s="26" t="s">
        <v>150</v>
      </c>
      <c r="H249" s="27">
        <v>260.0</v>
      </c>
      <c r="I249" s="26" t="s">
        <v>71</v>
      </c>
      <c r="J249" s="26">
        <v>28.0</v>
      </c>
      <c r="K249" s="26" t="s">
        <v>74</v>
      </c>
      <c r="L249" s="28">
        <v>6.2</v>
      </c>
      <c r="M249" s="26" t="s">
        <v>77</v>
      </c>
      <c r="N249" s="26" t="str">
        <f t="shared" si="1"/>
        <v>Moderate</v>
      </c>
      <c r="O249" s="29" t="s">
        <v>1169</v>
      </c>
      <c r="P249" s="30">
        <v>5.0</v>
      </c>
      <c r="Q249" s="26">
        <f t="shared" si="2"/>
        <v>3</v>
      </c>
      <c r="R249" s="26">
        <f t="shared" si="3"/>
        <v>4</v>
      </c>
      <c r="S249" s="30">
        <v>5.0</v>
      </c>
      <c r="T249" s="30">
        <v>5.0</v>
      </c>
      <c r="U249" s="30">
        <v>4.0</v>
      </c>
      <c r="V249" s="31">
        <f>ROUND((P249*'Scoring Model'!$C$4+Q249*'Scoring Model'!$C$5+R249*'Scoring Model'!$C$6+S249*'Scoring Model'!$C$7+T249*'Scoring Model'!$C$8+U249*'Scoring Model'!$C$9)/5*100,0)</f>
        <v>88</v>
      </c>
      <c r="W249" s="26" t="str">
        <f t="shared" si="4"/>
        <v>High</v>
      </c>
      <c r="X249" s="26" t="s">
        <v>535</v>
      </c>
      <c r="Y249" s="26" t="s">
        <v>293</v>
      </c>
      <c r="Z249" s="29" t="s">
        <v>142</v>
      </c>
    </row>
    <row r="250" ht="15.75" customHeight="1">
      <c r="A250" s="9" t="s">
        <v>1171</v>
      </c>
      <c r="B250" s="11" t="s">
        <v>1168</v>
      </c>
      <c r="C250" s="11" t="s">
        <v>822</v>
      </c>
      <c r="D250" s="11" t="s">
        <v>531</v>
      </c>
      <c r="E250" s="11" t="s">
        <v>60</v>
      </c>
      <c r="F250" s="11" t="s">
        <v>61</v>
      </c>
      <c r="G250" s="11" t="s">
        <v>150</v>
      </c>
      <c r="H250" s="14">
        <v>1300.0</v>
      </c>
      <c r="I250" s="11" t="s">
        <v>71</v>
      </c>
      <c r="J250" s="11">
        <v>42.0</v>
      </c>
      <c r="K250" s="11" t="s">
        <v>74</v>
      </c>
      <c r="L250" s="15">
        <v>6.9</v>
      </c>
      <c r="M250" s="11" t="s">
        <v>77</v>
      </c>
      <c r="N250" s="11" t="str">
        <f t="shared" si="1"/>
        <v>Competitive</v>
      </c>
      <c r="O250" s="19" t="s">
        <v>1169</v>
      </c>
      <c r="P250" s="21">
        <v>5.0</v>
      </c>
      <c r="Q250" s="11">
        <f t="shared" si="2"/>
        <v>5</v>
      </c>
      <c r="R250" s="11">
        <f t="shared" si="3"/>
        <v>3</v>
      </c>
      <c r="S250" s="21">
        <v>5.0</v>
      </c>
      <c r="T250" s="21">
        <v>5.0</v>
      </c>
      <c r="U250" s="21">
        <v>4.0</v>
      </c>
      <c r="V250" s="24">
        <f>ROUND((P250*'Scoring Model'!$C$4+Q250*'Scoring Model'!$C$5+R250*'Scoring Model'!$C$6+S250*'Scoring Model'!$C$7+T250*'Scoring Model'!$C$8+U250*'Scoring Model'!$C$9)/5*100,0)</f>
        <v>90</v>
      </c>
      <c r="W250" s="11" t="str">
        <f t="shared" si="4"/>
        <v>Critical</v>
      </c>
      <c r="X250" s="11" t="s">
        <v>535</v>
      </c>
      <c r="Y250" s="11" t="s">
        <v>293</v>
      </c>
      <c r="Z250" s="19" t="s">
        <v>142</v>
      </c>
    </row>
    <row r="251" ht="15.75" customHeight="1">
      <c r="A251" s="25" t="s">
        <v>685</v>
      </c>
      <c r="B251" s="26" t="s">
        <v>1168</v>
      </c>
      <c r="C251" s="26" t="s">
        <v>822</v>
      </c>
      <c r="D251" s="26" t="s">
        <v>531</v>
      </c>
      <c r="E251" s="26" t="s">
        <v>60</v>
      </c>
      <c r="F251" s="26" t="s">
        <v>61</v>
      </c>
      <c r="G251" s="26" t="s">
        <v>150</v>
      </c>
      <c r="H251" s="27">
        <v>210.0</v>
      </c>
      <c r="I251" s="26" t="s">
        <v>71</v>
      </c>
      <c r="J251" s="26">
        <v>22.0</v>
      </c>
      <c r="K251" s="26" t="s">
        <v>74</v>
      </c>
      <c r="L251" s="28">
        <v>5.6</v>
      </c>
      <c r="M251" s="26" t="s">
        <v>77</v>
      </c>
      <c r="N251" s="26" t="str">
        <f t="shared" si="1"/>
        <v>Moderate</v>
      </c>
      <c r="O251" s="29" t="s">
        <v>1169</v>
      </c>
      <c r="P251" s="30">
        <v>5.0</v>
      </c>
      <c r="Q251" s="26">
        <f t="shared" si="2"/>
        <v>3</v>
      </c>
      <c r="R251" s="26">
        <f t="shared" si="3"/>
        <v>5</v>
      </c>
      <c r="S251" s="30">
        <v>5.0</v>
      </c>
      <c r="T251" s="30">
        <v>5.0</v>
      </c>
      <c r="U251" s="30">
        <v>4.0</v>
      </c>
      <c r="V251" s="31">
        <f>ROUND((P251*'Scoring Model'!$C$4+Q251*'Scoring Model'!$C$5+R251*'Scoring Model'!$C$6+S251*'Scoring Model'!$C$7+T251*'Scoring Model'!$C$8+U251*'Scoring Model'!$C$9)/5*100,0)</f>
        <v>92</v>
      </c>
      <c r="W251" s="26" t="str">
        <f t="shared" si="4"/>
        <v>Critical</v>
      </c>
      <c r="X251" s="26" t="s">
        <v>535</v>
      </c>
      <c r="Y251" s="26" t="s">
        <v>293</v>
      </c>
      <c r="Z251" s="29" t="s">
        <v>303</v>
      </c>
    </row>
    <row r="252" ht="15.75" customHeight="1">
      <c r="A252" s="9" t="s">
        <v>989</v>
      </c>
      <c r="B252" s="11" t="s">
        <v>1168</v>
      </c>
      <c r="C252" s="11" t="s">
        <v>822</v>
      </c>
      <c r="D252" s="11" t="s">
        <v>531</v>
      </c>
      <c r="E252" s="11" t="s">
        <v>60</v>
      </c>
      <c r="F252" s="11" t="s">
        <v>61</v>
      </c>
      <c r="G252" s="11" t="s">
        <v>150</v>
      </c>
      <c r="H252" s="14">
        <v>170.0</v>
      </c>
      <c r="I252" s="11" t="s">
        <v>71</v>
      </c>
      <c r="J252" s="11">
        <v>20.0</v>
      </c>
      <c r="K252" s="11" t="s">
        <v>74</v>
      </c>
      <c r="L252" s="15">
        <v>5.9</v>
      </c>
      <c r="M252" s="11" t="s">
        <v>77</v>
      </c>
      <c r="N252" s="11" t="str">
        <f t="shared" si="1"/>
        <v>Easy</v>
      </c>
      <c r="O252" s="19" t="s">
        <v>1169</v>
      </c>
      <c r="P252" s="21">
        <v>5.0</v>
      </c>
      <c r="Q252" s="11">
        <f t="shared" si="2"/>
        <v>3</v>
      </c>
      <c r="R252" s="11">
        <f t="shared" si="3"/>
        <v>5</v>
      </c>
      <c r="S252" s="21">
        <v>5.0</v>
      </c>
      <c r="T252" s="21">
        <v>5.0</v>
      </c>
      <c r="U252" s="21">
        <v>4.0</v>
      </c>
      <c r="V252" s="24">
        <f>ROUND((P252*'Scoring Model'!$C$4+Q252*'Scoring Model'!$C$5+R252*'Scoring Model'!$C$6+S252*'Scoring Model'!$C$7+T252*'Scoring Model'!$C$8+U252*'Scoring Model'!$C$9)/5*100,0)</f>
        <v>92</v>
      </c>
      <c r="W252" s="11" t="str">
        <f t="shared" si="4"/>
        <v>Critical</v>
      </c>
      <c r="X252" s="11" t="s">
        <v>535</v>
      </c>
      <c r="Y252" s="11" t="s">
        <v>293</v>
      </c>
      <c r="Z252" s="19" t="s">
        <v>303</v>
      </c>
    </row>
    <row r="253" ht="15.75" customHeight="1">
      <c r="A253" s="25" t="s">
        <v>1172</v>
      </c>
      <c r="B253" s="26" t="s">
        <v>1168</v>
      </c>
      <c r="C253" s="26" t="s">
        <v>822</v>
      </c>
      <c r="D253" s="26" t="s">
        <v>531</v>
      </c>
      <c r="E253" s="26" t="s">
        <v>60</v>
      </c>
      <c r="F253" s="26" t="s">
        <v>61</v>
      </c>
      <c r="G253" s="26" t="s">
        <v>150</v>
      </c>
      <c r="H253" s="27">
        <v>70.0</v>
      </c>
      <c r="I253" s="26" t="s">
        <v>71</v>
      </c>
      <c r="J253" s="26">
        <v>22.0</v>
      </c>
      <c r="K253" s="26" t="s">
        <v>74</v>
      </c>
      <c r="L253" s="28">
        <v>5.2</v>
      </c>
      <c r="M253" s="26" t="s">
        <v>77</v>
      </c>
      <c r="N253" s="26" t="str">
        <f t="shared" si="1"/>
        <v>Moderate</v>
      </c>
      <c r="O253" s="29" t="s">
        <v>1169</v>
      </c>
      <c r="P253" s="30">
        <v>5.0</v>
      </c>
      <c r="Q253" s="26">
        <f t="shared" si="2"/>
        <v>2</v>
      </c>
      <c r="R253" s="26">
        <f t="shared" si="3"/>
        <v>5</v>
      </c>
      <c r="S253" s="30">
        <v>5.0</v>
      </c>
      <c r="T253" s="30">
        <v>5.0</v>
      </c>
      <c r="U253" s="30">
        <v>4.0</v>
      </c>
      <c r="V253" s="31">
        <f>ROUND((P253*'Scoring Model'!$C$4+Q253*'Scoring Model'!$C$5+R253*'Scoring Model'!$C$6+S253*'Scoring Model'!$C$7+T253*'Scoring Model'!$C$8+U253*'Scoring Model'!$C$9)/5*100,0)</f>
        <v>89</v>
      </c>
      <c r="W253" s="26" t="str">
        <f t="shared" si="4"/>
        <v>High</v>
      </c>
      <c r="X253" s="26" t="s">
        <v>535</v>
      </c>
      <c r="Y253" s="26" t="s">
        <v>293</v>
      </c>
      <c r="Z253" s="29" t="s">
        <v>142</v>
      </c>
    </row>
    <row r="254" ht="15.75" customHeight="1">
      <c r="A254" s="9" t="s">
        <v>1173</v>
      </c>
      <c r="B254" s="11" t="s">
        <v>1168</v>
      </c>
      <c r="C254" s="11" t="s">
        <v>822</v>
      </c>
      <c r="D254" s="11" t="s">
        <v>531</v>
      </c>
      <c r="E254" s="11" t="s">
        <v>60</v>
      </c>
      <c r="F254" s="11" t="s">
        <v>61</v>
      </c>
      <c r="G254" s="11" t="s">
        <v>150</v>
      </c>
      <c r="H254" s="14">
        <v>90.0</v>
      </c>
      <c r="I254" s="11" t="s">
        <v>71</v>
      </c>
      <c r="J254" s="11">
        <v>24.0</v>
      </c>
      <c r="K254" s="11" t="s">
        <v>74</v>
      </c>
      <c r="L254" s="15">
        <v>5.5</v>
      </c>
      <c r="M254" s="11" t="s">
        <v>77</v>
      </c>
      <c r="N254" s="11" t="str">
        <f t="shared" si="1"/>
        <v>Moderate</v>
      </c>
      <c r="O254" s="19" t="s">
        <v>1169</v>
      </c>
      <c r="P254" s="21">
        <v>5.0</v>
      </c>
      <c r="Q254" s="11">
        <f t="shared" si="2"/>
        <v>2</v>
      </c>
      <c r="R254" s="11">
        <f t="shared" si="3"/>
        <v>5</v>
      </c>
      <c r="S254" s="21">
        <v>5.0</v>
      </c>
      <c r="T254" s="21">
        <v>5.0</v>
      </c>
      <c r="U254" s="21">
        <v>4.0</v>
      </c>
      <c r="V254" s="24">
        <f>ROUND((P254*'Scoring Model'!$C$4+Q254*'Scoring Model'!$C$5+R254*'Scoring Model'!$C$6+S254*'Scoring Model'!$C$7+T254*'Scoring Model'!$C$8+U254*'Scoring Model'!$C$9)/5*100,0)</f>
        <v>89</v>
      </c>
      <c r="W254" s="11" t="str">
        <f t="shared" si="4"/>
        <v>High</v>
      </c>
      <c r="X254" s="11" t="s">
        <v>535</v>
      </c>
      <c r="Y254" s="11" t="s">
        <v>293</v>
      </c>
      <c r="Z254" s="19" t="s">
        <v>142</v>
      </c>
    </row>
    <row r="255" ht="15.75" customHeight="1">
      <c r="A255" s="25" t="s">
        <v>541</v>
      </c>
      <c r="B255" s="26" t="s">
        <v>1168</v>
      </c>
      <c r="C255" s="26" t="s">
        <v>822</v>
      </c>
      <c r="D255" s="26" t="s">
        <v>540</v>
      </c>
      <c r="E255" s="26" t="s">
        <v>60</v>
      </c>
      <c r="F255" s="26" t="s">
        <v>61</v>
      </c>
      <c r="G255" s="26" t="s">
        <v>62</v>
      </c>
      <c r="H255" s="27">
        <v>140.0</v>
      </c>
      <c r="I255" s="26" t="s">
        <v>71</v>
      </c>
      <c r="J255" s="26">
        <v>24.0</v>
      </c>
      <c r="K255" s="26" t="s">
        <v>74</v>
      </c>
      <c r="L255" s="28">
        <v>8.4</v>
      </c>
      <c r="M255" s="26" t="s">
        <v>77</v>
      </c>
      <c r="N255" s="26" t="str">
        <f t="shared" si="1"/>
        <v>Moderate</v>
      </c>
      <c r="O255" s="29" t="s">
        <v>1169</v>
      </c>
      <c r="P255" s="30">
        <v>5.0</v>
      </c>
      <c r="Q255" s="26">
        <f t="shared" si="2"/>
        <v>2</v>
      </c>
      <c r="R255" s="26">
        <f t="shared" si="3"/>
        <v>5</v>
      </c>
      <c r="S255" s="30">
        <v>5.0</v>
      </c>
      <c r="T255" s="30">
        <v>5.0</v>
      </c>
      <c r="U255" s="30">
        <v>4.0</v>
      </c>
      <c r="V255" s="31">
        <f>ROUND((P255*'Scoring Model'!$C$4+Q255*'Scoring Model'!$C$5+R255*'Scoring Model'!$C$6+S255*'Scoring Model'!$C$7+T255*'Scoring Model'!$C$8+U255*'Scoring Model'!$C$9)/5*100,0)</f>
        <v>89</v>
      </c>
      <c r="W255" s="26" t="str">
        <f t="shared" si="4"/>
        <v>High</v>
      </c>
      <c r="X255" s="26" t="s">
        <v>545</v>
      </c>
      <c r="Y255" s="26" t="s">
        <v>293</v>
      </c>
      <c r="Z255" s="29" t="s">
        <v>142</v>
      </c>
    </row>
    <row r="256" ht="15.75" customHeight="1">
      <c r="A256" s="9" t="s">
        <v>1174</v>
      </c>
      <c r="B256" s="11" t="s">
        <v>1168</v>
      </c>
      <c r="C256" s="11" t="s">
        <v>822</v>
      </c>
      <c r="D256" s="11" t="s">
        <v>540</v>
      </c>
      <c r="E256" s="11" t="s">
        <v>60</v>
      </c>
      <c r="F256" s="11" t="s">
        <v>61</v>
      </c>
      <c r="G256" s="11" t="s">
        <v>150</v>
      </c>
      <c r="H256" s="14">
        <v>260.0</v>
      </c>
      <c r="I256" s="11" t="s">
        <v>71</v>
      </c>
      <c r="J256" s="11">
        <v>32.0</v>
      </c>
      <c r="K256" s="11" t="s">
        <v>74</v>
      </c>
      <c r="L256" s="15">
        <v>8.0</v>
      </c>
      <c r="M256" s="11" t="s">
        <v>77</v>
      </c>
      <c r="N256" s="11" t="str">
        <f t="shared" si="1"/>
        <v>Moderate</v>
      </c>
      <c r="O256" s="19" t="s">
        <v>1169</v>
      </c>
      <c r="P256" s="21">
        <v>5.0</v>
      </c>
      <c r="Q256" s="11">
        <f t="shared" si="2"/>
        <v>3</v>
      </c>
      <c r="R256" s="11">
        <f t="shared" si="3"/>
        <v>4</v>
      </c>
      <c r="S256" s="21">
        <v>5.0</v>
      </c>
      <c r="T256" s="21">
        <v>5.0</v>
      </c>
      <c r="U256" s="21">
        <v>4.0</v>
      </c>
      <c r="V256" s="24">
        <f>ROUND((P256*'Scoring Model'!$C$4+Q256*'Scoring Model'!$C$5+R256*'Scoring Model'!$C$6+S256*'Scoring Model'!$C$7+T256*'Scoring Model'!$C$8+U256*'Scoring Model'!$C$9)/5*100,0)</f>
        <v>88</v>
      </c>
      <c r="W256" s="11" t="str">
        <f t="shared" si="4"/>
        <v>High</v>
      </c>
      <c r="X256" s="11" t="s">
        <v>545</v>
      </c>
      <c r="Y256" s="11" t="s">
        <v>293</v>
      </c>
      <c r="Z256" s="19" t="s">
        <v>142</v>
      </c>
    </row>
    <row r="257" ht="15.75" customHeight="1">
      <c r="A257" s="25" t="s">
        <v>1049</v>
      </c>
      <c r="B257" s="26" t="s">
        <v>1168</v>
      </c>
      <c r="C257" s="26" t="s">
        <v>822</v>
      </c>
      <c r="D257" s="26" t="s">
        <v>540</v>
      </c>
      <c r="E257" s="26" t="s">
        <v>60</v>
      </c>
      <c r="F257" s="26" t="s">
        <v>61</v>
      </c>
      <c r="G257" s="26" t="s">
        <v>150</v>
      </c>
      <c r="H257" s="27">
        <v>90.0</v>
      </c>
      <c r="I257" s="26" t="s">
        <v>71</v>
      </c>
      <c r="J257" s="26">
        <v>26.0</v>
      </c>
      <c r="K257" s="26" t="s">
        <v>74</v>
      </c>
      <c r="L257" s="28">
        <v>7.4</v>
      </c>
      <c r="M257" s="26" t="s">
        <v>77</v>
      </c>
      <c r="N257" s="26" t="str">
        <f t="shared" si="1"/>
        <v>Moderate</v>
      </c>
      <c r="O257" s="29" t="s">
        <v>1169</v>
      </c>
      <c r="P257" s="30">
        <v>5.0</v>
      </c>
      <c r="Q257" s="26">
        <f t="shared" si="2"/>
        <v>2</v>
      </c>
      <c r="R257" s="26">
        <f t="shared" si="3"/>
        <v>4</v>
      </c>
      <c r="S257" s="30">
        <v>5.0</v>
      </c>
      <c r="T257" s="30">
        <v>5.0</v>
      </c>
      <c r="U257" s="30">
        <v>4.0</v>
      </c>
      <c r="V257" s="31">
        <f>ROUND((P257*'Scoring Model'!$C$4+Q257*'Scoring Model'!$C$5+R257*'Scoring Model'!$C$6+S257*'Scoring Model'!$C$7+T257*'Scoring Model'!$C$8+U257*'Scoring Model'!$C$9)/5*100,0)</f>
        <v>85</v>
      </c>
      <c r="W257" s="26" t="str">
        <f t="shared" si="4"/>
        <v>High</v>
      </c>
      <c r="X257" s="26" t="s">
        <v>545</v>
      </c>
      <c r="Y257" s="26" t="s">
        <v>293</v>
      </c>
      <c r="Z257" s="29" t="s">
        <v>142</v>
      </c>
    </row>
    <row r="258" ht="15.75" customHeight="1">
      <c r="A258" s="9" t="s">
        <v>553</v>
      </c>
      <c r="B258" s="11" t="s">
        <v>1168</v>
      </c>
      <c r="C258" s="11" t="s">
        <v>822</v>
      </c>
      <c r="D258" s="11" t="s">
        <v>551</v>
      </c>
      <c r="E258" s="11" t="s">
        <v>60</v>
      </c>
      <c r="F258" s="11" t="s">
        <v>61</v>
      </c>
      <c r="G258" s="11" t="s">
        <v>62</v>
      </c>
      <c r="H258" s="14">
        <v>170.0</v>
      </c>
      <c r="I258" s="11" t="s">
        <v>71</v>
      </c>
      <c r="J258" s="11">
        <v>26.0</v>
      </c>
      <c r="K258" s="11" t="s">
        <v>74</v>
      </c>
      <c r="L258" s="15">
        <v>9.8</v>
      </c>
      <c r="M258" s="11" t="s">
        <v>77</v>
      </c>
      <c r="N258" s="11" t="str">
        <f t="shared" si="1"/>
        <v>Moderate</v>
      </c>
      <c r="O258" s="19" t="s">
        <v>1169</v>
      </c>
      <c r="P258" s="21">
        <v>5.0</v>
      </c>
      <c r="Q258" s="11">
        <f t="shared" si="2"/>
        <v>3</v>
      </c>
      <c r="R258" s="11">
        <f t="shared" si="3"/>
        <v>4</v>
      </c>
      <c r="S258" s="21">
        <v>5.0</v>
      </c>
      <c r="T258" s="21">
        <v>5.0</v>
      </c>
      <c r="U258" s="21">
        <v>4.0</v>
      </c>
      <c r="V258" s="24">
        <f>ROUND((P258*'Scoring Model'!$C$4+Q258*'Scoring Model'!$C$5+R258*'Scoring Model'!$C$6+S258*'Scoring Model'!$C$7+T258*'Scoring Model'!$C$8+U258*'Scoring Model'!$C$9)/5*100,0)</f>
        <v>88</v>
      </c>
      <c r="W258" s="11" t="str">
        <f t="shared" si="4"/>
        <v>High</v>
      </c>
      <c r="X258" s="11" t="s">
        <v>557</v>
      </c>
      <c r="Y258" s="11" t="s">
        <v>293</v>
      </c>
      <c r="Z258" s="19" t="s">
        <v>142</v>
      </c>
    </row>
    <row r="259" ht="15.75" customHeight="1">
      <c r="A259" s="25" t="s">
        <v>691</v>
      </c>
      <c r="B259" s="26" t="s">
        <v>1168</v>
      </c>
      <c r="C259" s="26" t="s">
        <v>822</v>
      </c>
      <c r="D259" s="26" t="s">
        <v>551</v>
      </c>
      <c r="E259" s="26" t="s">
        <v>60</v>
      </c>
      <c r="F259" s="26" t="s">
        <v>61</v>
      </c>
      <c r="G259" s="26" t="s">
        <v>150</v>
      </c>
      <c r="H259" s="27">
        <v>210.0</v>
      </c>
      <c r="I259" s="26" t="s">
        <v>71</v>
      </c>
      <c r="J259" s="26">
        <v>34.0</v>
      </c>
      <c r="K259" s="26" t="s">
        <v>74</v>
      </c>
      <c r="L259" s="28">
        <v>10.2</v>
      </c>
      <c r="M259" s="26" t="s">
        <v>77</v>
      </c>
      <c r="N259" s="26" t="str">
        <f t="shared" si="1"/>
        <v>Moderate</v>
      </c>
      <c r="O259" s="29" t="s">
        <v>1169</v>
      </c>
      <c r="P259" s="30">
        <v>5.0</v>
      </c>
      <c r="Q259" s="26">
        <f t="shared" si="2"/>
        <v>3</v>
      </c>
      <c r="R259" s="26">
        <f t="shared" si="3"/>
        <v>4</v>
      </c>
      <c r="S259" s="30">
        <v>5.0</v>
      </c>
      <c r="T259" s="30">
        <v>5.0</v>
      </c>
      <c r="U259" s="30">
        <v>4.0</v>
      </c>
      <c r="V259" s="31">
        <f>ROUND((P259*'Scoring Model'!$C$4+Q259*'Scoring Model'!$C$5+R259*'Scoring Model'!$C$6+S259*'Scoring Model'!$C$7+T259*'Scoring Model'!$C$8+U259*'Scoring Model'!$C$9)/5*100,0)</f>
        <v>88</v>
      </c>
      <c r="W259" s="26" t="str">
        <f t="shared" si="4"/>
        <v>High</v>
      </c>
      <c r="X259" s="26" t="s">
        <v>557</v>
      </c>
      <c r="Y259" s="26" t="s">
        <v>293</v>
      </c>
      <c r="Z259" s="29" t="s">
        <v>142</v>
      </c>
    </row>
    <row r="260" ht="15.75" customHeight="1">
      <c r="A260" s="9" t="s">
        <v>1175</v>
      </c>
      <c r="B260" s="11" t="s">
        <v>652</v>
      </c>
      <c r="C260" s="11" t="s">
        <v>822</v>
      </c>
      <c r="D260" s="11" t="s">
        <v>551</v>
      </c>
      <c r="E260" s="11" t="s">
        <v>120</v>
      </c>
      <c r="F260" s="11" t="s">
        <v>191</v>
      </c>
      <c r="G260" s="11" t="s">
        <v>150</v>
      </c>
      <c r="H260" s="14">
        <v>1600.0</v>
      </c>
      <c r="I260" s="11" t="s">
        <v>71</v>
      </c>
      <c r="J260" s="11">
        <v>36.0</v>
      </c>
      <c r="K260" s="11" t="s">
        <v>74</v>
      </c>
      <c r="L260" s="15">
        <v>2.8</v>
      </c>
      <c r="M260" s="11" t="s">
        <v>77</v>
      </c>
      <c r="N260" s="11" t="str">
        <f t="shared" si="1"/>
        <v>Moderate</v>
      </c>
      <c r="O260" s="19" t="s">
        <v>282</v>
      </c>
      <c r="P260" s="21">
        <v>4.0</v>
      </c>
      <c r="Q260" s="11">
        <f t="shared" si="2"/>
        <v>5</v>
      </c>
      <c r="R260" s="11">
        <f t="shared" si="3"/>
        <v>4</v>
      </c>
      <c r="S260" s="21">
        <v>3.0</v>
      </c>
      <c r="T260" s="21">
        <v>3.0</v>
      </c>
      <c r="U260" s="21">
        <v>4.0</v>
      </c>
      <c r="V260" s="24">
        <f>ROUND((P260*'Scoring Model'!$C$4+Q260*'Scoring Model'!$C$5+R260*'Scoring Model'!$C$6+S260*'Scoring Model'!$C$7+T260*'Scoring Model'!$C$8+U260*'Scoring Model'!$C$9)/5*100,0)</f>
        <v>77</v>
      </c>
      <c r="W260" s="11" t="str">
        <f t="shared" si="4"/>
        <v>High</v>
      </c>
      <c r="X260" s="11" t="s">
        <v>557</v>
      </c>
      <c r="Y260" s="11" t="s">
        <v>293</v>
      </c>
      <c r="Z260" s="19" t="s">
        <v>249</v>
      </c>
    </row>
    <row r="261" ht="15.75" customHeight="1">
      <c r="A261" s="25" t="s">
        <v>561</v>
      </c>
      <c r="B261" s="26" t="s">
        <v>1168</v>
      </c>
      <c r="C261" s="26" t="s">
        <v>822</v>
      </c>
      <c r="D261" s="26" t="s">
        <v>560</v>
      </c>
      <c r="E261" s="26" t="s">
        <v>60</v>
      </c>
      <c r="F261" s="26" t="s">
        <v>61</v>
      </c>
      <c r="G261" s="26" t="s">
        <v>62</v>
      </c>
      <c r="H261" s="27">
        <v>90.0</v>
      </c>
      <c r="I261" s="26" t="s">
        <v>71</v>
      </c>
      <c r="J261" s="26">
        <v>18.0</v>
      </c>
      <c r="K261" s="26" t="s">
        <v>74</v>
      </c>
      <c r="L261" s="28">
        <v>4.1</v>
      </c>
      <c r="M261" s="26" t="s">
        <v>77</v>
      </c>
      <c r="N261" s="26" t="str">
        <f t="shared" si="1"/>
        <v>Easy</v>
      </c>
      <c r="O261" s="29" t="s">
        <v>1169</v>
      </c>
      <c r="P261" s="30">
        <v>4.0</v>
      </c>
      <c r="Q261" s="26">
        <f t="shared" si="2"/>
        <v>2</v>
      </c>
      <c r="R261" s="26">
        <f t="shared" si="3"/>
        <v>5</v>
      </c>
      <c r="S261" s="30">
        <v>5.0</v>
      </c>
      <c r="T261" s="30">
        <v>5.0</v>
      </c>
      <c r="U261" s="30">
        <v>3.0</v>
      </c>
      <c r="V261" s="31">
        <f>ROUND((P261*'Scoring Model'!$C$4+Q261*'Scoring Model'!$C$5+R261*'Scoring Model'!$C$6+S261*'Scoring Model'!$C$7+T261*'Scoring Model'!$C$8+U261*'Scoring Model'!$C$9)/5*100,0)</f>
        <v>82</v>
      </c>
      <c r="W261" s="26" t="str">
        <f t="shared" si="4"/>
        <v>High</v>
      </c>
      <c r="X261" s="26" t="s">
        <v>564</v>
      </c>
      <c r="Y261" s="26" t="s">
        <v>293</v>
      </c>
      <c r="Z261" s="29" t="s">
        <v>142</v>
      </c>
    </row>
    <row r="262" ht="15.75" customHeight="1">
      <c r="A262" s="9" t="s">
        <v>1176</v>
      </c>
      <c r="B262" s="11" t="s">
        <v>1168</v>
      </c>
      <c r="C262" s="11" t="s">
        <v>822</v>
      </c>
      <c r="D262" s="11" t="s">
        <v>560</v>
      </c>
      <c r="E262" s="11" t="s">
        <v>60</v>
      </c>
      <c r="F262" s="11" t="s">
        <v>61</v>
      </c>
      <c r="G262" s="11" t="s">
        <v>150</v>
      </c>
      <c r="H262" s="14">
        <v>70.0</v>
      </c>
      <c r="I262" s="11" t="s">
        <v>71</v>
      </c>
      <c r="J262" s="11">
        <v>17.0</v>
      </c>
      <c r="K262" s="11" t="s">
        <v>74</v>
      </c>
      <c r="L262" s="15">
        <v>4.0</v>
      </c>
      <c r="M262" s="11" t="s">
        <v>77</v>
      </c>
      <c r="N262" s="11" t="str">
        <f t="shared" si="1"/>
        <v>Easy</v>
      </c>
      <c r="O262" s="19" t="s">
        <v>1169</v>
      </c>
      <c r="P262" s="21">
        <v>4.0</v>
      </c>
      <c r="Q262" s="11">
        <f t="shared" si="2"/>
        <v>2</v>
      </c>
      <c r="R262" s="11">
        <f t="shared" si="3"/>
        <v>5</v>
      </c>
      <c r="S262" s="21">
        <v>5.0</v>
      </c>
      <c r="T262" s="21">
        <v>5.0</v>
      </c>
      <c r="U262" s="21">
        <v>3.0</v>
      </c>
      <c r="V262" s="24">
        <f>ROUND((P262*'Scoring Model'!$C$4+Q262*'Scoring Model'!$C$5+R262*'Scoring Model'!$C$6+S262*'Scoring Model'!$C$7+T262*'Scoring Model'!$C$8+U262*'Scoring Model'!$C$9)/5*100,0)</f>
        <v>82</v>
      </c>
      <c r="W262" s="11" t="str">
        <f t="shared" si="4"/>
        <v>High</v>
      </c>
      <c r="X262" s="11" t="s">
        <v>564</v>
      </c>
      <c r="Y262" s="11" t="s">
        <v>293</v>
      </c>
      <c r="Z262" s="19" t="s">
        <v>142</v>
      </c>
    </row>
    <row r="263" ht="15.75" customHeight="1">
      <c r="A263" s="25" t="s">
        <v>1177</v>
      </c>
      <c r="B263" s="26" t="s">
        <v>1168</v>
      </c>
      <c r="C263" s="26" t="s">
        <v>822</v>
      </c>
      <c r="D263" s="26" t="s">
        <v>560</v>
      </c>
      <c r="E263" s="26" t="s">
        <v>60</v>
      </c>
      <c r="F263" s="26" t="s">
        <v>61</v>
      </c>
      <c r="G263" s="26" t="s">
        <v>150</v>
      </c>
      <c r="H263" s="27">
        <v>50.0</v>
      </c>
      <c r="I263" s="26" t="s">
        <v>71</v>
      </c>
      <c r="J263" s="26">
        <v>17.0</v>
      </c>
      <c r="K263" s="26" t="s">
        <v>74</v>
      </c>
      <c r="L263" s="28">
        <v>5.6</v>
      </c>
      <c r="M263" s="26" t="s">
        <v>77</v>
      </c>
      <c r="N263" s="26" t="str">
        <f t="shared" si="1"/>
        <v>Easy</v>
      </c>
      <c r="O263" s="29" t="s">
        <v>1169</v>
      </c>
      <c r="P263" s="30">
        <v>4.0</v>
      </c>
      <c r="Q263" s="26">
        <f t="shared" si="2"/>
        <v>2</v>
      </c>
      <c r="R263" s="26">
        <f t="shared" si="3"/>
        <v>5</v>
      </c>
      <c r="S263" s="30">
        <v>5.0</v>
      </c>
      <c r="T263" s="30">
        <v>5.0</v>
      </c>
      <c r="U263" s="30">
        <v>3.0</v>
      </c>
      <c r="V263" s="31">
        <f>ROUND((P263*'Scoring Model'!$C$4+Q263*'Scoring Model'!$C$5+R263*'Scoring Model'!$C$6+S263*'Scoring Model'!$C$7+T263*'Scoring Model'!$C$8+U263*'Scoring Model'!$C$9)/5*100,0)</f>
        <v>82</v>
      </c>
      <c r="W263" s="26" t="str">
        <f t="shared" si="4"/>
        <v>High</v>
      </c>
      <c r="X263" s="26" t="s">
        <v>564</v>
      </c>
      <c r="Y263" s="26" t="s">
        <v>293</v>
      </c>
      <c r="Z263" s="29" t="s">
        <v>142</v>
      </c>
    </row>
    <row r="264" ht="15.75" customHeight="1">
      <c r="A264" s="9" t="s">
        <v>1178</v>
      </c>
      <c r="B264" s="11" t="s">
        <v>1168</v>
      </c>
      <c r="C264" s="11" t="s">
        <v>822</v>
      </c>
      <c r="D264" s="11" t="s">
        <v>560</v>
      </c>
      <c r="E264" s="11" t="s">
        <v>60</v>
      </c>
      <c r="F264" s="11" t="s">
        <v>61</v>
      </c>
      <c r="G264" s="11" t="s">
        <v>150</v>
      </c>
      <c r="H264" s="14">
        <v>50.0</v>
      </c>
      <c r="I264" s="11" t="s">
        <v>71</v>
      </c>
      <c r="J264" s="11">
        <v>18.0</v>
      </c>
      <c r="K264" s="11" t="s">
        <v>74</v>
      </c>
      <c r="L264" s="15">
        <v>4.6</v>
      </c>
      <c r="M264" s="11" t="s">
        <v>77</v>
      </c>
      <c r="N264" s="11" t="str">
        <f t="shared" si="1"/>
        <v>Easy</v>
      </c>
      <c r="O264" s="19" t="s">
        <v>1169</v>
      </c>
      <c r="P264" s="21">
        <v>4.0</v>
      </c>
      <c r="Q264" s="11">
        <f t="shared" si="2"/>
        <v>2</v>
      </c>
      <c r="R264" s="11">
        <f t="shared" si="3"/>
        <v>5</v>
      </c>
      <c r="S264" s="21">
        <v>5.0</v>
      </c>
      <c r="T264" s="21">
        <v>5.0</v>
      </c>
      <c r="U264" s="21">
        <v>3.0</v>
      </c>
      <c r="V264" s="24">
        <f>ROUND((P264*'Scoring Model'!$C$4+Q264*'Scoring Model'!$C$5+R264*'Scoring Model'!$C$6+S264*'Scoring Model'!$C$7+T264*'Scoring Model'!$C$8+U264*'Scoring Model'!$C$9)/5*100,0)</f>
        <v>82</v>
      </c>
      <c r="W264" s="11" t="str">
        <f t="shared" si="4"/>
        <v>High</v>
      </c>
      <c r="X264" s="11" t="s">
        <v>564</v>
      </c>
      <c r="Y264" s="11" t="s">
        <v>293</v>
      </c>
      <c r="Z264" s="19" t="s">
        <v>142</v>
      </c>
    </row>
    <row r="265" ht="15.75" customHeight="1">
      <c r="A265" s="25" t="s">
        <v>696</v>
      </c>
      <c r="B265" s="26" t="s">
        <v>1168</v>
      </c>
      <c r="C265" s="26" t="s">
        <v>822</v>
      </c>
      <c r="D265" s="26" t="s">
        <v>560</v>
      </c>
      <c r="E265" s="26" t="s">
        <v>60</v>
      </c>
      <c r="F265" s="26" t="s">
        <v>61</v>
      </c>
      <c r="G265" s="26" t="s">
        <v>150</v>
      </c>
      <c r="H265" s="27">
        <v>110.0</v>
      </c>
      <c r="I265" s="26" t="s">
        <v>71</v>
      </c>
      <c r="J265" s="26">
        <v>24.0</v>
      </c>
      <c r="K265" s="26" t="s">
        <v>74</v>
      </c>
      <c r="L265" s="28">
        <v>5.8</v>
      </c>
      <c r="M265" s="26" t="s">
        <v>77</v>
      </c>
      <c r="N265" s="26" t="str">
        <f t="shared" si="1"/>
        <v>Moderate</v>
      </c>
      <c r="O265" s="29" t="s">
        <v>1169</v>
      </c>
      <c r="P265" s="30">
        <v>4.0</v>
      </c>
      <c r="Q265" s="26">
        <f t="shared" si="2"/>
        <v>2</v>
      </c>
      <c r="R265" s="26">
        <f t="shared" si="3"/>
        <v>5</v>
      </c>
      <c r="S265" s="30">
        <v>5.0</v>
      </c>
      <c r="T265" s="30">
        <v>5.0</v>
      </c>
      <c r="U265" s="30">
        <v>3.0</v>
      </c>
      <c r="V265" s="31">
        <f>ROUND((P265*'Scoring Model'!$C$4+Q265*'Scoring Model'!$C$5+R265*'Scoring Model'!$C$6+S265*'Scoring Model'!$C$7+T265*'Scoring Model'!$C$8+U265*'Scoring Model'!$C$9)/5*100,0)</f>
        <v>82</v>
      </c>
      <c r="W265" s="26" t="str">
        <f t="shared" si="4"/>
        <v>High</v>
      </c>
      <c r="X265" s="26" t="s">
        <v>564</v>
      </c>
      <c r="Y265" s="26" t="s">
        <v>293</v>
      </c>
      <c r="Z265" s="29" t="s">
        <v>142</v>
      </c>
    </row>
    <row r="266" ht="15.75" customHeight="1">
      <c r="A266" s="9" t="s">
        <v>1179</v>
      </c>
      <c r="B266" s="11" t="s">
        <v>1168</v>
      </c>
      <c r="C266" s="11" t="s">
        <v>822</v>
      </c>
      <c r="D266" s="11" t="s">
        <v>560</v>
      </c>
      <c r="E266" s="11" t="s">
        <v>60</v>
      </c>
      <c r="F266" s="11" t="s">
        <v>61</v>
      </c>
      <c r="G266" s="11" t="s">
        <v>150</v>
      </c>
      <c r="H266" s="14">
        <v>40.0</v>
      </c>
      <c r="I266" s="11" t="s">
        <v>71</v>
      </c>
      <c r="J266" s="11">
        <v>16.0</v>
      </c>
      <c r="K266" s="11" t="s">
        <v>74</v>
      </c>
      <c r="L266" s="15">
        <v>5.5</v>
      </c>
      <c r="M266" s="11" t="s">
        <v>77</v>
      </c>
      <c r="N266" s="11" t="str">
        <f t="shared" si="1"/>
        <v>Easy</v>
      </c>
      <c r="O266" s="19" t="s">
        <v>1169</v>
      </c>
      <c r="P266" s="21">
        <v>4.0</v>
      </c>
      <c r="Q266" s="11">
        <f t="shared" si="2"/>
        <v>1</v>
      </c>
      <c r="R266" s="11">
        <f t="shared" si="3"/>
        <v>5</v>
      </c>
      <c r="S266" s="21">
        <v>5.0</v>
      </c>
      <c r="T266" s="21">
        <v>5.0</v>
      </c>
      <c r="U266" s="21">
        <v>3.0</v>
      </c>
      <c r="V266" s="24">
        <f>ROUND((P266*'Scoring Model'!$C$4+Q266*'Scoring Model'!$C$5+R266*'Scoring Model'!$C$6+S266*'Scoring Model'!$C$7+T266*'Scoring Model'!$C$8+U266*'Scoring Model'!$C$9)/5*100,0)</f>
        <v>79</v>
      </c>
      <c r="W266" s="11" t="str">
        <f t="shared" si="4"/>
        <v>High</v>
      </c>
      <c r="X266" s="11" t="s">
        <v>564</v>
      </c>
      <c r="Y266" s="11" t="s">
        <v>293</v>
      </c>
      <c r="Z266" s="19" t="s">
        <v>142</v>
      </c>
    </row>
    <row r="267" ht="15.75" customHeight="1">
      <c r="A267" s="25" t="s">
        <v>1180</v>
      </c>
      <c r="B267" s="26" t="s">
        <v>1168</v>
      </c>
      <c r="C267" s="26" t="s">
        <v>822</v>
      </c>
      <c r="D267" s="26" t="s">
        <v>560</v>
      </c>
      <c r="E267" s="26" t="s">
        <v>60</v>
      </c>
      <c r="F267" s="26" t="s">
        <v>61</v>
      </c>
      <c r="G267" s="26" t="s">
        <v>150</v>
      </c>
      <c r="H267" s="27">
        <v>50.0</v>
      </c>
      <c r="I267" s="26" t="s">
        <v>71</v>
      </c>
      <c r="J267" s="26">
        <v>18.0</v>
      </c>
      <c r="K267" s="26" t="s">
        <v>74</v>
      </c>
      <c r="L267" s="28">
        <v>8.0</v>
      </c>
      <c r="M267" s="26" t="s">
        <v>77</v>
      </c>
      <c r="N267" s="26" t="str">
        <f t="shared" si="1"/>
        <v>Easy</v>
      </c>
      <c r="O267" s="29" t="s">
        <v>1169</v>
      </c>
      <c r="P267" s="30">
        <v>4.0</v>
      </c>
      <c r="Q267" s="26">
        <f t="shared" si="2"/>
        <v>2</v>
      </c>
      <c r="R267" s="26">
        <f t="shared" si="3"/>
        <v>5</v>
      </c>
      <c r="S267" s="30">
        <v>5.0</v>
      </c>
      <c r="T267" s="30">
        <v>5.0</v>
      </c>
      <c r="U267" s="30">
        <v>3.0</v>
      </c>
      <c r="V267" s="31">
        <f>ROUND((P267*'Scoring Model'!$C$4+Q267*'Scoring Model'!$C$5+R267*'Scoring Model'!$C$6+S267*'Scoring Model'!$C$7+T267*'Scoring Model'!$C$8+U267*'Scoring Model'!$C$9)/5*100,0)</f>
        <v>82</v>
      </c>
      <c r="W267" s="26" t="str">
        <f t="shared" si="4"/>
        <v>High</v>
      </c>
      <c r="X267" s="26" t="s">
        <v>564</v>
      </c>
      <c r="Y267" s="26" t="s">
        <v>293</v>
      </c>
      <c r="Z267" s="29" t="s">
        <v>142</v>
      </c>
    </row>
    <row r="268" ht="15.75" customHeight="1">
      <c r="A268" s="9" t="s">
        <v>568</v>
      </c>
      <c r="B268" s="11" t="s">
        <v>1168</v>
      </c>
      <c r="C268" s="11" t="s">
        <v>822</v>
      </c>
      <c r="D268" s="11" t="s">
        <v>567</v>
      </c>
      <c r="E268" s="11" t="s">
        <v>60</v>
      </c>
      <c r="F268" s="11" t="s">
        <v>61</v>
      </c>
      <c r="G268" s="11" t="s">
        <v>62</v>
      </c>
      <c r="H268" s="14">
        <v>110.0</v>
      </c>
      <c r="I268" s="11" t="s">
        <v>71</v>
      </c>
      <c r="J268" s="11">
        <v>22.0</v>
      </c>
      <c r="K268" s="11" t="s">
        <v>74</v>
      </c>
      <c r="L268" s="15">
        <v>5.4</v>
      </c>
      <c r="M268" s="11" t="s">
        <v>77</v>
      </c>
      <c r="N268" s="11" t="str">
        <f t="shared" si="1"/>
        <v>Moderate</v>
      </c>
      <c r="O268" s="19" t="s">
        <v>1169</v>
      </c>
      <c r="P268" s="21">
        <v>4.0</v>
      </c>
      <c r="Q268" s="11">
        <f t="shared" si="2"/>
        <v>2</v>
      </c>
      <c r="R268" s="11">
        <f t="shared" si="3"/>
        <v>5</v>
      </c>
      <c r="S268" s="21">
        <v>5.0</v>
      </c>
      <c r="T268" s="21">
        <v>5.0</v>
      </c>
      <c r="U268" s="21">
        <v>3.0</v>
      </c>
      <c r="V268" s="24">
        <f>ROUND((P268*'Scoring Model'!$C$4+Q268*'Scoring Model'!$C$5+R268*'Scoring Model'!$C$6+S268*'Scoring Model'!$C$7+T268*'Scoring Model'!$C$8+U268*'Scoring Model'!$C$9)/5*100,0)</f>
        <v>82</v>
      </c>
      <c r="W268" s="11" t="str">
        <f t="shared" si="4"/>
        <v>High</v>
      </c>
      <c r="X268" s="11" t="s">
        <v>571</v>
      </c>
      <c r="Y268" s="11" t="s">
        <v>293</v>
      </c>
      <c r="Z268" s="19" t="s">
        <v>142</v>
      </c>
    </row>
    <row r="269" ht="15.75" customHeight="1">
      <c r="A269" s="25" t="s">
        <v>1181</v>
      </c>
      <c r="B269" s="26" t="s">
        <v>1168</v>
      </c>
      <c r="C269" s="26" t="s">
        <v>822</v>
      </c>
      <c r="D269" s="26" t="s">
        <v>567</v>
      </c>
      <c r="E269" s="26" t="s">
        <v>60</v>
      </c>
      <c r="F269" s="26" t="s">
        <v>61</v>
      </c>
      <c r="G269" s="26" t="s">
        <v>150</v>
      </c>
      <c r="H269" s="27">
        <v>90.0</v>
      </c>
      <c r="I269" s="26" t="s">
        <v>71</v>
      </c>
      <c r="J269" s="26">
        <v>20.0</v>
      </c>
      <c r="K269" s="26" t="s">
        <v>74</v>
      </c>
      <c r="L269" s="28">
        <v>5.2</v>
      </c>
      <c r="M269" s="26" t="s">
        <v>77</v>
      </c>
      <c r="N269" s="26" t="str">
        <f t="shared" si="1"/>
        <v>Easy</v>
      </c>
      <c r="O269" s="29" t="s">
        <v>1169</v>
      </c>
      <c r="P269" s="30">
        <v>4.0</v>
      </c>
      <c r="Q269" s="26">
        <f t="shared" si="2"/>
        <v>2</v>
      </c>
      <c r="R269" s="26">
        <f t="shared" si="3"/>
        <v>5</v>
      </c>
      <c r="S269" s="30">
        <v>5.0</v>
      </c>
      <c r="T269" s="30">
        <v>5.0</v>
      </c>
      <c r="U269" s="30">
        <v>3.0</v>
      </c>
      <c r="V269" s="31">
        <f>ROUND((P269*'Scoring Model'!$C$4+Q269*'Scoring Model'!$C$5+R269*'Scoring Model'!$C$6+S269*'Scoring Model'!$C$7+T269*'Scoring Model'!$C$8+U269*'Scoring Model'!$C$9)/5*100,0)</f>
        <v>82</v>
      </c>
      <c r="W269" s="26" t="str">
        <f t="shared" si="4"/>
        <v>High</v>
      </c>
      <c r="X269" s="26" t="s">
        <v>571</v>
      </c>
      <c r="Y269" s="26" t="s">
        <v>293</v>
      </c>
      <c r="Z269" s="29" t="s">
        <v>142</v>
      </c>
    </row>
    <row r="270" ht="15.75" customHeight="1">
      <c r="A270" s="9" t="s">
        <v>1182</v>
      </c>
      <c r="B270" s="11" t="s">
        <v>1168</v>
      </c>
      <c r="C270" s="11" t="s">
        <v>822</v>
      </c>
      <c r="D270" s="11" t="s">
        <v>567</v>
      </c>
      <c r="E270" s="11" t="s">
        <v>60</v>
      </c>
      <c r="F270" s="11" t="s">
        <v>61</v>
      </c>
      <c r="G270" s="11" t="s">
        <v>150</v>
      </c>
      <c r="H270" s="14">
        <v>40.0</v>
      </c>
      <c r="I270" s="11" t="s">
        <v>71</v>
      </c>
      <c r="J270" s="11">
        <v>16.0</v>
      </c>
      <c r="K270" s="11" t="s">
        <v>74</v>
      </c>
      <c r="L270" s="15">
        <v>5.0</v>
      </c>
      <c r="M270" s="11" t="s">
        <v>77</v>
      </c>
      <c r="N270" s="11" t="str">
        <f t="shared" si="1"/>
        <v>Easy</v>
      </c>
      <c r="O270" s="19" t="s">
        <v>1169</v>
      </c>
      <c r="P270" s="21">
        <v>4.0</v>
      </c>
      <c r="Q270" s="11">
        <f t="shared" si="2"/>
        <v>1</v>
      </c>
      <c r="R270" s="11">
        <f t="shared" si="3"/>
        <v>5</v>
      </c>
      <c r="S270" s="21">
        <v>5.0</v>
      </c>
      <c r="T270" s="21">
        <v>5.0</v>
      </c>
      <c r="U270" s="21">
        <v>3.0</v>
      </c>
      <c r="V270" s="24">
        <f>ROUND((P270*'Scoring Model'!$C$4+Q270*'Scoring Model'!$C$5+R270*'Scoring Model'!$C$6+S270*'Scoring Model'!$C$7+T270*'Scoring Model'!$C$8+U270*'Scoring Model'!$C$9)/5*100,0)</f>
        <v>79</v>
      </c>
      <c r="W270" s="11" t="str">
        <f t="shared" si="4"/>
        <v>High</v>
      </c>
      <c r="X270" s="11" t="s">
        <v>571</v>
      </c>
      <c r="Y270" s="11" t="s">
        <v>293</v>
      </c>
      <c r="Z270" s="19" t="s">
        <v>142</v>
      </c>
    </row>
    <row r="271" ht="15.75" customHeight="1">
      <c r="A271" s="25" t="s">
        <v>576</v>
      </c>
      <c r="B271" s="26" t="s">
        <v>371</v>
      </c>
      <c r="C271" s="26" t="s">
        <v>822</v>
      </c>
      <c r="D271" s="26" t="s">
        <v>575</v>
      </c>
      <c r="E271" s="26" t="s">
        <v>95</v>
      </c>
      <c r="F271" s="26" t="s">
        <v>100</v>
      </c>
      <c r="G271" s="26" t="s">
        <v>62</v>
      </c>
      <c r="H271" s="27">
        <v>2900.0</v>
      </c>
      <c r="I271" s="26" t="s">
        <v>71</v>
      </c>
      <c r="J271" s="26">
        <v>38.0</v>
      </c>
      <c r="K271" s="26" t="s">
        <v>74</v>
      </c>
      <c r="L271" s="28">
        <v>1.2</v>
      </c>
      <c r="M271" s="26" t="s">
        <v>77</v>
      </c>
      <c r="N271" s="26" t="str">
        <f t="shared" si="1"/>
        <v>Moderate</v>
      </c>
      <c r="O271" s="29" t="s">
        <v>282</v>
      </c>
      <c r="P271" s="30">
        <v>1.0</v>
      </c>
      <c r="Q271" s="26">
        <f t="shared" si="2"/>
        <v>5</v>
      </c>
      <c r="R271" s="26">
        <f t="shared" si="3"/>
        <v>4</v>
      </c>
      <c r="S271" s="30">
        <v>2.0</v>
      </c>
      <c r="T271" s="30">
        <v>2.0</v>
      </c>
      <c r="U271" s="30">
        <v>3.0</v>
      </c>
      <c r="V271" s="31">
        <f>ROUND((P271*'Scoring Model'!$C$4+Q271*'Scoring Model'!$C$5+R271*'Scoring Model'!$C$6+S271*'Scoring Model'!$C$7+T271*'Scoring Model'!$C$8+U271*'Scoring Model'!$C$9)/5*100,0)</f>
        <v>54</v>
      </c>
      <c r="W271" s="26" t="str">
        <f t="shared" si="4"/>
        <v>Low</v>
      </c>
      <c r="X271" s="26" t="s">
        <v>580</v>
      </c>
      <c r="Y271" s="26" t="s">
        <v>293</v>
      </c>
      <c r="Z271" s="29" t="s">
        <v>294</v>
      </c>
    </row>
    <row r="272" ht="15.75" customHeight="1">
      <c r="A272" s="9" t="s">
        <v>577</v>
      </c>
      <c r="B272" s="11" t="s">
        <v>371</v>
      </c>
      <c r="C272" s="11" t="s">
        <v>822</v>
      </c>
      <c r="D272" s="11" t="s">
        <v>575</v>
      </c>
      <c r="E272" s="11" t="s">
        <v>95</v>
      </c>
      <c r="F272" s="11" t="s">
        <v>100</v>
      </c>
      <c r="G272" s="11" t="s">
        <v>150</v>
      </c>
      <c r="H272" s="14">
        <v>1600.0</v>
      </c>
      <c r="I272" s="11" t="s">
        <v>71</v>
      </c>
      <c r="J272" s="11">
        <v>32.0</v>
      </c>
      <c r="K272" s="11" t="s">
        <v>74</v>
      </c>
      <c r="L272" s="15">
        <v>1.0</v>
      </c>
      <c r="M272" s="11" t="s">
        <v>77</v>
      </c>
      <c r="N272" s="11" t="str">
        <f t="shared" si="1"/>
        <v>Moderate</v>
      </c>
      <c r="O272" s="19" t="s">
        <v>282</v>
      </c>
      <c r="P272" s="21">
        <v>1.0</v>
      </c>
      <c r="Q272" s="11">
        <f t="shared" si="2"/>
        <v>5</v>
      </c>
      <c r="R272" s="11">
        <f t="shared" si="3"/>
        <v>4</v>
      </c>
      <c r="S272" s="21">
        <v>2.0</v>
      </c>
      <c r="T272" s="21">
        <v>2.0</v>
      </c>
      <c r="U272" s="21">
        <v>3.0</v>
      </c>
      <c r="V272" s="24">
        <f>ROUND((P272*'Scoring Model'!$C$4+Q272*'Scoring Model'!$C$5+R272*'Scoring Model'!$C$6+S272*'Scoring Model'!$C$7+T272*'Scoring Model'!$C$8+U272*'Scoring Model'!$C$9)/5*100,0)</f>
        <v>54</v>
      </c>
      <c r="W272" s="11" t="str">
        <f t="shared" si="4"/>
        <v>Low</v>
      </c>
      <c r="X272" s="11" t="s">
        <v>707</v>
      </c>
      <c r="Y272" s="11" t="s">
        <v>293</v>
      </c>
      <c r="Z272" s="19" t="s">
        <v>294</v>
      </c>
    </row>
    <row r="273" ht="15.75" customHeight="1">
      <c r="A273" s="25" t="s">
        <v>582</v>
      </c>
      <c r="B273" s="26" t="s">
        <v>1183</v>
      </c>
      <c r="C273" s="26" t="s">
        <v>31</v>
      </c>
      <c r="D273" s="26" t="s">
        <v>581</v>
      </c>
      <c r="E273" s="26" t="s">
        <v>120</v>
      </c>
      <c r="F273" s="26" t="s">
        <v>191</v>
      </c>
      <c r="G273" s="26" t="s">
        <v>62</v>
      </c>
      <c r="H273" s="27">
        <v>1900.0</v>
      </c>
      <c r="I273" s="26" t="s">
        <v>71</v>
      </c>
      <c r="J273" s="26">
        <v>38.0</v>
      </c>
      <c r="K273" s="26" t="s">
        <v>74</v>
      </c>
      <c r="L273" s="28">
        <v>2.9</v>
      </c>
      <c r="M273" s="26" t="s">
        <v>77</v>
      </c>
      <c r="N273" s="26" t="str">
        <f t="shared" si="1"/>
        <v>Moderate</v>
      </c>
      <c r="O273" s="29" t="s">
        <v>1184</v>
      </c>
      <c r="P273" s="30">
        <v>2.0</v>
      </c>
      <c r="Q273" s="26">
        <f t="shared" si="2"/>
        <v>5</v>
      </c>
      <c r="R273" s="26">
        <f t="shared" si="3"/>
        <v>4</v>
      </c>
      <c r="S273" s="30">
        <v>3.0</v>
      </c>
      <c r="T273" s="30">
        <v>3.0</v>
      </c>
      <c r="U273" s="30">
        <v>4.0</v>
      </c>
      <c r="V273" s="31">
        <f>ROUND((P273*'Scoring Model'!$C$4+Q273*'Scoring Model'!$C$5+R273*'Scoring Model'!$C$6+S273*'Scoring Model'!$C$7+T273*'Scoring Model'!$C$8+U273*'Scoring Model'!$C$9)/5*100,0)</f>
        <v>67</v>
      </c>
      <c r="W273" s="26" t="str">
        <f t="shared" si="4"/>
        <v>Medium</v>
      </c>
      <c r="X273" s="26" t="s">
        <v>586</v>
      </c>
      <c r="Y273" s="26" t="s">
        <v>293</v>
      </c>
      <c r="Z273" s="29" t="s">
        <v>249</v>
      </c>
    </row>
    <row r="274" ht="15.75" customHeight="1">
      <c r="A274" s="9" t="s">
        <v>1185</v>
      </c>
      <c r="B274" s="11" t="s">
        <v>1183</v>
      </c>
      <c r="C274" s="11" t="s">
        <v>31</v>
      </c>
      <c r="D274" s="11" t="s">
        <v>581</v>
      </c>
      <c r="E274" s="11" t="s">
        <v>120</v>
      </c>
      <c r="F274" s="11" t="s">
        <v>191</v>
      </c>
      <c r="G274" s="11" t="s">
        <v>150</v>
      </c>
      <c r="H274" s="14">
        <v>1600.0</v>
      </c>
      <c r="I274" s="11" t="s">
        <v>71</v>
      </c>
      <c r="J274" s="11">
        <v>36.0</v>
      </c>
      <c r="K274" s="11" t="s">
        <v>74</v>
      </c>
      <c r="L274" s="15">
        <v>2.7</v>
      </c>
      <c r="M274" s="11" t="s">
        <v>77</v>
      </c>
      <c r="N274" s="11" t="str">
        <f t="shared" si="1"/>
        <v>Moderate</v>
      </c>
      <c r="O274" s="19" t="s">
        <v>1184</v>
      </c>
      <c r="P274" s="21">
        <v>2.0</v>
      </c>
      <c r="Q274" s="11">
        <f t="shared" si="2"/>
        <v>5</v>
      </c>
      <c r="R274" s="11">
        <f t="shared" si="3"/>
        <v>4</v>
      </c>
      <c r="S274" s="21">
        <v>3.0</v>
      </c>
      <c r="T274" s="21">
        <v>3.0</v>
      </c>
      <c r="U274" s="21">
        <v>4.0</v>
      </c>
      <c r="V274" s="24">
        <f>ROUND((P274*'Scoring Model'!$C$4+Q274*'Scoring Model'!$C$5+R274*'Scoring Model'!$C$6+S274*'Scoring Model'!$C$7+T274*'Scoring Model'!$C$8+U274*'Scoring Model'!$C$9)/5*100,0)</f>
        <v>67</v>
      </c>
      <c r="W274" s="11" t="str">
        <f t="shared" si="4"/>
        <v>Medium</v>
      </c>
      <c r="X274" s="11" t="s">
        <v>586</v>
      </c>
      <c r="Y274" s="11" t="s">
        <v>293</v>
      </c>
      <c r="Z274" s="19" t="s">
        <v>249</v>
      </c>
    </row>
    <row r="275" ht="15.75" customHeight="1">
      <c r="A275" s="25" t="s">
        <v>1186</v>
      </c>
      <c r="B275" s="26" t="s">
        <v>1183</v>
      </c>
      <c r="C275" s="26" t="s">
        <v>31</v>
      </c>
      <c r="D275" s="26" t="s">
        <v>581</v>
      </c>
      <c r="E275" s="26" t="s">
        <v>120</v>
      </c>
      <c r="F275" s="26" t="s">
        <v>191</v>
      </c>
      <c r="G275" s="26" t="s">
        <v>150</v>
      </c>
      <c r="H275" s="27">
        <v>210.0</v>
      </c>
      <c r="I275" s="26" t="s">
        <v>71</v>
      </c>
      <c r="J275" s="26">
        <v>22.0</v>
      </c>
      <c r="K275" s="26" t="s">
        <v>74</v>
      </c>
      <c r="L275" s="28">
        <v>2.1</v>
      </c>
      <c r="M275" s="26" t="s">
        <v>77</v>
      </c>
      <c r="N275" s="26" t="str">
        <f t="shared" si="1"/>
        <v>Moderate</v>
      </c>
      <c r="O275" s="29" t="s">
        <v>1184</v>
      </c>
      <c r="P275" s="30">
        <v>2.0</v>
      </c>
      <c r="Q275" s="26">
        <f t="shared" si="2"/>
        <v>3</v>
      </c>
      <c r="R275" s="26">
        <f t="shared" si="3"/>
        <v>5</v>
      </c>
      <c r="S275" s="30">
        <v>3.0</v>
      </c>
      <c r="T275" s="30">
        <v>3.0</v>
      </c>
      <c r="U275" s="30">
        <v>4.0</v>
      </c>
      <c r="V275" s="31">
        <f>ROUND((P275*'Scoring Model'!$C$4+Q275*'Scoring Model'!$C$5+R275*'Scoring Model'!$C$6+S275*'Scoring Model'!$C$7+T275*'Scoring Model'!$C$8+U275*'Scoring Model'!$C$9)/5*100,0)</f>
        <v>65</v>
      </c>
      <c r="W275" s="26" t="str">
        <f t="shared" si="4"/>
        <v>Medium</v>
      </c>
      <c r="X275" s="26" t="s">
        <v>586</v>
      </c>
      <c r="Y275" s="26" t="s">
        <v>293</v>
      </c>
      <c r="Z275" s="29" t="s">
        <v>249</v>
      </c>
    </row>
    <row r="276" ht="15.75" customHeight="1">
      <c r="A276" s="9" t="s">
        <v>588</v>
      </c>
      <c r="B276" s="11" t="s">
        <v>1183</v>
      </c>
      <c r="C276" s="11" t="s">
        <v>114</v>
      </c>
      <c r="D276" s="11" t="s">
        <v>587</v>
      </c>
      <c r="E276" s="11" t="s">
        <v>120</v>
      </c>
      <c r="F276" s="11" t="s">
        <v>191</v>
      </c>
      <c r="G276" s="11" t="s">
        <v>62</v>
      </c>
      <c r="H276" s="14">
        <v>1300.0</v>
      </c>
      <c r="I276" s="11" t="s">
        <v>71</v>
      </c>
      <c r="J276" s="11">
        <v>32.0</v>
      </c>
      <c r="K276" s="11" t="s">
        <v>74</v>
      </c>
      <c r="L276" s="15">
        <v>2.4</v>
      </c>
      <c r="M276" s="11" t="s">
        <v>77</v>
      </c>
      <c r="N276" s="11" t="str">
        <f t="shared" si="1"/>
        <v>Moderate</v>
      </c>
      <c r="O276" s="19" t="s">
        <v>1184</v>
      </c>
      <c r="P276" s="21">
        <v>2.0</v>
      </c>
      <c r="Q276" s="11">
        <f t="shared" si="2"/>
        <v>5</v>
      </c>
      <c r="R276" s="11">
        <f t="shared" si="3"/>
        <v>4</v>
      </c>
      <c r="S276" s="21">
        <v>3.0</v>
      </c>
      <c r="T276" s="21">
        <v>3.0</v>
      </c>
      <c r="U276" s="21">
        <v>4.0</v>
      </c>
      <c r="V276" s="24">
        <f>ROUND((P276*'Scoring Model'!$C$4+Q276*'Scoring Model'!$C$5+R276*'Scoring Model'!$C$6+S276*'Scoring Model'!$C$7+T276*'Scoring Model'!$C$8+U276*'Scoring Model'!$C$9)/5*100,0)</f>
        <v>67</v>
      </c>
      <c r="W276" s="11" t="str">
        <f t="shared" si="4"/>
        <v>Medium</v>
      </c>
      <c r="X276" s="11" t="s">
        <v>591</v>
      </c>
      <c r="Y276" s="11" t="s">
        <v>293</v>
      </c>
      <c r="Z276" s="19" t="s">
        <v>249</v>
      </c>
    </row>
    <row r="277" ht="15.75" customHeight="1">
      <c r="A277" s="25" t="s">
        <v>1187</v>
      </c>
      <c r="B277" s="26" t="s">
        <v>1183</v>
      </c>
      <c r="C277" s="26" t="s">
        <v>114</v>
      </c>
      <c r="D277" s="26" t="s">
        <v>587</v>
      </c>
      <c r="E277" s="26" t="s">
        <v>120</v>
      </c>
      <c r="F277" s="26" t="s">
        <v>191</v>
      </c>
      <c r="G277" s="26" t="s">
        <v>150</v>
      </c>
      <c r="H277" s="27">
        <v>480.0</v>
      </c>
      <c r="I277" s="26" t="s">
        <v>71</v>
      </c>
      <c r="J277" s="26">
        <v>26.0</v>
      </c>
      <c r="K277" s="26" t="s">
        <v>74</v>
      </c>
      <c r="L277" s="28">
        <v>2.2</v>
      </c>
      <c r="M277" s="26" t="s">
        <v>77</v>
      </c>
      <c r="N277" s="26" t="str">
        <f t="shared" si="1"/>
        <v>Moderate</v>
      </c>
      <c r="O277" s="29" t="s">
        <v>1184</v>
      </c>
      <c r="P277" s="30">
        <v>2.0</v>
      </c>
      <c r="Q277" s="26">
        <f t="shared" si="2"/>
        <v>4</v>
      </c>
      <c r="R277" s="26">
        <f t="shared" si="3"/>
        <v>4</v>
      </c>
      <c r="S277" s="30">
        <v>3.0</v>
      </c>
      <c r="T277" s="30">
        <v>3.0</v>
      </c>
      <c r="U277" s="30">
        <v>4.0</v>
      </c>
      <c r="V277" s="31">
        <f>ROUND((P277*'Scoring Model'!$C$4+Q277*'Scoring Model'!$C$5+R277*'Scoring Model'!$C$6+S277*'Scoring Model'!$C$7+T277*'Scoring Model'!$C$8+U277*'Scoring Model'!$C$9)/5*100,0)</f>
        <v>64</v>
      </c>
      <c r="W277" s="26" t="str">
        <f t="shared" si="4"/>
        <v>Medium</v>
      </c>
      <c r="X277" s="26" t="s">
        <v>591</v>
      </c>
      <c r="Y277" s="26" t="s">
        <v>293</v>
      </c>
      <c r="Z277" s="29" t="s">
        <v>249</v>
      </c>
    </row>
    <row r="278" ht="15.75" customHeight="1">
      <c r="A278" s="9" t="s">
        <v>1188</v>
      </c>
      <c r="B278" s="11" t="s">
        <v>1183</v>
      </c>
      <c r="C278" s="11" t="s">
        <v>114</v>
      </c>
      <c r="D278" s="11" t="s">
        <v>587</v>
      </c>
      <c r="E278" s="11" t="s">
        <v>120</v>
      </c>
      <c r="F278" s="11" t="s">
        <v>191</v>
      </c>
      <c r="G278" s="11" t="s">
        <v>150</v>
      </c>
      <c r="H278" s="14">
        <v>320.0</v>
      </c>
      <c r="I278" s="11" t="s">
        <v>71</v>
      </c>
      <c r="J278" s="11">
        <v>22.0</v>
      </c>
      <c r="K278" s="11" t="s">
        <v>74</v>
      </c>
      <c r="L278" s="15">
        <v>2.4</v>
      </c>
      <c r="M278" s="11" t="s">
        <v>77</v>
      </c>
      <c r="N278" s="11" t="str">
        <f t="shared" si="1"/>
        <v>Moderate</v>
      </c>
      <c r="O278" s="19" t="s">
        <v>1184</v>
      </c>
      <c r="P278" s="21">
        <v>2.0</v>
      </c>
      <c r="Q278" s="11">
        <f t="shared" si="2"/>
        <v>3</v>
      </c>
      <c r="R278" s="11">
        <f t="shared" si="3"/>
        <v>5</v>
      </c>
      <c r="S278" s="21">
        <v>3.0</v>
      </c>
      <c r="T278" s="21">
        <v>3.0</v>
      </c>
      <c r="U278" s="21">
        <v>4.0</v>
      </c>
      <c r="V278" s="24">
        <f>ROUND((P278*'Scoring Model'!$C$4+Q278*'Scoring Model'!$C$5+R278*'Scoring Model'!$C$6+S278*'Scoring Model'!$C$7+T278*'Scoring Model'!$C$8+U278*'Scoring Model'!$C$9)/5*100,0)</f>
        <v>65</v>
      </c>
      <c r="W278" s="11" t="str">
        <f t="shared" si="4"/>
        <v>Medium</v>
      </c>
      <c r="X278" s="11" t="s">
        <v>591</v>
      </c>
      <c r="Y278" s="11" t="s">
        <v>293</v>
      </c>
      <c r="Z278" s="19" t="s">
        <v>249</v>
      </c>
    </row>
    <row r="279" ht="15.75" customHeight="1">
      <c r="A279" s="25" t="s">
        <v>596</v>
      </c>
      <c r="B279" s="26" t="s">
        <v>1183</v>
      </c>
      <c r="C279" s="26" t="s">
        <v>183</v>
      </c>
      <c r="D279" s="26" t="s">
        <v>595</v>
      </c>
      <c r="E279" s="26" t="s">
        <v>120</v>
      </c>
      <c r="F279" s="26" t="s">
        <v>191</v>
      </c>
      <c r="G279" s="26" t="s">
        <v>62</v>
      </c>
      <c r="H279" s="27">
        <v>880.0</v>
      </c>
      <c r="I279" s="26" t="s">
        <v>71</v>
      </c>
      <c r="J279" s="26">
        <v>30.0</v>
      </c>
      <c r="K279" s="26" t="s">
        <v>74</v>
      </c>
      <c r="L279" s="28">
        <v>2.6</v>
      </c>
      <c r="M279" s="26" t="s">
        <v>77</v>
      </c>
      <c r="N279" s="26" t="str">
        <f t="shared" si="1"/>
        <v>Moderate</v>
      </c>
      <c r="O279" s="29" t="s">
        <v>1184</v>
      </c>
      <c r="P279" s="30">
        <v>2.0</v>
      </c>
      <c r="Q279" s="26">
        <f t="shared" si="2"/>
        <v>4</v>
      </c>
      <c r="R279" s="26">
        <f t="shared" si="3"/>
        <v>4</v>
      </c>
      <c r="S279" s="30">
        <v>3.0</v>
      </c>
      <c r="T279" s="30">
        <v>3.0</v>
      </c>
      <c r="U279" s="30">
        <v>4.0</v>
      </c>
      <c r="V279" s="31">
        <f>ROUND((P279*'Scoring Model'!$C$4+Q279*'Scoring Model'!$C$5+R279*'Scoring Model'!$C$6+S279*'Scoring Model'!$C$7+T279*'Scoring Model'!$C$8+U279*'Scoring Model'!$C$9)/5*100,0)</f>
        <v>64</v>
      </c>
      <c r="W279" s="26" t="str">
        <f t="shared" si="4"/>
        <v>Medium</v>
      </c>
      <c r="X279" s="26" t="s">
        <v>599</v>
      </c>
      <c r="Y279" s="26" t="s">
        <v>293</v>
      </c>
      <c r="Z279" s="29" t="s">
        <v>249</v>
      </c>
    </row>
    <row r="280" ht="15.75" customHeight="1">
      <c r="A280" s="9" t="s">
        <v>597</v>
      </c>
      <c r="B280" s="11" t="s">
        <v>1183</v>
      </c>
      <c r="C280" s="11" t="s">
        <v>183</v>
      </c>
      <c r="D280" s="11" t="s">
        <v>595</v>
      </c>
      <c r="E280" s="11" t="s">
        <v>120</v>
      </c>
      <c r="F280" s="11" t="s">
        <v>191</v>
      </c>
      <c r="G280" s="11" t="s">
        <v>150</v>
      </c>
      <c r="H280" s="14">
        <v>590.0</v>
      </c>
      <c r="I280" s="11" t="s">
        <v>71</v>
      </c>
      <c r="J280" s="11">
        <v>25.0</v>
      </c>
      <c r="K280" s="11" t="s">
        <v>74</v>
      </c>
      <c r="L280" s="15">
        <v>1.9</v>
      </c>
      <c r="M280" s="11" t="s">
        <v>77</v>
      </c>
      <c r="N280" s="11" t="str">
        <f t="shared" si="1"/>
        <v>Moderate</v>
      </c>
      <c r="O280" s="19" t="s">
        <v>1184</v>
      </c>
      <c r="P280" s="21">
        <v>2.0</v>
      </c>
      <c r="Q280" s="11">
        <f t="shared" si="2"/>
        <v>4</v>
      </c>
      <c r="R280" s="11">
        <f t="shared" si="3"/>
        <v>5</v>
      </c>
      <c r="S280" s="21">
        <v>3.0</v>
      </c>
      <c r="T280" s="21">
        <v>3.0</v>
      </c>
      <c r="U280" s="21">
        <v>4.0</v>
      </c>
      <c r="V280" s="24">
        <f>ROUND((P280*'Scoring Model'!$C$4+Q280*'Scoring Model'!$C$5+R280*'Scoring Model'!$C$6+S280*'Scoring Model'!$C$7+T280*'Scoring Model'!$C$8+U280*'Scoring Model'!$C$9)/5*100,0)</f>
        <v>68</v>
      </c>
      <c r="W280" s="11" t="str">
        <f t="shared" si="4"/>
        <v>Medium</v>
      </c>
      <c r="X280" s="11" t="s">
        <v>599</v>
      </c>
      <c r="Y280" s="11" t="s">
        <v>293</v>
      </c>
      <c r="Z280" s="19" t="s">
        <v>249</v>
      </c>
    </row>
    <row r="281" ht="15.75" customHeight="1">
      <c r="A281" s="25" t="s">
        <v>601</v>
      </c>
      <c r="B281" s="26" t="s">
        <v>1183</v>
      </c>
      <c r="C281" s="26" t="s">
        <v>144</v>
      </c>
      <c r="D281" s="26" t="s">
        <v>600</v>
      </c>
      <c r="E281" s="26" t="s">
        <v>120</v>
      </c>
      <c r="F281" s="26" t="s">
        <v>191</v>
      </c>
      <c r="G281" s="26" t="s">
        <v>62</v>
      </c>
      <c r="H281" s="27">
        <v>4400.0</v>
      </c>
      <c r="I281" s="26" t="s">
        <v>71</v>
      </c>
      <c r="J281" s="26">
        <v>52.0</v>
      </c>
      <c r="K281" s="26" t="s">
        <v>74</v>
      </c>
      <c r="L281" s="28">
        <v>3.4</v>
      </c>
      <c r="M281" s="26" t="s">
        <v>77</v>
      </c>
      <c r="N281" s="26" t="str">
        <f t="shared" si="1"/>
        <v>Competitive</v>
      </c>
      <c r="O281" s="29" t="s">
        <v>1184</v>
      </c>
      <c r="P281" s="30">
        <v>2.0</v>
      </c>
      <c r="Q281" s="26">
        <f t="shared" si="2"/>
        <v>5</v>
      </c>
      <c r="R281" s="26">
        <f t="shared" si="3"/>
        <v>3</v>
      </c>
      <c r="S281" s="30">
        <v>3.0</v>
      </c>
      <c r="T281" s="30">
        <v>3.0</v>
      </c>
      <c r="U281" s="30">
        <v>3.0</v>
      </c>
      <c r="V281" s="31">
        <f>ROUND((P281*'Scoring Model'!$C$4+Q281*'Scoring Model'!$C$5+R281*'Scoring Model'!$C$6+S281*'Scoring Model'!$C$7+T281*'Scoring Model'!$C$8+U281*'Scoring Model'!$C$9)/5*100,0)</f>
        <v>61</v>
      </c>
      <c r="W281" s="26" t="str">
        <f t="shared" si="4"/>
        <v>Medium</v>
      </c>
      <c r="X281" s="26" t="s">
        <v>604</v>
      </c>
      <c r="Y281" s="26" t="s">
        <v>293</v>
      </c>
      <c r="Z281" s="29" t="s">
        <v>249</v>
      </c>
    </row>
    <row r="282" ht="15.75" customHeight="1">
      <c r="A282" s="9" t="s">
        <v>602</v>
      </c>
      <c r="B282" s="11" t="s">
        <v>1183</v>
      </c>
      <c r="C282" s="11" t="s">
        <v>144</v>
      </c>
      <c r="D282" s="11" t="s">
        <v>600</v>
      </c>
      <c r="E282" s="11" t="s">
        <v>120</v>
      </c>
      <c r="F282" s="11" t="s">
        <v>191</v>
      </c>
      <c r="G282" s="11" t="s">
        <v>150</v>
      </c>
      <c r="H282" s="14">
        <v>390.0</v>
      </c>
      <c r="I282" s="11" t="s">
        <v>71</v>
      </c>
      <c r="J282" s="11">
        <v>34.0</v>
      </c>
      <c r="K282" s="11" t="s">
        <v>74</v>
      </c>
      <c r="L282" s="15">
        <v>3.0</v>
      </c>
      <c r="M282" s="11" t="s">
        <v>77</v>
      </c>
      <c r="N282" s="11" t="str">
        <f t="shared" si="1"/>
        <v>Moderate</v>
      </c>
      <c r="O282" s="19" t="s">
        <v>1184</v>
      </c>
      <c r="P282" s="21">
        <v>2.0</v>
      </c>
      <c r="Q282" s="11">
        <f t="shared" si="2"/>
        <v>3</v>
      </c>
      <c r="R282" s="11">
        <f t="shared" si="3"/>
        <v>4</v>
      </c>
      <c r="S282" s="21">
        <v>3.0</v>
      </c>
      <c r="T282" s="21">
        <v>3.0</v>
      </c>
      <c r="U282" s="21">
        <v>3.0</v>
      </c>
      <c r="V282" s="24">
        <f>ROUND((P282*'Scoring Model'!$C$4+Q282*'Scoring Model'!$C$5+R282*'Scoring Model'!$C$6+S282*'Scoring Model'!$C$7+T282*'Scoring Model'!$C$8+U282*'Scoring Model'!$C$9)/5*100,0)</f>
        <v>59</v>
      </c>
      <c r="W282" s="11" t="str">
        <f t="shared" si="4"/>
        <v>Low</v>
      </c>
      <c r="X282" s="11" t="s">
        <v>604</v>
      </c>
      <c r="Y282" s="11" t="s">
        <v>293</v>
      </c>
      <c r="Z282" s="19" t="s">
        <v>249</v>
      </c>
    </row>
    <row r="283" ht="15.75" customHeight="1">
      <c r="A283" s="25" t="s">
        <v>610</v>
      </c>
      <c r="B283" s="26" t="s">
        <v>1183</v>
      </c>
      <c r="C283" s="26" t="s">
        <v>196</v>
      </c>
      <c r="D283" s="26" t="s">
        <v>609</v>
      </c>
      <c r="E283" s="26" t="s">
        <v>120</v>
      </c>
      <c r="F283" s="26" t="s">
        <v>191</v>
      </c>
      <c r="G283" s="26" t="s">
        <v>62</v>
      </c>
      <c r="H283" s="27">
        <v>480.0</v>
      </c>
      <c r="I283" s="26" t="s">
        <v>71</v>
      </c>
      <c r="J283" s="26">
        <v>24.0</v>
      </c>
      <c r="K283" s="26" t="s">
        <v>74</v>
      </c>
      <c r="L283" s="28">
        <v>1.5</v>
      </c>
      <c r="M283" s="26" t="s">
        <v>77</v>
      </c>
      <c r="N283" s="26" t="str">
        <f t="shared" si="1"/>
        <v>Moderate</v>
      </c>
      <c r="O283" s="29" t="s">
        <v>1184</v>
      </c>
      <c r="P283" s="30">
        <v>2.0</v>
      </c>
      <c r="Q283" s="26">
        <f t="shared" si="2"/>
        <v>4</v>
      </c>
      <c r="R283" s="26">
        <f t="shared" si="3"/>
        <v>5</v>
      </c>
      <c r="S283" s="30">
        <v>3.0</v>
      </c>
      <c r="T283" s="30">
        <v>3.0</v>
      </c>
      <c r="U283" s="30">
        <v>3.0</v>
      </c>
      <c r="V283" s="31">
        <f>ROUND((P283*'Scoring Model'!$C$4+Q283*'Scoring Model'!$C$5+R283*'Scoring Model'!$C$6+S283*'Scoring Model'!$C$7+T283*'Scoring Model'!$C$8+U283*'Scoring Model'!$C$9)/5*100,0)</f>
        <v>66</v>
      </c>
      <c r="W283" s="26" t="str">
        <f t="shared" si="4"/>
        <v>Medium</v>
      </c>
      <c r="X283" s="26" t="s">
        <v>613</v>
      </c>
      <c r="Y283" s="26" t="s">
        <v>293</v>
      </c>
      <c r="Z283" s="29" t="s">
        <v>249</v>
      </c>
    </row>
    <row r="284" ht="15.75" customHeight="1">
      <c r="A284" s="9" t="s">
        <v>619</v>
      </c>
      <c r="B284" s="11" t="s">
        <v>1183</v>
      </c>
      <c r="C284" s="11" t="s">
        <v>131</v>
      </c>
      <c r="D284" s="11" t="s">
        <v>617</v>
      </c>
      <c r="E284" s="11" t="s">
        <v>120</v>
      </c>
      <c r="F284" s="11" t="s">
        <v>191</v>
      </c>
      <c r="G284" s="11" t="s">
        <v>62</v>
      </c>
      <c r="H284" s="14">
        <v>210.0</v>
      </c>
      <c r="I284" s="11" t="s">
        <v>71</v>
      </c>
      <c r="J284" s="11">
        <v>21.0</v>
      </c>
      <c r="K284" s="11" t="s">
        <v>74</v>
      </c>
      <c r="L284" s="15">
        <v>1.8</v>
      </c>
      <c r="M284" s="11" t="s">
        <v>77</v>
      </c>
      <c r="N284" s="11" t="str">
        <f t="shared" si="1"/>
        <v>Moderate</v>
      </c>
      <c r="O284" s="19" t="s">
        <v>1184</v>
      </c>
      <c r="P284" s="21">
        <v>2.0</v>
      </c>
      <c r="Q284" s="11">
        <f t="shared" si="2"/>
        <v>3</v>
      </c>
      <c r="R284" s="11">
        <f t="shared" si="3"/>
        <v>5</v>
      </c>
      <c r="S284" s="21">
        <v>3.0</v>
      </c>
      <c r="T284" s="21">
        <v>3.0</v>
      </c>
      <c r="U284" s="21">
        <v>3.0</v>
      </c>
      <c r="V284" s="24">
        <f>ROUND((P284*'Scoring Model'!$C$4+Q284*'Scoring Model'!$C$5+R284*'Scoring Model'!$C$6+S284*'Scoring Model'!$C$7+T284*'Scoring Model'!$C$8+U284*'Scoring Model'!$C$9)/5*100,0)</f>
        <v>63</v>
      </c>
      <c r="W284" s="11" t="str">
        <f t="shared" si="4"/>
        <v>Medium</v>
      </c>
      <c r="X284" s="11" t="s">
        <v>622</v>
      </c>
      <c r="Y284" s="11" t="s">
        <v>293</v>
      </c>
      <c r="Z284" s="19" t="s">
        <v>249</v>
      </c>
    </row>
    <row r="285" ht="15.75" customHeight="1">
      <c r="A285" s="25" t="s">
        <v>624</v>
      </c>
      <c r="B285" s="26" t="s">
        <v>1183</v>
      </c>
      <c r="C285" s="26" t="s">
        <v>274</v>
      </c>
      <c r="D285" s="26" t="s">
        <v>623</v>
      </c>
      <c r="E285" s="26" t="s">
        <v>120</v>
      </c>
      <c r="F285" s="26" t="s">
        <v>191</v>
      </c>
      <c r="G285" s="26" t="s">
        <v>62</v>
      </c>
      <c r="H285" s="27">
        <v>480.0</v>
      </c>
      <c r="I285" s="26" t="s">
        <v>71</v>
      </c>
      <c r="J285" s="26">
        <v>25.0</v>
      </c>
      <c r="K285" s="26" t="s">
        <v>74</v>
      </c>
      <c r="L285" s="28">
        <v>1.6</v>
      </c>
      <c r="M285" s="26" t="s">
        <v>77</v>
      </c>
      <c r="N285" s="26" t="str">
        <f t="shared" si="1"/>
        <v>Moderate</v>
      </c>
      <c r="O285" s="29" t="s">
        <v>1184</v>
      </c>
      <c r="P285" s="30">
        <v>2.0</v>
      </c>
      <c r="Q285" s="26">
        <f t="shared" si="2"/>
        <v>4</v>
      </c>
      <c r="R285" s="26">
        <f t="shared" si="3"/>
        <v>5</v>
      </c>
      <c r="S285" s="30">
        <v>3.0</v>
      </c>
      <c r="T285" s="30">
        <v>3.0</v>
      </c>
      <c r="U285" s="30">
        <v>3.0</v>
      </c>
      <c r="V285" s="31">
        <f>ROUND((P285*'Scoring Model'!$C$4+Q285*'Scoring Model'!$C$5+R285*'Scoring Model'!$C$6+S285*'Scoring Model'!$C$7+T285*'Scoring Model'!$C$8+U285*'Scoring Model'!$C$9)/5*100,0)</f>
        <v>66</v>
      </c>
      <c r="W285" s="26" t="str">
        <f t="shared" si="4"/>
        <v>Medium</v>
      </c>
      <c r="X285" s="26" t="s">
        <v>626</v>
      </c>
      <c r="Y285" s="26" t="s">
        <v>293</v>
      </c>
      <c r="Z285" s="29" t="s">
        <v>249</v>
      </c>
    </row>
    <row r="286" ht="15.75" customHeight="1">
      <c r="A286" s="9" t="s">
        <v>629</v>
      </c>
      <c r="B286" s="11" t="s">
        <v>371</v>
      </c>
      <c r="C286" s="11" t="s">
        <v>827</v>
      </c>
      <c r="D286" s="11" t="s">
        <v>628</v>
      </c>
      <c r="E286" s="11" t="s">
        <v>95</v>
      </c>
      <c r="F286" s="11" t="s">
        <v>100</v>
      </c>
      <c r="G286" s="11" t="s">
        <v>62</v>
      </c>
      <c r="H286" s="14">
        <v>2900.0</v>
      </c>
      <c r="I286" s="11" t="s">
        <v>71</v>
      </c>
      <c r="J286" s="11">
        <v>40.0</v>
      </c>
      <c r="K286" s="11" t="s">
        <v>74</v>
      </c>
      <c r="L286" s="15">
        <v>1.4</v>
      </c>
      <c r="M286" s="11" t="s">
        <v>77</v>
      </c>
      <c r="N286" s="11" t="str">
        <f t="shared" si="1"/>
        <v>Moderate</v>
      </c>
      <c r="O286" s="19" t="s">
        <v>282</v>
      </c>
      <c r="P286" s="21">
        <v>1.0</v>
      </c>
      <c r="Q286" s="11">
        <f t="shared" si="2"/>
        <v>5</v>
      </c>
      <c r="R286" s="11">
        <f t="shared" si="3"/>
        <v>4</v>
      </c>
      <c r="S286" s="21">
        <v>2.0</v>
      </c>
      <c r="T286" s="21">
        <v>2.0</v>
      </c>
      <c r="U286" s="21">
        <v>3.0</v>
      </c>
      <c r="V286" s="24">
        <f>ROUND((P286*'Scoring Model'!$C$4+Q286*'Scoring Model'!$C$5+R286*'Scoring Model'!$C$6+S286*'Scoring Model'!$C$7+T286*'Scoring Model'!$C$8+U286*'Scoring Model'!$C$9)/5*100,0)</f>
        <v>54</v>
      </c>
      <c r="W286" s="11" t="str">
        <f t="shared" si="4"/>
        <v>Low</v>
      </c>
      <c r="X286" s="11" t="s">
        <v>634</v>
      </c>
      <c r="Y286" s="11" t="s">
        <v>293</v>
      </c>
      <c r="Z286" s="19" t="s">
        <v>294</v>
      </c>
    </row>
    <row r="287" ht="15.75" customHeight="1">
      <c r="A287" s="25" t="s">
        <v>630</v>
      </c>
      <c r="B287" s="26" t="s">
        <v>371</v>
      </c>
      <c r="C287" s="26" t="s">
        <v>827</v>
      </c>
      <c r="D287" s="26" t="s">
        <v>628</v>
      </c>
      <c r="E287" s="26" t="s">
        <v>95</v>
      </c>
      <c r="F287" s="26" t="s">
        <v>100</v>
      </c>
      <c r="G287" s="26" t="s">
        <v>150</v>
      </c>
      <c r="H287" s="27">
        <v>1900.0</v>
      </c>
      <c r="I287" s="26" t="s">
        <v>71</v>
      </c>
      <c r="J287" s="26">
        <v>38.0</v>
      </c>
      <c r="K287" s="26" t="s">
        <v>74</v>
      </c>
      <c r="L287" s="28">
        <v>1.2</v>
      </c>
      <c r="M287" s="26" t="s">
        <v>77</v>
      </c>
      <c r="N287" s="26" t="str">
        <f t="shared" si="1"/>
        <v>Moderate</v>
      </c>
      <c r="O287" s="29" t="s">
        <v>282</v>
      </c>
      <c r="P287" s="30">
        <v>1.0</v>
      </c>
      <c r="Q287" s="26">
        <f t="shared" si="2"/>
        <v>5</v>
      </c>
      <c r="R287" s="26">
        <f t="shared" si="3"/>
        <v>4</v>
      </c>
      <c r="S287" s="30">
        <v>2.0</v>
      </c>
      <c r="T287" s="30">
        <v>2.0</v>
      </c>
      <c r="U287" s="30">
        <v>3.0</v>
      </c>
      <c r="V287" s="31">
        <f>ROUND((P287*'Scoring Model'!$C$4+Q287*'Scoring Model'!$C$5+R287*'Scoring Model'!$C$6+S287*'Scoring Model'!$C$7+T287*'Scoring Model'!$C$8+U287*'Scoring Model'!$C$9)/5*100,0)</f>
        <v>54</v>
      </c>
      <c r="W287" s="26" t="str">
        <f t="shared" si="4"/>
        <v>Low</v>
      </c>
      <c r="X287" s="26" t="s">
        <v>774</v>
      </c>
      <c r="Y287" s="26" t="s">
        <v>293</v>
      </c>
      <c r="Z287" s="29" t="s">
        <v>294</v>
      </c>
    </row>
    <row r="288" ht="15.75" customHeight="1"/>
    <row r="289" ht="15.75" customHeight="1">
      <c r="A289" s="65" t="s">
        <v>1189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W2:W287">
    <cfRule type="cellIs" dxfId="0" priority="1" operator="equal">
      <formula>"Critical"</formula>
    </cfRule>
  </conditionalFormatting>
  <conditionalFormatting sqref="W2:W287">
    <cfRule type="cellIs" dxfId="1" priority="2" operator="equal">
      <formula>"High"</formula>
    </cfRule>
  </conditionalFormatting>
  <conditionalFormatting sqref="W2:W287">
    <cfRule type="cellIs" dxfId="2" priority="3" operator="equal">
      <formula>"Medium"</formula>
    </cfRule>
  </conditionalFormatting>
  <conditionalFormatting sqref="W2:W287">
    <cfRule type="cellIs" dxfId="3" priority="4" operator="equal">
      <formula>"Low"</formula>
    </cfRule>
  </conditionalFormatting>
  <conditionalFormatting sqref="W2:W287">
    <cfRule type="cellIs" dxfId="4" priority="5" operator="equal">
      <formula>"Optional"</formula>
    </cfRule>
  </conditionalFormatting>
  <conditionalFormatting sqref="E2:E287">
    <cfRule type="cellIs" dxfId="5" priority="6" operator="equal">
      <formula>"Informational"</formula>
    </cfRule>
  </conditionalFormatting>
  <conditionalFormatting sqref="E2:E287">
    <cfRule type="cellIs" dxfId="6" priority="7" operator="equal">
      <formula>"Navigational"</formula>
    </cfRule>
  </conditionalFormatting>
  <conditionalFormatting sqref="E2:E287">
    <cfRule type="cellIs" dxfId="7" priority="8" operator="equal">
      <formula>"Commercial"</formula>
    </cfRule>
  </conditionalFormatting>
  <conditionalFormatting sqref="E2:E287">
    <cfRule type="cellIs" dxfId="8" priority="9" operator="equal">
      <formula>"Transactional"</formula>
    </cfRule>
  </conditionalFormatting>
  <conditionalFormatting sqref="F2:F287">
    <cfRule type="cellIs" dxfId="5" priority="10" operator="equal">
      <formula>"TOFU"</formula>
    </cfRule>
  </conditionalFormatting>
  <conditionalFormatting sqref="F2:F287">
    <cfRule type="cellIs" dxfId="7" priority="11" operator="equal">
      <formula>"MOFU"</formula>
    </cfRule>
  </conditionalFormatting>
  <conditionalFormatting sqref="F2:F287">
    <cfRule type="cellIs" dxfId="8" priority="12" operator="equal">
      <formula>"BOFU"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0"/>
    <col customWidth="1" min="2" max="2" width="35.14"/>
    <col customWidth="1" min="3" max="3" width="60.0"/>
    <col customWidth="1" min="4" max="4" width="47.71"/>
    <col customWidth="1" min="5" max="5" width="48.0"/>
    <col customWidth="1" min="6" max="6" width="11.71"/>
    <col customWidth="1" min="7" max="7" width="7.29"/>
    <col customWidth="1" min="8" max="8" width="38.14"/>
    <col customWidth="1" min="9" max="9" width="25.71"/>
    <col customWidth="1" min="10" max="10" width="11.43"/>
    <col customWidth="1" min="11" max="26" width="8.71"/>
  </cols>
  <sheetData>
    <row r="1">
      <c r="A1" s="1" t="s">
        <v>2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17</v>
      </c>
      <c r="G1" s="1" t="s">
        <v>8</v>
      </c>
      <c r="H1" s="1" t="s">
        <v>20</v>
      </c>
      <c r="I1" s="1" t="s">
        <v>22</v>
      </c>
      <c r="J1" s="1" t="s">
        <v>26</v>
      </c>
    </row>
    <row r="2">
      <c r="A2" s="7" t="s">
        <v>31</v>
      </c>
      <c r="B2" s="8" t="s">
        <v>45</v>
      </c>
      <c r="C2" s="10" t="s">
        <v>53</v>
      </c>
      <c r="D2" s="10" t="s">
        <v>57</v>
      </c>
      <c r="E2" s="10" t="s">
        <v>59</v>
      </c>
      <c r="F2" s="13" t="s">
        <v>60</v>
      </c>
      <c r="G2" s="13" t="s">
        <v>61</v>
      </c>
      <c r="H2" s="8" t="s">
        <v>63</v>
      </c>
      <c r="I2" s="8" t="s">
        <v>64</v>
      </c>
      <c r="J2" s="13">
        <f>COUNTIF('Keyword Master Database'!$D$2:$D$287,A2)</f>
        <v>7</v>
      </c>
    </row>
    <row r="3">
      <c r="A3" s="18" t="s">
        <v>96</v>
      </c>
      <c r="B3" s="20" t="s">
        <v>98</v>
      </c>
      <c r="C3" s="6" t="s">
        <v>99</v>
      </c>
      <c r="D3" s="6" t="s">
        <v>57</v>
      </c>
      <c r="E3" s="6" t="s">
        <v>59</v>
      </c>
      <c r="F3" s="22" t="s">
        <v>95</v>
      </c>
      <c r="G3" s="22" t="s">
        <v>100</v>
      </c>
      <c r="H3" s="20" t="s">
        <v>101</v>
      </c>
      <c r="I3" s="20" t="s">
        <v>102</v>
      </c>
      <c r="J3" s="22">
        <f>COUNTIF('Keyword Master Database'!$D$2:$D$287,A3)</f>
        <v>6</v>
      </c>
    </row>
    <row r="4">
      <c r="A4" s="7" t="s">
        <v>103</v>
      </c>
      <c r="B4" s="8" t="s">
        <v>104</v>
      </c>
      <c r="C4" s="10" t="s">
        <v>105</v>
      </c>
      <c r="D4" s="10" t="s">
        <v>106</v>
      </c>
      <c r="E4" s="10" t="s">
        <v>107</v>
      </c>
      <c r="F4" s="13" t="s">
        <v>60</v>
      </c>
      <c r="G4" s="13" t="s">
        <v>61</v>
      </c>
      <c r="H4" s="8" t="s">
        <v>108</v>
      </c>
      <c r="I4" s="8" t="s">
        <v>109</v>
      </c>
      <c r="J4" s="13">
        <f>COUNTIF('Keyword Master Database'!$D$2:$D$287,A4)</f>
        <v>9</v>
      </c>
    </row>
    <row r="5">
      <c r="A5" s="18" t="s">
        <v>111</v>
      </c>
      <c r="B5" s="20" t="s">
        <v>106</v>
      </c>
      <c r="C5" s="6" t="s">
        <v>112</v>
      </c>
      <c r="D5" s="6" t="s">
        <v>106</v>
      </c>
      <c r="E5" s="6" t="s">
        <v>107</v>
      </c>
      <c r="F5" s="22" t="s">
        <v>95</v>
      </c>
      <c r="G5" s="22" t="s">
        <v>100</v>
      </c>
      <c r="H5" s="20" t="s">
        <v>113</v>
      </c>
      <c r="I5" s="20" t="s">
        <v>102</v>
      </c>
      <c r="J5" s="22">
        <f>COUNTIF('Keyword Master Database'!$D$2:$D$287,A5)</f>
        <v>1</v>
      </c>
    </row>
    <row r="6">
      <c r="A6" s="7" t="s">
        <v>114</v>
      </c>
      <c r="B6" s="8" t="s">
        <v>115</v>
      </c>
      <c r="C6" s="10" t="s">
        <v>116</v>
      </c>
      <c r="D6" s="10" t="s">
        <v>117</v>
      </c>
      <c r="E6" s="10" t="s">
        <v>118</v>
      </c>
      <c r="F6" s="13" t="s">
        <v>60</v>
      </c>
      <c r="G6" s="13" t="s">
        <v>61</v>
      </c>
      <c r="H6" s="8" t="s">
        <v>119</v>
      </c>
      <c r="I6" s="8" t="s">
        <v>109</v>
      </c>
      <c r="J6" s="13">
        <f>COUNTIF('Keyword Master Database'!$D$2:$D$287,A6)</f>
        <v>9</v>
      </c>
    </row>
    <row r="7">
      <c r="A7" s="18" t="s">
        <v>121</v>
      </c>
      <c r="B7" s="20" t="s">
        <v>122</v>
      </c>
      <c r="C7" s="6" t="s">
        <v>123</v>
      </c>
      <c r="D7" s="6" t="s">
        <v>124</v>
      </c>
      <c r="E7" s="6" t="s">
        <v>125</v>
      </c>
      <c r="F7" s="22" t="s">
        <v>60</v>
      </c>
      <c r="G7" s="22" t="s">
        <v>61</v>
      </c>
      <c r="H7" s="20" t="s">
        <v>126</v>
      </c>
      <c r="I7" s="20" t="s">
        <v>64</v>
      </c>
      <c r="J7" s="22">
        <f>COUNTIF('Keyword Master Database'!$D$2:$D$287,A7)</f>
        <v>7</v>
      </c>
    </row>
    <row r="8">
      <c r="A8" s="7" t="s">
        <v>127</v>
      </c>
      <c r="B8" s="8" t="s">
        <v>128</v>
      </c>
      <c r="C8" s="10" t="s">
        <v>129</v>
      </c>
      <c r="D8" s="10" t="s">
        <v>124</v>
      </c>
      <c r="E8" s="10" t="s">
        <v>125</v>
      </c>
      <c r="F8" s="13" t="s">
        <v>95</v>
      </c>
      <c r="G8" s="13" t="s">
        <v>100</v>
      </c>
      <c r="H8" s="8" t="s">
        <v>130</v>
      </c>
      <c r="I8" s="8" t="s">
        <v>102</v>
      </c>
      <c r="J8" s="13">
        <f>COUNTIF('Keyword Master Database'!$D$2:$D$287,A8)</f>
        <v>3</v>
      </c>
    </row>
    <row r="9">
      <c r="A9" s="18" t="s">
        <v>131</v>
      </c>
      <c r="B9" s="20" t="s">
        <v>132</v>
      </c>
      <c r="C9" s="6" t="s">
        <v>133</v>
      </c>
      <c r="D9" s="6" t="s">
        <v>134</v>
      </c>
      <c r="E9" s="6" t="s">
        <v>135</v>
      </c>
      <c r="F9" s="22" t="s">
        <v>60</v>
      </c>
      <c r="G9" s="22" t="s">
        <v>61</v>
      </c>
      <c r="H9" s="20" t="s">
        <v>136</v>
      </c>
      <c r="I9" s="20" t="s">
        <v>64</v>
      </c>
      <c r="J9" s="22">
        <f>COUNTIF('Keyword Master Database'!$D$2:$D$287,A9)</f>
        <v>6</v>
      </c>
    </row>
    <row r="10">
      <c r="A10" s="7" t="s">
        <v>137</v>
      </c>
      <c r="B10" s="8" t="s">
        <v>138</v>
      </c>
      <c r="C10" s="10" t="s">
        <v>139</v>
      </c>
      <c r="D10" s="10" t="s">
        <v>134</v>
      </c>
      <c r="E10" s="10" t="s">
        <v>135</v>
      </c>
      <c r="F10" s="13" t="s">
        <v>95</v>
      </c>
      <c r="G10" s="13" t="s">
        <v>100</v>
      </c>
      <c r="H10" s="8" t="s">
        <v>140</v>
      </c>
      <c r="I10" s="8" t="s">
        <v>102</v>
      </c>
      <c r="J10" s="13">
        <f>COUNTIF('Keyword Master Database'!$D$2:$D$287,A10)</f>
        <v>3</v>
      </c>
    </row>
    <row r="11">
      <c r="A11" s="18" t="s">
        <v>144</v>
      </c>
      <c r="B11" s="20" t="s">
        <v>145</v>
      </c>
      <c r="C11" s="6" t="s">
        <v>146</v>
      </c>
      <c r="D11" s="6" t="s">
        <v>147</v>
      </c>
      <c r="E11" s="6" t="s">
        <v>148</v>
      </c>
      <c r="F11" s="22" t="s">
        <v>60</v>
      </c>
      <c r="G11" s="22" t="s">
        <v>61</v>
      </c>
      <c r="H11" s="20" t="s">
        <v>149</v>
      </c>
      <c r="I11" s="20" t="s">
        <v>109</v>
      </c>
      <c r="J11" s="22">
        <f>COUNTIF('Keyword Master Database'!$D$2:$D$287,A11)</f>
        <v>8</v>
      </c>
    </row>
    <row r="12">
      <c r="A12" s="7" t="s">
        <v>151</v>
      </c>
      <c r="B12" s="8" t="s">
        <v>147</v>
      </c>
      <c r="C12" s="10" t="s">
        <v>112</v>
      </c>
      <c r="D12" s="10" t="s">
        <v>147</v>
      </c>
      <c r="E12" s="10" t="s">
        <v>148</v>
      </c>
      <c r="F12" s="13" t="s">
        <v>95</v>
      </c>
      <c r="G12" s="13" t="s">
        <v>100</v>
      </c>
      <c r="H12" s="8" t="s">
        <v>152</v>
      </c>
      <c r="I12" s="8" t="s">
        <v>102</v>
      </c>
      <c r="J12" s="13">
        <f>COUNTIF('Keyword Master Database'!$D$2:$D$287,A12)</f>
        <v>1</v>
      </c>
    </row>
    <row r="13">
      <c r="A13" s="18" t="s">
        <v>153</v>
      </c>
      <c r="B13" s="20" t="s">
        <v>154</v>
      </c>
      <c r="C13" s="6" t="s">
        <v>155</v>
      </c>
      <c r="D13" s="6" t="s">
        <v>156</v>
      </c>
      <c r="E13" s="6" t="s">
        <v>157</v>
      </c>
      <c r="F13" s="22" t="s">
        <v>60</v>
      </c>
      <c r="G13" s="22" t="s">
        <v>61</v>
      </c>
      <c r="H13" s="20" t="s">
        <v>158</v>
      </c>
      <c r="I13" s="20" t="s">
        <v>64</v>
      </c>
      <c r="J13" s="22">
        <f>COUNTIF('Keyword Master Database'!$D$2:$D$287,A13)</f>
        <v>6</v>
      </c>
    </row>
    <row r="14">
      <c r="A14" s="7" t="s">
        <v>159</v>
      </c>
      <c r="B14" s="8" t="s">
        <v>160</v>
      </c>
      <c r="C14" s="10" t="s">
        <v>161</v>
      </c>
      <c r="D14" s="10" t="s">
        <v>156</v>
      </c>
      <c r="E14" s="10" t="s">
        <v>157</v>
      </c>
      <c r="F14" s="13" t="s">
        <v>95</v>
      </c>
      <c r="G14" s="13" t="s">
        <v>100</v>
      </c>
      <c r="H14" s="8" t="s">
        <v>162</v>
      </c>
      <c r="I14" s="8" t="s">
        <v>102</v>
      </c>
      <c r="J14" s="13">
        <f>COUNTIF('Keyword Master Database'!$D$2:$D$287,A14)</f>
        <v>4</v>
      </c>
    </row>
    <row r="15">
      <c r="A15" s="18" t="s">
        <v>163</v>
      </c>
      <c r="B15" s="20" t="s">
        <v>164</v>
      </c>
      <c r="C15" s="6" t="s">
        <v>165</v>
      </c>
      <c r="D15" s="6" t="s">
        <v>166</v>
      </c>
      <c r="E15" s="6" t="s">
        <v>167</v>
      </c>
      <c r="F15" s="22" t="s">
        <v>60</v>
      </c>
      <c r="G15" s="22" t="s">
        <v>61</v>
      </c>
      <c r="H15" s="20" t="s">
        <v>168</v>
      </c>
      <c r="I15" s="20" t="s">
        <v>64</v>
      </c>
      <c r="J15" s="22">
        <f>COUNTIF('Keyword Master Database'!$D$2:$D$287,A15)</f>
        <v>4</v>
      </c>
    </row>
    <row r="16">
      <c r="A16" s="7" t="s">
        <v>169</v>
      </c>
      <c r="B16" s="8" t="s">
        <v>170</v>
      </c>
      <c r="C16" s="10" t="s">
        <v>171</v>
      </c>
      <c r="D16" s="10" t="s">
        <v>166</v>
      </c>
      <c r="E16" s="10" t="s">
        <v>167</v>
      </c>
      <c r="F16" s="13" t="s">
        <v>95</v>
      </c>
      <c r="G16" s="13" t="s">
        <v>100</v>
      </c>
      <c r="H16" s="8" t="s">
        <v>174</v>
      </c>
      <c r="I16" s="8" t="s">
        <v>102</v>
      </c>
      <c r="J16" s="13">
        <f>COUNTIF('Keyword Master Database'!$D$2:$D$287,A16)</f>
        <v>3</v>
      </c>
    </row>
    <row r="17">
      <c r="A17" s="18" t="s">
        <v>175</v>
      </c>
      <c r="B17" s="20" t="s">
        <v>176</v>
      </c>
      <c r="C17" s="6" t="s">
        <v>177</v>
      </c>
      <c r="D17" s="6" t="s">
        <v>178</v>
      </c>
      <c r="E17" s="6" t="s">
        <v>179</v>
      </c>
      <c r="F17" s="22" t="s">
        <v>60</v>
      </c>
      <c r="G17" s="22" t="s">
        <v>61</v>
      </c>
      <c r="H17" s="20" t="s">
        <v>180</v>
      </c>
      <c r="I17" s="20" t="s">
        <v>64</v>
      </c>
      <c r="J17" s="22">
        <f>COUNTIF('Keyword Master Database'!$D$2:$D$287,A17)</f>
        <v>8</v>
      </c>
    </row>
    <row r="18">
      <c r="A18" s="7" t="s">
        <v>181</v>
      </c>
      <c r="B18" s="8" t="s">
        <v>178</v>
      </c>
      <c r="C18" s="10" t="s">
        <v>112</v>
      </c>
      <c r="D18" s="10" t="s">
        <v>178</v>
      </c>
      <c r="E18" s="10" t="s">
        <v>179</v>
      </c>
      <c r="F18" s="13" t="s">
        <v>95</v>
      </c>
      <c r="G18" s="13" t="s">
        <v>100</v>
      </c>
      <c r="H18" s="8" t="s">
        <v>182</v>
      </c>
      <c r="I18" s="8" t="s">
        <v>102</v>
      </c>
      <c r="J18" s="13">
        <f>COUNTIF('Keyword Master Database'!$D$2:$D$287,A18)</f>
        <v>1</v>
      </c>
    </row>
    <row r="19">
      <c r="A19" s="18" t="s">
        <v>183</v>
      </c>
      <c r="B19" s="20" t="s">
        <v>184</v>
      </c>
      <c r="C19" s="6" t="s">
        <v>185</v>
      </c>
      <c r="D19" s="6" t="s">
        <v>186</v>
      </c>
      <c r="E19" s="6" t="s">
        <v>187</v>
      </c>
      <c r="F19" s="22" t="s">
        <v>60</v>
      </c>
      <c r="G19" s="22" t="s">
        <v>61</v>
      </c>
      <c r="H19" s="20" t="s">
        <v>188</v>
      </c>
      <c r="I19" s="20" t="s">
        <v>64</v>
      </c>
      <c r="J19" s="22">
        <f>COUNTIF('Keyword Master Database'!$D$2:$D$287,A19)</f>
        <v>6</v>
      </c>
    </row>
    <row r="20">
      <c r="A20" s="7" t="s">
        <v>192</v>
      </c>
      <c r="B20" s="8" t="s">
        <v>193</v>
      </c>
      <c r="C20" s="10" t="s">
        <v>194</v>
      </c>
      <c r="D20" s="10" t="s">
        <v>186</v>
      </c>
      <c r="E20" s="10" t="s">
        <v>187</v>
      </c>
      <c r="F20" s="13" t="s">
        <v>95</v>
      </c>
      <c r="G20" s="13" t="s">
        <v>100</v>
      </c>
      <c r="H20" s="8" t="s">
        <v>195</v>
      </c>
      <c r="I20" s="8" t="s">
        <v>102</v>
      </c>
      <c r="J20" s="13">
        <f>COUNTIF('Keyword Master Database'!$D$2:$D$287,A20)</f>
        <v>4</v>
      </c>
    </row>
    <row r="21" ht="15.75" customHeight="1">
      <c r="A21" s="18" t="s">
        <v>196</v>
      </c>
      <c r="B21" s="20" t="s">
        <v>197</v>
      </c>
      <c r="C21" s="6" t="s">
        <v>198</v>
      </c>
      <c r="D21" s="6" t="s">
        <v>199</v>
      </c>
      <c r="E21" s="6" t="s">
        <v>200</v>
      </c>
      <c r="F21" s="22" t="s">
        <v>60</v>
      </c>
      <c r="G21" s="22" t="s">
        <v>61</v>
      </c>
      <c r="H21" s="20" t="s">
        <v>201</v>
      </c>
      <c r="I21" s="20" t="s">
        <v>64</v>
      </c>
      <c r="J21" s="22">
        <f>COUNTIF('Keyword Master Database'!$D$2:$D$287,A21)</f>
        <v>5</v>
      </c>
    </row>
    <row r="22" ht="15.75" customHeight="1">
      <c r="A22" s="7" t="s">
        <v>210</v>
      </c>
      <c r="B22" s="8" t="s">
        <v>211</v>
      </c>
      <c r="C22" s="10" t="s">
        <v>212</v>
      </c>
      <c r="D22" s="10" t="s">
        <v>199</v>
      </c>
      <c r="E22" s="10" t="s">
        <v>200</v>
      </c>
      <c r="F22" s="13" t="s">
        <v>95</v>
      </c>
      <c r="G22" s="13" t="s">
        <v>100</v>
      </c>
      <c r="H22" s="8" t="s">
        <v>218</v>
      </c>
      <c r="I22" s="8" t="s">
        <v>102</v>
      </c>
      <c r="J22" s="13">
        <f>COUNTIF('Keyword Master Database'!$D$2:$D$287,A22)</f>
        <v>2</v>
      </c>
    </row>
    <row r="23" ht="15.75" customHeight="1">
      <c r="A23" s="18" t="s">
        <v>230</v>
      </c>
      <c r="B23" s="20" t="s">
        <v>232</v>
      </c>
      <c r="C23" s="6" t="s">
        <v>234</v>
      </c>
      <c r="D23" s="6" t="s">
        <v>236</v>
      </c>
      <c r="E23" s="6" t="s">
        <v>238</v>
      </c>
      <c r="F23" s="22" t="s">
        <v>60</v>
      </c>
      <c r="G23" s="22" t="s">
        <v>61</v>
      </c>
      <c r="H23" s="20" t="s">
        <v>241</v>
      </c>
      <c r="I23" s="20" t="s">
        <v>64</v>
      </c>
      <c r="J23" s="22">
        <f>COUNTIF('Keyword Master Database'!$D$2:$D$287,A23)</f>
        <v>6</v>
      </c>
    </row>
    <row r="24" ht="15.75" customHeight="1">
      <c r="A24" s="7" t="s">
        <v>259</v>
      </c>
      <c r="B24" s="8" t="s">
        <v>261</v>
      </c>
      <c r="C24" s="10" t="s">
        <v>263</v>
      </c>
      <c r="D24" s="10" t="s">
        <v>236</v>
      </c>
      <c r="E24" s="10" t="s">
        <v>238</v>
      </c>
      <c r="F24" s="13" t="s">
        <v>95</v>
      </c>
      <c r="G24" s="13" t="s">
        <v>100</v>
      </c>
      <c r="H24" s="8" t="s">
        <v>271</v>
      </c>
      <c r="I24" s="8" t="s">
        <v>102</v>
      </c>
      <c r="J24" s="13">
        <f>COUNTIF('Keyword Master Database'!$D$2:$D$287,A24)</f>
        <v>2</v>
      </c>
    </row>
    <row r="25" ht="15.75" customHeight="1">
      <c r="A25" s="18" t="s">
        <v>274</v>
      </c>
      <c r="B25" s="20" t="s">
        <v>275</v>
      </c>
      <c r="C25" s="6" t="s">
        <v>276</v>
      </c>
      <c r="D25" s="6" t="s">
        <v>277</v>
      </c>
      <c r="E25" s="6" t="s">
        <v>278</v>
      </c>
      <c r="F25" s="22" t="s">
        <v>60</v>
      </c>
      <c r="G25" s="22" t="s">
        <v>61</v>
      </c>
      <c r="H25" s="20" t="s">
        <v>279</v>
      </c>
      <c r="I25" s="20" t="s">
        <v>64</v>
      </c>
      <c r="J25" s="22">
        <f>COUNTIF('Keyword Master Database'!$D$2:$D$287,A25)</f>
        <v>7</v>
      </c>
    </row>
    <row r="26" ht="15.75" customHeight="1">
      <c r="A26" s="7" t="s">
        <v>281</v>
      </c>
      <c r="B26" s="8" t="s">
        <v>277</v>
      </c>
      <c r="C26" s="10" t="s">
        <v>112</v>
      </c>
      <c r="D26" s="10" t="s">
        <v>277</v>
      </c>
      <c r="E26" s="10" t="s">
        <v>278</v>
      </c>
      <c r="F26" s="13" t="s">
        <v>95</v>
      </c>
      <c r="G26" s="13" t="s">
        <v>100</v>
      </c>
      <c r="H26" s="8" t="s">
        <v>283</v>
      </c>
      <c r="I26" s="8" t="s">
        <v>102</v>
      </c>
      <c r="J26" s="13">
        <f>COUNTIF('Keyword Master Database'!$D$2:$D$287,A26)</f>
        <v>1</v>
      </c>
    </row>
    <row r="27" ht="15.75" customHeight="1">
      <c r="A27" s="18" t="s">
        <v>284</v>
      </c>
      <c r="B27" s="20" t="s">
        <v>285</v>
      </c>
      <c r="C27" s="6" t="s">
        <v>286</v>
      </c>
      <c r="D27" s="6" t="s">
        <v>287</v>
      </c>
      <c r="E27" s="6" t="s">
        <v>288</v>
      </c>
      <c r="F27" s="22" t="s">
        <v>60</v>
      </c>
      <c r="G27" s="22" t="s">
        <v>61</v>
      </c>
      <c r="H27" s="20" t="s">
        <v>289</v>
      </c>
      <c r="I27" s="20" t="s">
        <v>64</v>
      </c>
      <c r="J27" s="22">
        <f>COUNTIF('Keyword Master Database'!$D$2:$D$287,A27)</f>
        <v>6</v>
      </c>
    </row>
    <row r="28" ht="15.75" customHeight="1">
      <c r="A28" s="7" t="s">
        <v>290</v>
      </c>
      <c r="B28" s="8" t="s">
        <v>291</v>
      </c>
      <c r="C28" s="10" t="s">
        <v>292</v>
      </c>
      <c r="D28" s="10" t="s">
        <v>287</v>
      </c>
      <c r="E28" s="10" t="s">
        <v>288</v>
      </c>
      <c r="F28" s="13" t="s">
        <v>95</v>
      </c>
      <c r="G28" s="13" t="s">
        <v>100</v>
      </c>
      <c r="H28" s="8" t="s">
        <v>296</v>
      </c>
      <c r="I28" s="8" t="s">
        <v>102</v>
      </c>
      <c r="J28" s="13">
        <f>COUNTIF('Keyword Master Database'!$D$2:$D$287,A28)</f>
        <v>2</v>
      </c>
    </row>
    <row r="29" ht="15.75" customHeight="1">
      <c r="A29" s="18" t="s">
        <v>297</v>
      </c>
      <c r="B29" s="20" t="s">
        <v>298</v>
      </c>
      <c r="C29" s="6" t="s">
        <v>299</v>
      </c>
      <c r="D29" s="6" t="s">
        <v>300</v>
      </c>
      <c r="E29" s="6" t="s">
        <v>301</v>
      </c>
      <c r="F29" s="22" t="s">
        <v>60</v>
      </c>
      <c r="G29" s="22" t="s">
        <v>61</v>
      </c>
      <c r="H29" s="20" t="s">
        <v>302</v>
      </c>
      <c r="I29" s="20" t="s">
        <v>64</v>
      </c>
      <c r="J29" s="22">
        <f>COUNTIF('Keyword Master Database'!$D$2:$D$287,A29)</f>
        <v>3</v>
      </c>
    </row>
    <row r="30" ht="15.75" customHeight="1">
      <c r="A30" s="7" t="s">
        <v>305</v>
      </c>
      <c r="B30" s="8" t="s">
        <v>306</v>
      </c>
      <c r="C30" s="10" t="s">
        <v>307</v>
      </c>
      <c r="D30" s="10" t="s">
        <v>300</v>
      </c>
      <c r="E30" s="10" t="s">
        <v>301</v>
      </c>
      <c r="F30" s="13" t="s">
        <v>95</v>
      </c>
      <c r="G30" s="13" t="s">
        <v>100</v>
      </c>
      <c r="H30" s="8" t="s">
        <v>308</v>
      </c>
      <c r="I30" s="8" t="s">
        <v>102</v>
      </c>
      <c r="J30" s="13">
        <f>COUNTIF('Keyword Master Database'!$D$2:$D$287,A30)</f>
        <v>3</v>
      </c>
    </row>
    <row r="31" ht="15.75" customHeight="1">
      <c r="A31" s="18" t="s">
        <v>309</v>
      </c>
      <c r="B31" s="20" t="s">
        <v>310</v>
      </c>
      <c r="C31" s="6" t="s">
        <v>311</v>
      </c>
      <c r="D31" s="6" t="s">
        <v>312</v>
      </c>
      <c r="E31" s="6" t="s">
        <v>313</v>
      </c>
      <c r="F31" s="22" t="s">
        <v>60</v>
      </c>
      <c r="G31" s="22" t="s">
        <v>61</v>
      </c>
      <c r="H31" s="20" t="s">
        <v>314</v>
      </c>
      <c r="I31" s="20" t="s">
        <v>109</v>
      </c>
      <c r="J31" s="22">
        <f>COUNTIF('Keyword Master Database'!$D$2:$D$287,A31)</f>
        <v>5</v>
      </c>
    </row>
    <row r="32" ht="15.75" customHeight="1">
      <c r="A32" s="7" t="s">
        <v>316</v>
      </c>
      <c r="B32" s="8" t="s">
        <v>317</v>
      </c>
      <c r="C32" s="10" t="s">
        <v>318</v>
      </c>
      <c r="D32" s="10" t="s">
        <v>312</v>
      </c>
      <c r="E32" s="10" t="s">
        <v>313</v>
      </c>
      <c r="F32" s="13" t="s">
        <v>95</v>
      </c>
      <c r="G32" s="13" t="s">
        <v>100</v>
      </c>
      <c r="H32" s="8" t="s">
        <v>319</v>
      </c>
      <c r="I32" s="8" t="s">
        <v>102</v>
      </c>
      <c r="J32" s="13">
        <f>COUNTIF('Keyword Master Database'!$D$2:$D$287,A32)</f>
        <v>3</v>
      </c>
    </row>
    <row r="33" ht="15.75" customHeight="1">
      <c r="A33" s="18" t="s">
        <v>320</v>
      </c>
      <c r="B33" s="20" t="s">
        <v>321</v>
      </c>
      <c r="C33" s="6" t="s">
        <v>322</v>
      </c>
      <c r="D33" s="6" t="s">
        <v>323</v>
      </c>
      <c r="E33" s="6" t="s">
        <v>324</v>
      </c>
      <c r="F33" s="22" t="s">
        <v>60</v>
      </c>
      <c r="G33" s="22" t="s">
        <v>61</v>
      </c>
      <c r="H33" s="20" t="s">
        <v>325</v>
      </c>
      <c r="I33" s="20" t="s">
        <v>109</v>
      </c>
      <c r="J33" s="22">
        <f>COUNTIF('Keyword Master Database'!$D$2:$D$287,A33)</f>
        <v>5</v>
      </c>
    </row>
    <row r="34" ht="15.75" customHeight="1">
      <c r="A34" s="7" t="s">
        <v>326</v>
      </c>
      <c r="B34" s="8" t="s">
        <v>323</v>
      </c>
      <c r="C34" s="10" t="s">
        <v>112</v>
      </c>
      <c r="D34" s="10" t="s">
        <v>323</v>
      </c>
      <c r="E34" s="10" t="s">
        <v>324</v>
      </c>
      <c r="F34" s="13" t="s">
        <v>95</v>
      </c>
      <c r="G34" s="13" t="s">
        <v>100</v>
      </c>
      <c r="H34" s="8" t="s">
        <v>327</v>
      </c>
      <c r="I34" s="8" t="s">
        <v>102</v>
      </c>
      <c r="J34" s="13">
        <f>COUNTIF('Keyword Master Database'!$D$2:$D$287,A34)</f>
        <v>1</v>
      </c>
    </row>
    <row r="35" ht="15.75" customHeight="1">
      <c r="A35" s="18" t="s">
        <v>329</v>
      </c>
      <c r="B35" s="20" t="s">
        <v>330</v>
      </c>
      <c r="C35" s="6" t="s">
        <v>112</v>
      </c>
      <c r="D35" s="6" t="s">
        <v>331</v>
      </c>
      <c r="E35" s="6" t="s">
        <v>332</v>
      </c>
      <c r="F35" s="22" t="s">
        <v>60</v>
      </c>
      <c r="G35" s="22" t="s">
        <v>61</v>
      </c>
      <c r="H35" s="20" t="s">
        <v>333</v>
      </c>
      <c r="I35" s="20" t="s">
        <v>64</v>
      </c>
      <c r="J35" s="22">
        <f>COUNTIF('Keyword Master Database'!$D$2:$D$287,A35)</f>
        <v>1</v>
      </c>
    </row>
    <row r="36" ht="15.75" customHeight="1">
      <c r="A36" s="7" t="s">
        <v>334</v>
      </c>
      <c r="B36" s="8" t="s">
        <v>335</v>
      </c>
      <c r="C36" s="10" t="s">
        <v>336</v>
      </c>
      <c r="D36" s="10" t="s">
        <v>331</v>
      </c>
      <c r="E36" s="10" t="s">
        <v>332</v>
      </c>
      <c r="F36" s="13" t="s">
        <v>95</v>
      </c>
      <c r="G36" s="13" t="s">
        <v>100</v>
      </c>
      <c r="H36" s="8" t="s">
        <v>337</v>
      </c>
      <c r="I36" s="8" t="s">
        <v>102</v>
      </c>
      <c r="J36" s="13">
        <f>COUNTIF('Keyword Master Database'!$D$2:$D$287,A36)</f>
        <v>3</v>
      </c>
    </row>
    <row r="37" ht="15.75" customHeight="1">
      <c r="A37" s="18" t="s">
        <v>339</v>
      </c>
      <c r="B37" s="20" t="s">
        <v>340</v>
      </c>
      <c r="C37" s="6" t="s">
        <v>341</v>
      </c>
      <c r="D37" s="6" t="s">
        <v>342</v>
      </c>
      <c r="E37" s="6" t="s">
        <v>343</v>
      </c>
      <c r="F37" s="22" t="s">
        <v>60</v>
      </c>
      <c r="G37" s="22" t="s">
        <v>61</v>
      </c>
      <c r="H37" s="20" t="s">
        <v>344</v>
      </c>
      <c r="I37" s="20" t="s">
        <v>64</v>
      </c>
      <c r="J37" s="22">
        <f>COUNTIF('Keyword Master Database'!$D$2:$D$287,A37)</f>
        <v>2</v>
      </c>
    </row>
    <row r="38" ht="15.75" customHeight="1">
      <c r="A38" s="7" t="s">
        <v>345</v>
      </c>
      <c r="B38" s="8" t="s">
        <v>346</v>
      </c>
      <c r="C38" s="10" t="s">
        <v>347</v>
      </c>
      <c r="D38" s="10" t="s">
        <v>342</v>
      </c>
      <c r="E38" s="10" t="s">
        <v>343</v>
      </c>
      <c r="F38" s="13" t="s">
        <v>95</v>
      </c>
      <c r="G38" s="13" t="s">
        <v>100</v>
      </c>
      <c r="H38" s="8" t="s">
        <v>348</v>
      </c>
      <c r="I38" s="8" t="s">
        <v>102</v>
      </c>
      <c r="J38" s="13">
        <f>COUNTIF('Keyword Master Database'!$D$2:$D$287,A38)</f>
        <v>2</v>
      </c>
    </row>
    <row r="39" ht="15.75" customHeight="1">
      <c r="A39" s="18" t="s">
        <v>349</v>
      </c>
      <c r="B39" s="20" t="s">
        <v>350</v>
      </c>
      <c r="C39" s="6" t="s">
        <v>112</v>
      </c>
      <c r="D39" s="6" t="s">
        <v>351</v>
      </c>
      <c r="E39" s="6" t="s">
        <v>352</v>
      </c>
      <c r="F39" s="22" t="s">
        <v>60</v>
      </c>
      <c r="G39" s="22" t="s">
        <v>61</v>
      </c>
      <c r="H39" s="20" t="s">
        <v>354</v>
      </c>
      <c r="I39" s="20" t="s">
        <v>64</v>
      </c>
      <c r="J39" s="22">
        <f>COUNTIF('Keyword Master Database'!$D$2:$D$287,A39)</f>
        <v>1</v>
      </c>
    </row>
    <row r="40" ht="15.75" customHeight="1">
      <c r="A40" s="7" t="s">
        <v>355</v>
      </c>
      <c r="B40" s="8" t="s">
        <v>356</v>
      </c>
      <c r="C40" s="10" t="s">
        <v>357</v>
      </c>
      <c r="D40" s="10" t="s">
        <v>351</v>
      </c>
      <c r="E40" s="10" t="s">
        <v>352</v>
      </c>
      <c r="F40" s="13" t="s">
        <v>95</v>
      </c>
      <c r="G40" s="13" t="s">
        <v>100</v>
      </c>
      <c r="H40" s="8" t="s">
        <v>358</v>
      </c>
      <c r="I40" s="8" t="s">
        <v>102</v>
      </c>
      <c r="J40" s="13">
        <f>COUNTIF('Keyword Master Database'!$D$2:$D$287,A40)</f>
        <v>2</v>
      </c>
    </row>
    <row r="41" ht="15.75" customHeight="1">
      <c r="A41" s="18" t="s">
        <v>363</v>
      </c>
      <c r="B41" s="20" t="s">
        <v>365</v>
      </c>
      <c r="C41" s="6" t="s">
        <v>366</v>
      </c>
      <c r="D41" s="6" t="s">
        <v>367</v>
      </c>
      <c r="E41" s="6" t="s">
        <v>368</v>
      </c>
      <c r="F41" s="22" t="s">
        <v>60</v>
      </c>
      <c r="G41" s="22" t="s">
        <v>61</v>
      </c>
      <c r="H41" s="20" t="s">
        <v>369</v>
      </c>
      <c r="I41" s="20" t="s">
        <v>64</v>
      </c>
      <c r="J41" s="22">
        <f>COUNTIF('Keyword Master Database'!$D$2:$D$287,A41)</f>
        <v>2</v>
      </c>
    </row>
    <row r="42" ht="15.75" customHeight="1">
      <c r="A42" s="7" t="s">
        <v>373</v>
      </c>
      <c r="B42" s="8" t="s">
        <v>374</v>
      </c>
      <c r="C42" s="10" t="s">
        <v>376</v>
      </c>
      <c r="D42" s="10" t="s">
        <v>367</v>
      </c>
      <c r="E42" s="10" t="s">
        <v>368</v>
      </c>
      <c r="F42" s="13" t="s">
        <v>95</v>
      </c>
      <c r="G42" s="13" t="s">
        <v>100</v>
      </c>
      <c r="H42" s="8" t="s">
        <v>378</v>
      </c>
      <c r="I42" s="8" t="s">
        <v>102</v>
      </c>
      <c r="J42" s="13">
        <f>COUNTIF('Keyword Master Database'!$D$2:$D$287,A42)</f>
        <v>4</v>
      </c>
    </row>
    <row r="43" ht="15.75" customHeight="1">
      <c r="A43" s="18" t="s">
        <v>379</v>
      </c>
      <c r="B43" s="20" t="s">
        <v>380</v>
      </c>
      <c r="C43" s="6" t="s">
        <v>381</v>
      </c>
      <c r="D43" s="6" t="s">
        <v>382</v>
      </c>
      <c r="E43" s="6" t="s">
        <v>383</v>
      </c>
      <c r="F43" s="22" t="s">
        <v>60</v>
      </c>
      <c r="G43" s="22" t="s">
        <v>61</v>
      </c>
      <c r="H43" s="20" t="s">
        <v>384</v>
      </c>
      <c r="I43" s="20" t="s">
        <v>64</v>
      </c>
      <c r="J43" s="22">
        <f>COUNTIF('Keyword Master Database'!$D$2:$D$287,A43)</f>
        <v>5</v>
      </c>
    </row>
    <row r="44" ht="15.75" customHeight="1">
      <c r="A44" s="7" t="s">
        <v>386</v>
      </c>
      <c r="B44" s="8" t="s">
        <v>387</v>
      </c>
      <c r="C44" s="10" t="s">
        <v>388</v>
      </c>
      <c r="D44" s="10" t="s">
        <v>382</v>
      </c>
      <c r="E44" s="10" t="s">
        <v>383</v>
      </c>
      <c r="F44" s="13" t="s">
        <v>95</v>
      </c>
      <c r="G44" s="13" t="s">
        <v>100</v>
      </c>
      <c r="H44" s="8" t="s">
        <v>390</v>
      </c>
      <c r="I44" s="8" t="s">
        <v>102</v>
      </c>
      <c r="J44" s="13">
        <f>COUNTIF('Keyword Master Database'!$D$2:$D$287,A44)</f>
        <v>2</v>
      </c>
    </row>
    <row r="45" ht="15.75" customHeight="1">
      <c r="A45" s="18" t="s">
        <v>392</v>
      </c>
      <c r="B45" s="20" t="s">
        <v>393</v>
      </c>
      <c r="C45" s="6" t="s">
        <v>394</v>
      </c>
      <c r="D45" s="6" t="s">
        <v>395</v>
      </c>
      <c r="E45" s="6" t="s">
        <v>396</v>
      </c>
      <c r="F45" s="22" t="s">
        <v>60</v>
      </c>
      <c r="G45" s="22" t="s">
        <v>61</v>
      </c>
      <c r="H45" s="20" t="s">
        <v>397</v>
      </c>
      <c r="I45" s="20" t="s">
        <v>64</v>
      </c>
      <c r="J45" s="22">
        <f>COUNTIF('Keyword Master Database'!$D$2:$D$287,A45)</f>
        <v>2</v>
      </c>
    </row>
    <row r="46" ht="15.75" customHeight="1">
      <c r="A46" s="7" t="s">
        <v>399</v>
      </c>
      <c r="B46" s="8" t="s">
        <v>400</v>
      </c>
      <c r="C46" s="10" t="s">
        <v>401</v>
      </c>
      <c r="D46" s="10" t="s">
        <v>395</v>
      </c>
      <c r="E46" s="10" t="s">
        <v>396</v>
      </c>
      <c r="F46" s="13" t="s">
        <v>95</v>
      </c>
      <c r="G46" s="13" t="s">
        <v>100</v>
      </c>
      <c r="H46" s="8" t="s">
        <v>402</v>
      </c>
      <c r="I46" s="8" t="s">
        <v>102</v>
      </c>
      <c r="J46" s="13">
        <f>COUNTIF('Keyword Master Database'!$D$2:$D$287,A46)</f>
        <v>2</v>
      </c>
    </row>
    <row r="47" ht="15.75" customHeight="1">
      <c r="A47" s="18" t="s">
        <v>405</v>
      </c>
      <c r="B47" s="20" t="s">
        <v>406</v>
      </c>
      <c r="C47" s="6" t="s">
        <v>407</v>
      </c>
      <c r="D47" s="6" t="s">
        <v>408</v>
      </c>
      <c r="E47" s="6" t="s">
        <v>409</v>
      </c>
      <c r="F47" s="22" t="s">
        <v>60</v>
      </c>
      <c r="G47" s="22" t="s">
        <v>61</v>
      </c>
      <c r="H47" s="20" t="s">
        <v>410</v>
      </c>
      <c r="I47" s="20" t="s">
        <v>64</v>
      </c>
      <c r="J47" s="22">
        <f>COUNTIF('Keyword Master Database'!$D$2:$D$287,A47)</f>
        <v>2</v>
      </c>
    </row>
    <row r="48" ht="15.75" customHeight="1">
      <c r="A48" s="7" t="s">
        <v>411</v>
      </c>
      <c r="B48" s="8" t="s">
        <v>412</v>
      </c>
      <c r="C48" s="10" t="s">
        <v>413</v>
      </c>
      <c r="D48" s="10" t="s">
        <v>408</v>
      </c>
      <c r="E48" s="10" t="s">
        <v>409</v>
      </c>
      <c r="F48" s="13" t="s">
        <v>95</v>
      </c>
      <c r="G48" s="13" t="s">
        <v>100</v>
      </c>
      <c r="H48" s="8" t="s">
        <v>414</v>
      </c>
      <c r="I48" s="8" t="s">
        <v>102</v>
      </c>
      <c r="J48" s="13">
        <f>COUNTIF('Keyword Master Database'!$D$2:$D$287,A48)</f>
        <v>3</v>
      </c>
    </row>
    <row r="49" ht="15.75" customHeight="1">
      <c r="A49" s="18" t="s">
        <v>416</v>
      </c>
      <c r="B49" s="20" t="s">
        <v>417</v>
      </c>
      <c r="C49" s="6" t="s">
        <v>112</v>
      </c>
      <c r="D49" s="6" t="s">
        <v>418</v>
      </c>
      <c r="E49" s="6" t="s">
        <v>419</v>
      </c>
      <c r="F49" s="22" t="s">
        <v>60</v>
      </c>
      <c r="G49" s="22" t="s">
        <v>61</v>
      </c>
      <c r="H49" s="20" t="s">
        <v>420</v>
      </c>
      <c r="I49" s="20" t="s">
        <v>109</v>
      </c>
      <c r="J49" s="22">
        <f>COUNTIF('Keyword Master Database'!$D$2:$D$287,A49)</f>
        <v>1</v>
      </c>
    </row>
    <row r="50" ht="15.75" customHeight="1">
      <c r="A50" s="7" t="s">
        <v>424</v>
      </c>
      <c r="B50" s="8" t="s">
        <v>425</v>
      </c>
      <c r="C50" s="10" t="s">
        <v>426</v>
      </c>
      <c r="D50" s="10" t="s">
        <v>418</v>
      </c>
      <c r="E50" s="10" t="s">
        <v>419</v>
      </c>
      <c r="F50" s="13" t="s">
        <v>95</v>
      </c>
      <c r="G50" s="13" t="s">
        <v>100</v>
      </c>
      <c r="H50" s="8" t="s">
        <v>427</v>
      </c>
      <c r="I50" s="8" t="s">
        <v>102</v>
      </c>
      <c r="J50" s="13">
        <f>COUNTIF('Keyword Master Database'!$D$2:$D$287,A50)</f>
        <v>2</v>
      </c>
    </row>
    <row r="51" ht="15.75" customHeight="1">
      <c r="A51" s="18" t="s">
        <v>430</v>
      </c>
      <c r="B51" s="20" t="s">
        <v>431</v>
      </c>
      <c r="C51" s="6" t="s">
        <v>432</v>
      </c>
      <c r="D51" s="6" t="s">
        <v>117</v>
      </c>
      <c r="E51" s="6" t="s">
        <v>433</v>
      </c>
      <c r="F51" s="22" t="s">
        <v>60</v>
      </c>
      <c r="G51" s="22" t="s">
        <v>61</v>
      </c>
      <c r="H51" s="20" t="s">
        <v>435</v>
      </c>
      <c r="I51" s="20" t="s">
        <v>437</v>
      </c>
      <c r="J51" s="22">
        <f>COUNTIF('Keyword Master Database'!$D$2:$D$287,A51)</f>
        <v>7</v>
      </c>
    </row>
    <row r="52" ht="15.75" customHeight="1">
      <c r="A52" s="7" t="s">
        <v>439</v>
      </c>
      <c r="B52" s="8" t="s">
        <v>441</v>
      </c>
      <c r="C52" s="10" t="s">
        <v>443</v>
      </c>
      <c r="D52" s="10" t="s">
        <v>117</v>
      </c>
      <c r="E52" s="10" t="s">
        <v>444</v>
      </c>
      <c r="F52" s="13" t="s">
        <v>60</v>
      </c>
      <c r="G52" s="13" t="s">
        <v>61</v>
      </c>
      <c r="H52" s="8" t="s">
        <v>445</v>
      </c>
      <c r="I52" s="8" t="s">
        <v>446</v>
      </c>
      <c r="J52" s="13">
        <f>COUNTIF('Keyword Master Database'!$D$2:$D$287,A52)</f>
        <v>3</v>
      </c>
    </row>
    <row r="53" ht="15.75" customHeight="1">
      <c r="A53" s="18" t="s">
        <v>450</v>
      </c>
      <c r="B53" s="20" t="s">
        <v>451</v>
      </c>
      <c r="C53" s="6" t="s">
        <v>452</v>
      </c>
      <c r="D53" s="6" t="s">
        <v>117</v>
      </c>
      <c r="E53" s="6" t="s">
        <v>453</v>
      </c>
      <c r="F53" s="22" t="s">
        <v>60</v>
      </c>
      <c r="G53" s="22" t="s">
        <v>61</v>
      </c>
      <c r="H53" s="20" t="s">
        <v>454</v>
      </c>
      <c r="I53" s="20" t="s">
        <v>446</v>
      </c>
      <c r="J53" s="22">
        <f>COUNTIF('Keyword Master Database'!$D$2:$D$287,A53)</f>
        <v>5</v>
      </c>
    </row>
    <row r="54" ht="15.75" customHeight="1">
      <c r="A54" s="7" t="s">
        <v>457</v>
      </c>
      <c r="B54" s="8" t="s">
        <v>458</v>
      </c>
      <c r="C54" s="10" t="s">
        <v>459</v>
      </c>
      <c r="D54" s="10" t="s">
        <v>117</v>
      </c>
      <c r="E54" s="10" t="s">
        <v>460</v>
      </c>
      <c r="F54" s="13" t="s">
        <v>60</v>
      </c>
      <c r="G54" s="13" t="s">
        <v>61</v>
      </c>
      <c r="H54" s="8" t="s">
        <v>462</v>
      </c>
      <c r="I54" s="8" t="s">
        <v>446</v>
      </c>
      <c r="J54" s="13">
        <f>COUNTIF('Keyword Master Database'!$D$2:$D$287,A54)</f>
        <v>5</v>
      </c>
    </row>
    <row r="55" ht="15.75" customHeight="1">
      <c r="A55" s="18" t="s">
        <v>468</v>
      </c>
      <c r="B55" s="20" t="s">
        <v>469</v>
      </c>
      <c r="C55" s="6" t="s">
        <v>470</v>
      </c>
      <c r="D55" s="6" t="s">
        <v>117</v>
      </c>
      <c r="E55" s="6" t="s">
        <v>471</v>
      </c>
      <c r="F55" s="22" t="s">
        <v>60</v>
      </c>
      <c r="G55" s="22" t="s">
        <v>61</v>
      </c>
      <c r="H55" s="20" t="s">
        <v>472</v>
      </c>
      <c r="I55" s="20" t="s">
        <v>446</v>
      </c>
      <c r="J55" s="22">
        <f>COUNTIF('Keyword Master Database'!$D$2:$D$287,A55)</f>
        <v>4</v>
      </c>
    </row>
    <row r="56" ht="15.75" customHeight="1">
      <c r="A56" s="7" t="s">
        <v>476</v>
      </c>
      <c r="B56" s="8" t="s">
        <v>477</v>
      </c>
      <c r="C56" s="10" t="s">
        <v>478</v>
      </c>
      <c r="D56" s="10" t="s">
        <v>117</v>
      </c>
      <c r="E56" s="10" t="s">
        <v>479</v>
      </c>
      <c r="F56" s="13" t="s">
        <v>120</v>
      </c>
      <c r="G56" s="13" t="s">
        <v>191</v>
      </c>
      <c r="H56" s="8" t="s">
        <v>480</v>
      </c>
      <c r="I56" s="8" t="s">
        <v>446</v>
      </c>
      <c r="J56" s="13">
        <f>COUNTIF('Keyword Master Database'!$D$2:$D$287,A56)</f>
        <v>2</v>
      </c>
    </row>
    <row r="57" ht="15.75" customHeight="1">
      <c r="A57" s="18" t="s">
        <v>482</v>
      </c>
      <c r="B57" s="20" t="s">
        <v>483</v>
      </c>
      <c r="C57" s="6" t="s">
        <v>484</v>
      </c>
      <c r="D57" s="6" t="s">
        <v>117</v>
      </c>
      <c r="E57" s="6" t="s">
        <v>485</v>
      </c>
      <c r="F57" s="22" t="s">
        <v>60</v>
      </c>
      <c r="G57" s="22" t="s">
        <v>61</v>
      </c>
      <c r="H57" s="20" t="s">
        <v>486</v>
      </c>
      <c r="I57" s="20" t="s">
        <v>487</v>
      </c>
      <c r="J57" s="22">
        <f>COUNTIF('Keyword Master Database'!$D$2:$D$287,A57)</f>
        <v>9</v>
      </c>
    </row>
    <row r="58" ht="15.75" customHeight="1">
      <c r="A58" s="7" t="s">
        <v>490</v>
      </c>
      <c r="B58" s="8" t="s">
        <v>491</v>
      </c>
      <c r="C58" s="10" t="s">
        <v>492</v>
      </c>
      <c r="D58" s="10" t="s">
        <v>117</v>
      </c>
      <c r="E58" s="10" t="s">
        <v>495</v>
      </c>
      <c r="F58" s="13" t="s">
        <v>60</v>
      </c>
      <c r="G58" s="13" t="s">
        <v>61</v>
      </c>
      <c r="H58" s="8" t="s">
        <v>496</v>
      </c>
      <c r="I58" s="8" t="s">
        <v>487</v>
      </c>
      <c r="J58" s="13">
        <f>COUNTIF('Keyword Master Database'!$D$2:$D$287,A58)</f>
        <v>4</v>
      </c>
    </row>
    <row r="59" ht="15.75" customHeight="1">
      <c r="A59" s="18" t="s">
        <v>497</v>
      </c>
      <c r="B59" s="20" t="s">
        <v>498</v>
      </c>
      <c r="C59" s="6" t="s">
        <v>499</v>
      </c>
      <c r="D59" s="6" t="s">
        <v>117</v>
      </c>
      <c r="E59" s="6" t="s">
        <v>503</v>
      </c>
      <c r="F59" s="22" t="s">
        <v>60</v>
      </c>
      <c r="G59" s="22" t="s">
        <v>61</v>
      </c>
      <c r="H59" s="20" t="s">
        <v>504</v>
      </c>
      <c r="I59" s="20" t="s">
        <v>487</v>
      </c>
      <c r="J59" s="22">
        <f>COUNTIF('Keyword Master Database'!$D$2:$D$287,A59)</f>
        <v>2</v>
      </c>
    </row>
    <row r="60" ht="15.75" customHeight="1">
      <c r="A60" s="7" t="s">
        <v>508</v>
      </c>
      <c r="B60" s="8" t="s">
        <v>509</v>
      </c>
      <c r="C60" s="10" t="s">
        <v>510</v>
      </c>
      <c r="D60" s="10" t="s">
        <v>117</v>
      </c>
      <c r="E60" s="10" t="s">
        <v>511</v>
      </c>
      <c r="F60" s="13" t="s">
        <v>60</v>
      </c>
      <c r="G60" s="13" t="s">
        <v>61</v>
      </c>
      <c r="H60" s="8" t="s">
        <v>513</v>
      </c>
      <c r="I60" s="8" t="s">
        <v>487</v>
      </c>
      <c r="J60" s="13">
        <f>COUNTIF('Keyword Master Database'!$D$2:$D$287,A60)</f>
        <v>3</v>
      </c>
    </row>
    <row r="61" ht="15.75" customHeight="1">
      <c r="A61" s="18" t="s">
        <v>517</v>
      </c>
      <c r="B61" s="20" t="s">
        <v>519</v>
      </c>
      <c r="C61" s="6" t="s">
        <v>520</v>
      </c>
      <c r="D61" s="6" t="s">
        <v>117</v>
      </c>
      <c r="E61" s="6" t="s">
        <v>521</v>
      </c>
      <c r="F61" s="22" t="s">
        <v>60</v>
      </c>
      <c r="G61" s="22" t="s">
        <v>61</v>
      </c>
      <c r="H61" s="20" t="s">
        <v>522</v>
      </c>
      <c r="I61" s="20" t="s">
        <v>446</v>
      </c>
      <c r="J61" s="22">
        <f>COUNTIF('Keyword Master Database'!$D$2:$D$287,A61)</f>
        <v>11</v>
      </c>
    </row>
    <row r="62" ht="15.75" customHeight="1">
      <c r="A62" s="7" t="s">
        <v>524</v>
      </c>
      <c r="B62" s="8" t="s">
        <v>525</v>
      </c>
      <c r="C62" s="10" t="s">
        <v>526</v>
      </c>
      <c r="D62" s="10" t="s">
        <v>117</v>
      </c>
      <c r="E62" s="10" t="s">
        <v>527</v>
      </c>
      <c r="F62" s="13" t="s">
        <v>110</v>
      </c>
      <c r="G62" s="13" t="s">
        <v>61</v>
      </c>
      <c r="H62" s="8" t="s">
        <v>435</v>
      </c>
      <c r="I62" s="8" t="s">
        <v>437</v>
      </c>
      <c r="J62" s="13">
        <f>COUNTIF('Keyword Master Database'!$D$2:$D$287,A62)</f>
        <v>8</v>
      </c>
    </row>
    <row r="63" ht="15.75" customHeight="1">
      <c r="A63" s="18" t="s">
        <v>531</v>
      </c>
      <c r="B63" s="20" t="s">
        <v>532</v>
      </c>
      <c r="C63" s="6" t="s">
        <v>533</v>
      </c>
      <c r="D63" s="6" t="s">
        <v>117</v>
      </c>
      <c r="E63" s="6" t="s">
        <v>534</v>
      </c>
      <c r="F63" s="22" t="s">
        <v>60</v>
      </c>
      <c r="G63" s="22" t="s">
        <v>61</v>
      </c>
      <c r="H63" s="20" t="s">
        <v>535</v>
      </c>
      <c r="I63" s="20" t="s">
        <v>536</v>
      </c>
      <c r="J63" s="22">
        <f>COUNTIF('Keyword Master Database'!$D$2:$D$287,A63)</f>
        <v>7</v>
      </c>
    </row>
    <row r="64" ht="15.75" customHeight="1">
      <c r="A64" s="7" t="s">
        <v>540</v>
      </c>
      <c r="B64" s="8" t="s">
        <v>541</v>
      </c>
      <c r="C64" s="10" t="s">
        <v>542</v>
      </c>
      <c r="D64" s="10" t="s">
        <v>117</v>
      </c>
      <c r="E64" s="10" t="s">
        <v>544</v>
      </c>
      <c r="F64" s="13" t="s">
        <v>60</v>
      </c>
      <c r="G64" s="13" t="s">
        <v>61</v>
      </c>
      <c r="H64" s="8" t="s">
        <v>545</v>
      </c>
      <c r="I64" s="8" t="s">
        <v>536</v>
      </c>
      <c r="J64" s="13">
        <f>COUNTIF('Keyword Master Database'!$D$2:$D$287,A64)</f>
        <v>3</v>
      </c>
    </row>
    <row r="65" ht="15.75" customHeight="1">
      <c r="A65" s="18" t="s">
        <v>551</v>
      </c>
      <c r="B65" s="20" t="s">
        <v>553</v>
      </c>
      <c r="C65" s="6" t="s">
        <v>554</v>
      </c>
      <c r="D65" s="6" t="s">
        <v>117</v>
      </c>
      <c r="E65" s="6" t="s">
        <v>556</v>
      </c>
      <c r="F65" s="22" t="s">
        <v>60</v>
      </c>
      <c r="G65" s="22" t="s">
        <v>61</v>
      </c>
      <c r="H65" s="20" t="s">
        <v>557</v>
      </c>
      <c r="I65" s="20" t="s">
        <v>536</v>
      </c>
      <c r="J65" s="22">
        <f>COUNTIF('Keyword Master Database'!$D$2:$D$287,A65)</f>
        <v>3</v>
      </c>
    </row>
    <row r="66" ht="15.75" customHeight="1">
      <c r="A66" s="7" t="s">
        <v>560</v>
      </c>
      <c r="B66" s="8" t="s">
        <v>561</v>
      </c>
      <c r="C66" s="10" t="s">
        <v>562</v>
      </c>
      <c r="D66" s="10" t="s">
        <v>117</v>
      </c>
      <c r="E66" s="10" t="s">
        <v>563</v>
      </c>
      <c r="F66" s="13" t="s">
        <v>60</v>
      </c>
      <c r="G66" s="13" t="s">
        <v>61</v>
      </c>
      <c r="H66" s="8" t="s">
        <v>564</v>
      </c>
      <c r="I66" s="8" t="s">
        <v>536</v>
      </c>
      <c r="J66" s="13">
        <f>COUNTIF('Keyword Master Database'!$D$2:$D$287,A66)</f>
        <v>7</v>
      </c>
    </row>
    <row r="67" ht="15.75" customHeight="1">
      <c r="A67" s="18" t="s">
        <v>567</v>
      </c>
      <c r="B67" s="20" t="s">
        <v>568</v>
      </c>
      <c r="C67" s="6" t="s">
        <v>569</v>
      </c>
      <c r="D67" s="6" t="s">
        <v>117</v>
      </c>
      <c r="E67" s="6" t="s">
        <v>570</v>
      </c>
      <c r="F67" s="22" t="s">
        <v>60</v>
      </c>
      <c r="G67" s="22" t="s">
        <v>61</v>
      </c>
      <c r="H67" s="20" t="s">
        <v>571</v>
      </c>
      <c r="I67" s="20" t="s">
        <v>536</v>
      </c>
      <c r="J67" s="22">
        <f>COUNTIF('Keyword Master Database'!$D$2:$D$287,A67)</f>
        <v>3</v>
      </c>
    </row>
    <row r="68" ht="15.75" customHeight="1">
      <c r="A68" s="7" t="s">
        <v>575</v>
      </c>
      <c r="B68" s="8" t="s">
        <v>576</v>
      </c>
      <c r="C68" s="10" t="s">
        <v>577</v>
      </c>
      <c r="D68" s="10" t="s">
        <v>578</v>
      </c>
      <c r="E68" s="10" t="s">
        <v>579</v>
      </c>
      <c r="F68" s="13" t="s">
        <v>95</v>
      </c>
      <c r="G68" s="13" t="s">
        <v>100</v>
      </c>
      <c r="H68" s="8" t="s">
        <v>580</v>
      </c>
      <c r="I68" s="8" t="s">
        <v>102</v>
      </c>
      <c r="J68" s="13">
        <f>COUNTIF('Keyword Master Database'!$D$2:$D$287,A68)</f>
        <v>2</v>
      </c>
    </row>
    <row r="69" ht="15.75" customHeight="1">
      <c r="A69" s="18" t="s">
        <v>581</v>
      </c>
      <c r="B69" s="20" t="s">
        <v>582</v>
      </c>
      <c r="C69" s="6" t="s">
        <v>583</v>
      </c>
      <c r="D69" s="6" t="s">
        <v>117</v>
      </c>
      <c r="E69" s="6" t="s">
        <v>585</v>
      </c>
      <c r="F69" s="22" t="s">
        <v>120</v>
      </c>
      <c r="G69" s="22" t="s">
        <v>191</v>
      </c>
      <c r="H69" s="20" t="s">
        <v>586</v>
      </c>
      <c r="I69" s="20" t="s">
        <v>102</v>
      </c>
      <c r="J69" s="22">
        <f>COUNTIF('Keyword Master Database'!$D$2:$D$287,A69)</f>
        <v>3</v>
      </c>
    </row>
    <row r="70" ht="15.75" customHeight="1">
      <c r="A70" s="7" t="s">
        <v>587</v>
      </c>
      <c r="B70" s="8" t="s">
        <v>588</v>
      </c>
      <c r="C70" s="10" t="s">
        <v>589</v>
      </c>
      <c r="D70" s="10" t="s">
        <v>117</v>
      </c>
      <c r="E70" s="10" t="s">
        <v>590</v>
      </c>
      <c r="F70" s="13" t="s">
        <v>120</v>
      </c>
      <c r="G70" s="13" t="s">
        <v>191</v>
      </c>
      <c r="H70" s="8" t="s">
        <v>591</v>
      </c>
      <c r="I70" s="8" t="s">
        <v>102</v>
      </c>
      <c r="J70" s="13">
        <f>COUNTIF('Keyword Master Database'!$D$2:$D$287,A70)</f>
        <v>3</v>
      </c>
    </row>
    <row r="71" ht="15.75" customHeight="1">
      <c r="A71" s="18" t="s">
        <v>595</v>
      </c>
      <c r="B71" s="20" t="s">
        <v>596</v>
      </c>
      <c r="C71" s="6" t="s">
        <v>597</v>
      </c>
      <c r="D71" s="6" t="s">
        <v>117</v>
      </c>
      <c r="E71" s="6" t="s">
        <v>598</v>
      </c>
      <c r="F71" s="22" t="s">
        <v>120</v>
      </c>
      <c r="G71" s="22" t="s">
        <v>191</v>
      </c>
      <c r="H71" s="20" t="s">
        <v>599</v>
      </c>
      <c r="I71" s="20" t="s">
        <v>102</v>
      </c>
      <c r="J71" s="22">
        <f>COUNTIF('Keyword Master Database'!$D$2:$D$287,A71)</f>
        <v>2</v>
      </c>
    </row>
    <row r="72" ht="15.75" customHeight="1">
      <c r="A72" s="7" t="s">
        <v>600</v>
      </c>
      <c r="B72" s="8" t="s">
        <v>601</v>
      </c>
      <c r="C72" s="10" t="s">
        <v>602</v>
      </c>
      <c r="D72" s="10" t="s">
        <v>117</v>
      </c>
      <c r="E72" s="10" t="s">
        <v>603</v>
      </c>
      <c r="F72" s="13" t="s">
        <v>120</v>
      </c>
      <c r="G72" s="13" t="s">
        <v>191</v>
      </c>
      <c r="H72" s="8" t="s">
        <v>604</v>
      </c>
      <c r="I72" s="8" t="s">
        <v>102</v>
      </c>
      <c r="J72" s="13">
        <f>COUNTIF('Keyword Master Database'!$D$2:$D$287,A72)</f>
        <v>2</v>
      </c>
    </row>
    <row r="73" ht="15.75" customHeight="1">
      <c r="A73" s="18" t="s">
        <v>609</v>
      </c>
      <c r="B73" s="20" t="s">
        <v>610</v>
      </c>
      <c r="C73" s="6" t="s">
        <v>112</v>
      </c>
      <c r="D73" s="6" t="s">
        <v>117</v>
      </c>
      <c r="E73" s="6" t="s">
        <v>612</v>
      </c>
      <c r="F73" s="22" t="s">
        <v>120</v>
      </c>
      <c r="G73" s="22" t="s">
        <v>191</v>
      </c>
      <c r="H73" s="20" t="s">
        <v>613</v>
      </c>
      <c r="I73" s="20" t="s">
        <v>102</v>
      </c>
      <c r="J73" s="22">
        <f>COUNTIF('Keyword Master Database'!$D$2:$D$287,A73)</f>
        <v>1</v>
      </c>
    </row>
    <row r="74" ht="15.75" customHeight="1">
      <c r="A74" s="7" t="s">
        <v>617</v>
      </c>
      <c r="B74" s="8" t="s">
        <v>619</v>
      </c>
      <c r="C74" s="10" t="s">
        <v>112</v>
      </c>
      <c r="D74" s="10" t="s">
        <v>117</v>
      </c>
      <c r="E74" s="10" t="s">
        <v>621</v>
      </c>
      <c r="F74" s="13" t="s">
        <v>120</v>
      </c>
      <c r="G74" s="13" t="s">
        <v>191</v>
      </c>
      <c r="H74" s="8" t="s">
        <v>622</v>
      </c>
      <c r="I74" s="8" t="s">
        <v>102</v>
      </c>
      <c r="J74" s="13">
        <f>COUNTIF('Keyword Master Database'!$D$2:$D$287,A74)</f>
        <v>1</v>
      </c>
    </row>
    <row r="75" ht="15.75" customHeight="1">
      <c r="A75" s="18" t="s">
        <v>623</v>
      </c>
      <c r="B75" s="20" t="s">
        <v>624</v>
      </c>
      <c r="C75" s="6" t="s">
        <v>112</v>
      </c>
      <c r="D75" s="6" t="s">
        <v>117</v>
      </c>
      <c r="E75" s="6" t="s">
        <v>625</v>
      </c>
      <c r="F75" s="22" t="s">
        <v>120</v>
      </c>
      <c r="G75" s="22" t="s">
        <v>191</v>
      </c>
      <c r="H75" s="20" t="s">
        <v>626</v>
      </c>
      <c r="I75" s="20" t="s">
        <v>102</v>
      </c>
      <c r="J75" s="22">
        <f>COUNTIF('Keyword Master Database'!$D$2:$D$287,A75)</f>
        <v>1</v>
      </c>
    </row>
    <row r="76" ht="15.75" customHeight="1">
      <c r="A76" s="7" t="s">
        <v>628</v>
      </c>
      <c r="B76" s="8" t="s">
        <v>629</v>
      </c>
      <c r="C76" s="10" t="s">
        <v>630</v>
      </c>
      <c r="D76" s="10" t="s">
        <v>631</v>
      </c>
      <c r="E76" s="10" t="s">
        <v>632</v>
      </c>
      <c r="F76" s="13" t="s">
        <v>95</v>
      </c>
      <c r="G76" s="13" t="s">
        <v>100</v>
      </c>
      <c r="H76" s="8" t="s">
        <v>634</v>
      </c>
      <c r="I76" s="8" t="s">
        <v>102</v>
      </c>
      <c r="J76" s="13">
        <f>COUNTIF('Keyword Master Database'!$D$2:$D$287,A76)</f>
        <v>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30.0"/>
    <col customWidth="1" min="3" max="3" width="40.0"/>
    <col customWidth="1" min="4" max="4" width="36.0"/>
    <col customWidth="1" min="5" max="5" width="40.0"/>
    <col customWidth="1" min="6" max="6" width="38.0"/>
    <col customWidth="1" min="7" max="7" width="46.0"/>
    <col customWidth="1" min="8" max="26" width="8.71"/>
  </cols>
  <sheetData>
    <row r="1" ht="30.0" customHeight="1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</row>
    <row r="2" ht="61.5" customHeight="1">
      <c r="A2" s="32" t="s">
        <v>209</v>
      </c>
      <c r="B2" s="32" t="s">
        <v>213</v>
      </c>
      <c r="C2" s="32" t="s">
        <v>214</v>
      </c>
      <c r="D2" s="32" t="s">
        <v>215</v>
      </c>
      <c r="E2" s="32" t="s">
        <v>216</v>
      </c>
      <c r="F2" s="32" t="s">
        <v>217</v>
      </c>
      <c r="G2" s="32" t="s">
        <v>219</v>
      </c>
    </row>
    <row r="3" ht="61.5" customHeight="1">
      <c r="A3" s="33" t="s">
        <v>220</v>
      </c>
      <c r="B3" s="33" t="s">
        <v>221</v>
      </c>
      <c r="C3" s="33" t="s">
        <v>222</v>
      </c>
      <c r="D3" s="33" t="s">
        <v>223</v>
      </c>
      <c r="E3" s="33" t="s">
        <v>224</v>
      </c>
      <c r="F3" s="33" t="s">
        <v>225</v>
      </c>
      <c r="G3" s="33" t="s">
        <v>226</v>
      </c>
    </row>
    <row r="4" ht="61.5" customHeight="1">
      <c r="A4" s="32" t="s">
        <v>227</v>
      </c>
      <c r="B4" s="32" t="s">
        <v>228</v>
      </c>
      <c r="C4" s="32" t="s">
        <v>229</v>
      </c>
      <c r="D4" s="32" t="s">
        <v>231</v>
      </c>
      <c r="E4" s="32" t="s">
        <v>233</v>
      </c>
      <c r="F4" s="32" t="s">
        <v>235</v>
      </c>
      <c r="G4" s="32" t="s">
        <v>237</v>
      </c>
    </row>
    <row r="5" ht="61.5" customHeight="1">
      <c r="A5" s="33" t="s">
        <v>239</v>
      </c>
      <c r="B5" s="33" t="s">
        <v>240</v>
      </c>
      <c r="C5" s="33" t="s">
        <v>242</v>
      </c>
      <c r="D5" s="33" t="s">
        <v>243</v>
      </c>
      <c r="E5" s="33" t="s">
        <v>244</v>
      </c>
      <c r="F5" s="33" t="s">
        <v>245</v>
      </c>
      <c r="G5" s="33" t="s">
        <v>246</v>
      </c>
    </row>
    <row r="6" ht="61.5" customHeight="1">
      <c r="A6" s="32" t="s">
        <v>247</v>
      </c>
      <c r="B6" s="32" t="s">
        <v>248</v>
      </c>
      <c r="C6" s="32" t="s">
        <v>250</v>
      </c>
      <c r="D6" s="32" t="s">
        <v>251</v>
      </c>
      <c r="E6" s="32" t="s">
        <v>252</v>
      </c>
      <c r="F6" s="32" t="s">
        <v>254</v>
      </c>
      <c r="G6" s="32" t="s">
        <v>255</v>
      </c>
    </row>
    <row r="7" ht="61.5" customHeight="1">
      <c r="A7" s="33" t="s">
        <v>257</v>
      </c>
      <c r="B7" s="33" t="s">
        <v>258</v>
      </c>
      <c r="C7" s="33" t="s">
        <v>260</v>
      </c>
      <c r="D7" s="33" t="s">
        <v>262</v>
      </c>
      <c r="E7" s="33" t="s">
        <v>264</v>
      </c>
      <c r="F7" s="33" t="s">
        <v>265</v>
      </c>
      <c r="G7" s="33" t="s">
        <v>266</v>
      </c>
    </row>
    <row r="8" ht="61.5" customHeight="1">
      <c r="A8" s="32" t="s">
        <v>267</v>
      </c>
      <c r="B8" s="32" t="s">
        <v>248</v>
      </c>
      <c r="C8" s="32" t="s">
        <v>268</v>
      </c>
      <c r="D8" s="32" t="s">
        <v>269</v>
      </c>
      <c r="E8" s="32" t="s">
        <v>270</v>
      </c>
      <c r="F8" s="32" t="s">
        <v>272</v>
      </c>
      <c r="G8" s="32" t="s">
        <v>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9.57"/>
    <col customWidth="1" min="2" max="2" width="36.57"/>
    <col customWidth="1" min="3" max="3" width="35.14"/>
    <col customWidth="1" min="4" max="4" width="63.86"/>
    <col customWidth="1" min="5" max="5" width="11.71"/>
    <col customWidth="1" min="6" max="6" width="7.29"/>
    <col customWidth="1" min="7" max="7" width="13.86"/>
    <col customWidth="1" min="8" max="8" width="7.86"/>
    <col customWidth="1" min="9" max="9" width="15.43"/>
    <col customWidth="1" min="10" max="10" width="12.0"/>
    <col customWidth="1" min="11" max="26" width="8.71"/>
  </cols>
  <sheetData>
    <row r="1">
      <c r="A1" s="1" t="s">
        <v>203</v>
      </c>
      <c r="B1" s="1" t="s">
        <v>359</v>
      </c>
      <c r="C1" s="1" t="s">
        <v>6</v>
      </c>
      <c r="D1" s="1" t="s">
        <v>9</v>
      </c>
      <c r="E1" s="1" t="s">
        <v>17</v>
      </c>
      <c r="F1" s="1" t="s">
        <v>8</v>
      </c>
      <c r="G1" s="1" t="s">
        <v>360</v>
      </c>
      <c r="H1" s="1" t="s">
        <v>361</v>
      </c>
      <c r="I1" s="1" t="s">
        <v>362</v>
      </c>
      <c r="J1" s="1" t="s">
        <v>364</v>
      </c>
    </row>
    <row r="2">
      <c r="A2" s="7" t="s">
        <v>63</v>
      </c>
      <c r="B2" s="8" t="s">
        <v>31</v>
      </c>
      <c r="C2" s="8" t="s">
        <v>45</v>
      </c>
      <c r="D2" s="10" t="s">
        <v>372</v>
      </c>
      <c r="E2" s="13" t="s">
        <v>60</v>
      </c>
      <c r="F2" s="13" t="s">
        <v>61</v>
      </c>
      <c r="G2" s="13" t="s">
        <v>375</v>
      </c>
      <c r="H2" s="13" t="s">
        <v>141</v>
      </c>
      <c r="I2" s="13" t="s">
        <v>377</v>
      </c>
      <c r="J2" s="13">
        <f>COUNTIF('Keyword Master Database'!$X$2:$X$287,A2)</f>
        <v>7</v>
      </c>
    </row>
    <row r="3">
      <c r="A3" s="18" t="s">
        <v>101</v>
      </c>
      <c r="B3" s="20" t="s">
        <v>385</v>
      </c>
      <c r="C3" s="20" t="s">
        <v>370</v>
      </c>
      <c r="D3" s="6" t="s">
        <v>389</v>
      </c>
      <c r="E3" s="22" t="s">
        <v>95</v>
      </c>
      <c r="F3" s="22" t="s">
        <v>100</v>
      </c>
      <c r="G3" s="22" t="s">
        <v>391</v>
      </c>
      <c r="H3" s="22" t="s">
        <v>293</v>
      </c>
      <c r="I3" s="22" t="s">
        <v>377</v>
      </c>
      <c r="J3" s="22">
        <f>COUNTIF('Keyword Master Database'!$X$2:$X$287,A3)</f>
        <v>6</v>
      </c>
    </row>
    <row r="4">
      <c r="A4" s="7" t="s">
        <v>108</v>
      </c>
      <c r="B4" s="8" t="s">
        <v>103</v>
      </c>
      <c r="C4" s="8" t="s">
        <v>104</v>
      </c>
      <c r="D4" s="10" t="s">
        <v>398</v>
      </c>
      <c r="E4" s="13" t="s">
        <v>60</v>
      </c>
      <c r="F4" s="13" t="s">
        <v>61</v>
      </c>
      <c r="G4" s="13" t="s">
        <v>375</v>
      </c>
      <c r="H4" s="13" t="s">
        <v>141</v>
      </c>
      <c r="I4" s="13" t="s">
        <v>403</v>
      </c>
      <c r="J4" s="13">
        <f>COUNTIF('Keyword Master Database'!$X$2:$X$287,A4)</f>
        <v>9</v>
      </c>
    </row>
    <row r="5">
      <c r="A5" s="18" t="s">
        <v>113</v>
      </c>
      <c r="B5" s="20" t="s">
        <v>415</v>
      </c>
      <c r="C5" s="20" t="s">
        <v>106</v>
      </c>
      <c r="D5" s="6" t="s">
        <v>112</v>
      </c>
      <c r="E5" s="22" t="s">
        <v>95</v>
      </c>
      <c r="F5" s="22" t="s">
        <v>100</v>
      </c>
      <c r="G5" s="22" t="s">
        <v>391</v>
      </c>
      <c r="H5" s="22" t="s">
        <v>293</v>
      </c>
      <c r="I5" s="22" t="s">
        <v>377</v>
      </c>
      <c r="J5" s="22">
        <f>COUNTIF('Keyword Master Database'!$X$2:$X$287,A5)</f>
        <v>1</v>
      </c>
    </row>
    <row r="6">
      <c r="A6" s="7" t="s">
        <v>119</v>
      </c>
      <c r="B6" s="8" t="s">
        <v>114</v>
      </c>
      <c r="C6" s="8" t="s">
        <v>421</v>
      </c>
      <c r="D6" s="10" t="s">
        <v>422</v>
      </c>
      <c r="E6" s="13" t="s">
        <v>60</v>
      </c>
      <c r="F6" s="13" t="s">
        <v>61</v>
      </c>
      <c r="G6" s="13" t="s">
        <v>375</v>
      </c>
      <c r="H6" s="13" t="s">
        <v>141</v>
      </c>
      <c r="I6" s="13" t="s">
        <v>403</v>
      </c>
      <c r="J6" s="13">
        <f>COUNTIF('Keyword Master Database'!$X$2:$X$287,A6)</f>
        <v>9</v>
      </c>
    </row>
    <row r="7">
      <c r="A7" s="18" t="s">
        <v>126</v>
      </c>
      <c r="B7" s="20" t="s">
        <v>121</v>
      </c>
      <c r="C7" s="20" t="s">
        <v>428</v>
      </c>
      <c r="D7" s="6" t="s">
        <v>429</v>
      </c>
      <c r="E7" s="22" t="s">
        <v>60</v>
      </c>
      <c r="F7" s="22" t="s">
        <v>61</v>
      </c>
      <c r="G7" s="22" t="s">
        <v>375</v>
      </c>
      <c r="H7" s="22" t="s">
        <v>141</v>
      </c>
      <c r="I7" s="22" t="s">
        <v>377</v>
      </c>
      <c r="J7" s="22">
        <f>COUNTIF('Keyword Master Database'!$X$2:$X$287,A7)</f>
        <v>7</v>
      </c>
    </row>
    <row r="8">
      <c r="A8" s="7" t="s">
        <v>130</v>
      </c>
      <c r="B8" s="8" t="s">
        <v>434</v>
      </c>
      <c r="C8" s="8" t="s">
        <v>436</v>
      </c>
      <c r="D8" s="10" t="s">
        <v>438</v>
      </c>
      <c r="E8" s="13" t="s">
        <v>95</v>
      </c>
      <c r="F8" s="13" t="s">
        <v>100</v>
      </c>
      <c r="G8" s="13" t="s">
        <v>391</v>
      </c>
      <c r="H8" s="13" t="s">
        <v>293</v>
      </c>
      <c r="I8" s="13" t="s">
        <v>377</v>
      </c>
      <c r="J8" s="13">
        <f>COUNTIF('Keyword Master Database'!$X$2:$X$287,A8)</f>
        <v>3</v>
      </c>
    </row>
    <row r="9">
      <c r="A9" s="18" t="s">
        <v>136</v>
      </c>
      <c r="B9" s="20" t="s">
        <v>131</v>
      </c>
      <c r="C9" s="20" t="s">
        <v>132</v>
      </c>
      <c r="D9" s="6" t="s">
        <v>440</v>
      </c>
      <c r="E9" s="22" t="s">
        <v>60</v>
      </c>
      <c r="F9" s="22" t="s">
        <v>61</v>
      </c>
      <c r="G9" s="22" t="s">
        <v>375</v>
      </c>
      <c r="H9" s="22" t="s">
        <v>141</v>
      </c>
      <c r="I9" s="22" t="s">
        <v>377</v>
      </c>
      <c r="J9" s="22">
        <f>COUNTIF('Keyword Master Database'!$X$2:$X$287,A9)</f>
        <v>6</v>
      </c>
    </row>
    <row r="10">
      <c r="A10" s="7" t="s">
        <v>140</v>
      </c>
      <c r="B10" s="8" t="s">
        <v>447</v>
      </c>
      <c r="C10" s="8" t="s">
        <v>448</v>
      </c>
      <c r="D10" s="10" t="s">
        <v>449</v>
      </c>
      <c r="E10" s="13" t="s">
        <v>95</v>
      </c>
      <c r="F10" s="13" t="s">
        <v>100</v>
      </c>
      <c r="G10" s="13" t="s">
        <v>391</v>
      </c>
      <c r="H10" s="13" t="s">
        <v>293</v>
      </c>
      <c r="I10" s="13" t="s">
        <v>377</v>
      </c>
      <c r="J10" s="13">
        <f>COUNTIF('Keyword Master Database'!$X$2:$X$287,A10)</f>
        <v>3</v>
      </c>
    </row>
    <row r="11">
      <c r="A11" s="18" t="s">
        <v>149</v>
      </c>
      <c r="B11" s="20" t="s">
        <v>144</v>
      </c>
      <c r="C11" s="20" t="s">
        <v>455</v>
      </c>
      <c r="D11" s="6" t="s">
        <v>456</v>
      </c>
      <c r="E11" s="22" t="s">
        <v>60</v>
      </c>
      <c r="F11" s="22" t="s">
        <v>61</v>
      </c>
      <c r="G11" s="22" t="s">
        <v>375</v>
      </c>
      <c r="H11" s="22" t="s">
        <v>141</v>
      </c>
      <c r="I11" s="22" t="s">
        <v>403</v>
      </c>
      <c r="J11" s="22">
        <f>COUNTIF('Keyword Master Database'!$X$2:$X$287,A11)</f>
        <v>8</v>
      </c>
    </row>
    <row r="12">
      <c r="A12" s="7" t="s">
        <v>152</v>
      </c>
      <c r="B12" s="8" t="s">
        <v>461</v>
      </c>
      <c r="C12" s="8" t="s">
        <v>147</v>
      </c>
      <c r="D12" s="10" t="s">
        <v>112</v>
      </c>
      <c r="E12" s="13" t="s">
        <v>95</v>
      </c>
      <c r="F12" s="13" t="s">
        <v>100</v>
      </c>
      <c r="G12" s="13" t="s">
        <v>391</v>
      </c>
      <c r="H12" s="13" t="s">
        <v>293</v>
      </c>
      <c r="I12" s="13" t="s">
        <v>377</v>
      </c>
      <c r="J12" s="13">
        <f>COUNTIF('Keyword Master Database'!$X$2:$X$287,A12)</f>
        <v>1</v>
      </c>
    </row>
    <row r="13">
      <c r="A13" s="18" t="s">
        <v>158</v>
      </c>
      <c r="B13" s="20" t="s">
        <v>153</v>
      </c>
      <c r="C13" s="20" t="s">
        <v>154</v>
      </c>
      <c r="D13" s="6" t="s">
        <v>464</v>
      </c>
      <c r="E13" s="22" t="s">
        <v>60</v>
      </c>
      <c r="F13" s="22" t="s">
        <v>61</v>
      </c>
      <c r="G13" s="22" t="s">
        <v>375</v>
      </c>
      <c r="H13" s="22" t="s">
        <v>141</v>
      </c>
      <c r="I13" s="22" t="s">
        <v>377</v>
      </c>
      <c r="J13" s="22">
        <f>COUNTIF('Keyword Master Database'!$X$2:$X$287,A13)</f>
        <v>6</v>
      </c>
    </row>
    <row r="14">
      <c r="A14" s="7" t="s">
        <v>162</v>
      </c>
      <c r="B14" s="8" t="s">
        <v>465</v>
      </c>
      <c r="C14" s="8" t="s">
        <v>466</v>
      </c>
      <c r="D14" s="10" t="s">
        <v>467</v>
      </c>
      <c r="E14" s="13" t="s">
        <v>95</v>
      </c>
      <c r="F14" s="13" t="s">
        <v>100</v>
      </c>
      <c r="G14" s="13" t="s">
        <v>391</v>
      </c>
      <c r="H14" s="13" t="s">
        <v>293</v>
      </c>
      <c r="I14" s="13" t="s">
        <v>377</v>
      </c>
      <c r="J14" s="13">
        <f>COUNTIF('Keyword Master Database'!$X$2:$X$287,A14)</f>
        <v>4</v>
      </c>
    </row>
    <row r="15">
      <c r="A15" s="18" t="s">
        <v>168</v>
      </c>
      <c r="B15" s="20" t="s">
        <v>163</v>
      </c>
      <c r="C15" s="20" t="s">
        <v>474</v>
      </c>
      <c r="D15" s="6" t="s">
        <v>475</v>
      </c>
      <c r="E15" s="22" t="s">
        <v>60</v>
      </c>
      <c r="F15" s="22" t="s">
        <v>61</v>
      </c>
      <c r="G15" s="22" t="s">
        <v>375</v>
      </c>
      <c r="H15" s="22" t="s">
        <v>141</v>
      </c>
      <c r="I15" s="22" t="s">
        <v>377</v>
      </c>
      <c r="J15" s="22">
        <f>COUNTIF('Keyword Master Database'!$X$2:$X$287,A15)</f>
        <v>4</v>
      </c>
    </row>
    <row r="16">
      <c r="A16" s="7" t="s">
        <v>174</v>
      </c>
      <c r="B16" s="8" t="s">
        <v>481</v>
      </c>
      <c r="C16" s="8" t="s">
        <v>170</v>
      </c>
      <c r="D16" s="10" t="s">
        <v>171</v>
      </c>
      <c r="E16" s="13" t="s">
        <v>95</v>
      </c>
      <c r="F16" s="13" t="s">
        <v>100</v>
      </c>
      <c r="G16" s="13" t="s">
        <v>391</v>
      </c>
      <c r="H16" s="13" t="s">
        <v>293</v>
      </c>
      <c r="I16" s="13" t="s">
        <v>377</v>
      </c>
      <c r="J16" s="13">
        <f>COUNTIF('Keyword Master Database'!$X$2:$X$287,A16)</f>
        <v>3</v>
      </c>
    </row>
    <row r="17">
      <c r="A17" s="18" t="s">
        <v>180</v>
      </c>
      <c r="B17" s="20" t="s">
        <v>175</v>
      </c>
      <c r="C17" s="20" t="s">
        <v>488</v>
      </c>
      <c r="D17" s="6" t="s">
        <v>489</v>
      </c>
      <c r="E17" s="22" t="s">
        <v>60</v>
      </c>
      <c r="F17" s="22" t="s">
        <v>61</v>
      </c>
      <c r="G17" s="22" t="s">
        <v>375</v>
      </c>
      <c r="H17" s="22" t="s">
        <v>141</v>
      </c>
      <c r="I17" s="22" t="s">
        <v>377</v>
      </c>
      <c r="J17" s="22">
        <f>COUNTIF('Keyword Master Database'!$X$2:$X$287,A17)</f>
        <v>8</v>
      </c>
    </row>
    <row r="18">
      <c r="A18" s="7" t="s">
        <v>182</v>
      </c>
      <c r="B18" s="8" t="s">
        <v>494</v>
      </c>
      <c r="C18" s="8" t="s">
        <v>178</v>
      </c>
      <c r="D18" s="10" t="s">
        <v>112</v>
      </c>
      <c r="E18" s="13" t="s">
        <v>95</v>
      </c>
      <c r="F18" s="13" t="s">
        <v>100</v>
      </c>
      <c r="G18" s="13" t="s">
        <v>391</v>
      </c>
      <c r="H18" s="13" t="s">
        <v>293</v>
      </c>
      <c r="I18" s="13" t="s">
        <v>377</v>
      </c>
      <c r="J18" s="13">
        <f>COUNTIF('Keyword Master Database'!$X$2:$X$287,A18)</f>
        <v>1</v>
      </c>
    </row>
    <row r="19">
      <c r="A19" s="18" t="s">
        <v>188</v>
      </c>
      <c r="B19" s="20" t="s">
        <v>183</v>
      </c>
      <c r="C19" s="20" t="s">
        <v>500</v>
      </c>
      <c r="D19" s="6" t="s">
        <v>501</v>
      </c>
      <c r="E19" s="22" t="s">
        <v>60</v>
      </c>
      <c r="F19" s="22" t="s">
        <v>61</v>
      </c>
      <c r="G19" s="22" t="s">
        <v>375</v>
      </c>
      <c r="H19" s="22" t="s">
        <v>141</v>
      </c>
      <c r="I19" s="22" t="s">
        <v>377</v>
      </c>
      <c r="J19" s="22">
        <f>COUNTIF('Keyword Master Database'!$X$2:$X$287,A19)</f>
        <v>6</v>
      </c>
    </row>
    <row r="20">
      <c r="A20" s="7" t="s">
        <v>195</v>
      </c>
      <c r="B20" s="8" t="s">
        <v>505</v>
      </c>
      <c r="C20" s="8" t="s">
        <v>506</v>
      </c>
      <c r="D20" s="10" t="s">
        <v>507</v>
      </c>
      <c r="E20" s="13" t="s">
        <v>95</v>
      </c>
      <c r="F20" s="13" t="s">
        <v>100</v>
      </c>
      <c r="G20" s="13" t="s">
        <v>391</v>
      </c>
      <c r="H20" s="13" t="s">
        <v>293</v>
      </c>
      <c r="I20" s="13" t="s">
        <v>377</v>
      </c>
      <c r="J20" s="13">
        <f>COUNTIF('Keyword Master Database'!$X$2:$X$287,A20)</f>
        <v>4</v>
      </c>
    </row>
    <row r="21" ht="15.75" customHeight="1">
      <c r="A21" s="18" t="s">
        <v>201</v>
      </c>
      <c r="B21" s="20" t="s">
        <v>196</v>
      </c>
      <c r="C21" s="20" t="s">
        <v>515</v>
      </c>
      <c r="D21" s="6" t="s">
        <v>516</v>
      </c>
      <c r="E21" s="22" t="s">
        <v>60</v>
      </c>
      <c r="F21" s="22" t="s">
        <v>61</v>
      </c>
      <c r="G21" s="22" t="s">
        <v>375</v>
      </c>
      <c r="H21" s="22" t="s">
        <v>141</v>
      </c>
      <c r="I21" s="22" t="s">
        <v>377</v>
      </c>
      <c r="J21" s="22">
        <f>COUNTIF('Keyword Master Database'!$X$2:$X$287,A21)</f>
        <v>5</v>
      </c>
    </row>
    <row r="22" ht="15.75" customHeight="1">
      <c r="A22" s="7" t="s">
        <v>218</v>
      </c>
      <c r="B22" s="8" t="s">
        <v>523</v>
      </c>
      <c r="C22" s="8" t="s">
        <v>212</v>
      </c>
      <c r="D22" s="10" t="s">
        <v>211</v>
      </c>
      <c r="E22" s="13" t="s">
        <v>95</v>
      </c>
      <c r="F22" s="13" t="s">
        <v>100</v>
      </c>
      <c r="G22" s="13" t="s">
        <v>391</v>
      </c>
      <c r="H22" s="13" t="s">
        <v>293</v>
      </c>
      <c r="I22" s="13" t="s">
        <v>377</v>
      </c>
      <c r="J22" s="13">
        <f>COUNTIF('Keyword Master Database'!$X$2:$X$287,A22)</f>
        <v>2</v>
      </c>
    </row>
    <row r="23" ht="15.75" customHeight="1">
      <c r="A23" s="18" t="s">
        <v>241</v>
      </c>
      <c r="B23" s="20" t="s">
        <v>230</v>
      </c>
      <c r="C23" s="20" t="s">
        <v>528</v>
      </c>
      <c r="D23" s="6" t="s">
        <v>529</v>
      </c>
      <c r="E23" s="22" t="s">
        <v>60</v>
      </c>
      <c r="F23" s="22" t="s">
        <v>61</v>
      </c>
      <c r="G23" s="22" t="s">
        <v>375</v>
      </c>
      <c r="H23" s="22" t="s">
        <v>141</v>
      </c>
      <c r="I23" s="22" t="s">
        <v>377</v>
      </c>
      <c r="J23" s="22">
        <f>COUNTIF('Keyword Master Database'!$X$2:$X$287,A23)</f>
        <v>6</v>
      </c>
    </row>
    <row r="24" ht="15.75" customHeight="1">
      <c r="A24" s="7" t="s">
        <v>271</v>
      </c>
      <c r="B24" s="8" t="s">
        <v>530</v>
      </c>
      <c r="C24" s="8" t="s">
        <v>263</v>
      </c>
      <c r="D24" s="10" t="s">
        <v>261</v>
      </c>
      <c r="E24" s="13" t="s">
        <v>95</v>
      </c>
      <c r="F24" s="13" t="s">
        <v>100</v>
      </c>
      <c r="G24" s="13" t="s">
        <v>391</v>
      </c>
      <c r="H24" s="13" t="s">
        <v>293</v>
      </c>
      <c r="I24" s="13" t="s">
        <v>377</v>
      </c>
      <c r="J24" s="13">
        <f>COUNTIF('Keyword Master Database'!$X$2:$X$287,A24)</f>
        <v>2</v>
      </c>
    </row>
    <row r="25" ht="15.75" customHeight="1">
      <c r="A25" s="18" t="s">
        <v>279</v>
      </c>
      <c r="B25" s="20" t="s">
        <v>274</v>
      </c>
      <c r="C25" s="20" t="s">
        <v>537</v>
      </c>
      <c r="D25" s="6" t="s">
        <v>538</v>
      </c>
      <c r="E25" s="22" t="s">
        <v>60</v>
      </c>
      <c r="F25" s="22" t="s">
        <v>61</v>
      </c>
      <c r="G25" s="22" t="s">
        <v>375</v>
      </c>
      <c r="H25" s="22" t="s">
        <v>141</v>
      </c>
      <c r="I25" s="22" t="s">
        <v>377</v>
      </c>
      <c r="J25" s="22">
        <f>COUNTIF('Keyword Master Database'!$X$2:$X$287,A25)</f>
        <v>7</v>
      </c>
    </row>
    <row r="26" ht="15.75" customHeight="1">
      <c r="A26" s="7" t="s">
        <v>283</v>
      </c>
      <c r="B26" s="8" t="s">
        <v>543</v>
      </c>
      <c r="C26" s="8" t="s">
        <v>277</v>
      </c>
      <c r="D26" s="10" t="s">
        <v>112</v>
      </c>
      <c r="E26" s="13" t="s">
        <v>95</v>
      </c>
      <c r="F26" s="13" t="s">
        <v>100</v>
      </c>
      <c r="G26" s="13" t="s">
        <v>391</v>
      </c>
      <c r="H26" s="13" t="s">
        <v>293</v>
      </c>
      <c r="I26" s="13" t="s">
        <v>377</v>
      </c>
      <c r="J26" s="13">
        <f>COUNTIF('Keyword Master Database'!$X$2:$X$287,A26)</f>
        <v>1</v>
      </c>
    </row>
    <row r="27" ht="15.75" customHeight="1">
      <c r="A27" s="18" t="s">
        <v>289</v>
      </c>
      <c r="B27" s="20" t="s">
        <v>284</v>
      </c>
      <c r="C27" s="20" t="s">
        <v>550</v>
      </c>
      <c r="D27" s="6" t="s">
        <v>552</v>
      </c>
      <c r="E27" s="22" t="s">
        <v>60</v>
      </c>
      <c r="F27" s="22" t="s">
        <v>61</v>
      </c>
      <c r="G27" s="22" t="s">
        <v>375</v>
      </c>
      <c r="H27" s="22" t="s">
        <v>141</v>
      </c>
      <c r="I27" s="22" t="s">
        <v>377</v>
      </c>
      <c r="J27" s="22">
        <f>COUNTIF('Keyword Master Database'!$X$2:$X$287,A27)</f>
        <v>6</v>
      </c>
    </row>
    <row r="28" ht="15.75" customHeight="1">
      <c r="A28" s="7" t="s">
        <v>296</v>
      </c>
      <c r="B28" s="8" t="s">
        <v>559</v>
      </c>
      <c r="C28" s="8" t="s">
        <v>291</v>
      </c>
      <c r="D28" s="10" t="s">
        <v>292</v>
      </c>
      <c r="E28" s="13" t="s">
        <v>95</v>
      </c>
      <c r="F28" s="13" t="s">
        <v>100</v>
      </c>
      <c r="G28" s="13" t="s">
        <v>391</v>
      </c>
      <c r="H28" s="13" t="s">
        <v>293</v>
      </c>
      <c r="I28" s="13" t="s">
        <v>377</v>
      </c>
      <c r="J28" s="13">
        <f>COUNTIF('Keyword Master Database'!$X$2:$X$287,A28)</f>
        <v>2</v>
      </c>
    </row>
    <row r="29" ht="15.75" customHeight="1">
      <c r="A29" s="18" t="s">
        <v>302</v>
      </c>
      <c r="B29" s="20" t="s">
        <v>297</v>
      </c>
      <c r="C29" s="20" t="s">
        <v>565</v>
      </c>
      <c r="D29" s="6" t="s">
        <v>566</v>
      </c>
      <c r="E29" s="22" t="s">
        <v>60</v>
      </c>
      <c r="F29" s="22" t="s">
        <v>61</v>
      </c>
      <c r="G29" s="22" t="s">
        <v>375</v>
      </c>
      <c r="H29" s="22" t="s">
        <v>141</v>
      </c>
      <c r="I29" s="22" t="s">
        <v>377</v>
      </c>
      <c r="J29" s="22">
        <f>COUNTIF('Keyword Master Database'!$X$2:$X$287,A29)</f>
        <v>3</v>
      </c>
    </row>
    <row r="30" ht="15.75" customHeight="1">
      <c r="A30" s="7" t="s">
        <v>308</v>
      </c>
      <c r="B30" s="8" t="s">
        <v>572</v>
      </c>
      <c r="C30" s="8" t="s">
        <v>573</v>
      </c>
      <c r="D30" s="10" t="s">
        <v>574</v>
      </c>
      <c r="E30" s="13" t="s">
        <v>95</v>
      </c>
      <c r="F30" s="13" t="s">
        <v>100</v>
      </c>
      <c r="G30" s="13" t="s">
        <v>391</v>
      </c>
      <c r="H30" s="13" t="s">
        <v>293</v>
      </c>
      <c r="I30" s="13" t="s">
        <v>377</v>
      </c>
      <c r="J30" s="13">
        <f>COUNTIF('Keyword Master Database'!$X$2:$X$287,A30)</f>
        <v>3</v>
      </c>
    </row>
    <row r="31" ht="15.75" customHeight="1">
      <c r="A31" s="18" t="s">
        <v>314</v>
      </c>
      <c r="B31" s="20" t="s">
        <v>309</v>
      </c>
      <c r="C31" s="20" t="s">
        <v>310</v>
      </c>
      <c r="D31" s="6" t="s">
        <v>311</v>
      </c>
      <c r="E31" s="22" t="s">
        <v>60</v>
      </c>
      <c r="F31" s="22" t="s">
        <v>61</v>
      </c>
      <c r="G31" s="22" t="s">
        <v>375</v>
      </c>
      <c r="H31" s="22" t="s">
        <v>141</v>
      </c>
      <c r="I31" s="22" t="s">
        <v>403</v>
      </c>
      <c r="J31" s="22">
        <f>COUNTIF('Keyword Master Database'!$X$2:$X$287,A31)</f>
        <v>5</v>
      </c>
    </row>
    <row r="32" ht="15.75" customHeight="1">
      <c r="A32" s="7" t="s">
        <v>319</v>
      </c>
      <c r="B32" s="8" t="s">
        <v>592</v>
      </c>
      <c r="C32" s="8" t="s">
        <v>593</v>
      </c>
      <c r="D32" s="10" t="s">
        <v>594</v>
      </c>
      <c r="E32" s="13" t="s">
        <v>95</v>
      </c>
      <c r="F32" s="13" t="s">
        <v>100</v>
      </c>
      <c r="G32" s="13" t="s">
        <v>391</v>
      </c>
      <c r="H32" s="13" t="s">
        <v>293</v>
      </c>
      <c r="I32" s="13" t="s">
        <v>377</v>
      </c>
      <c r="J32" s="13">
        <f>COUNTIF('Keyword Master Database'!$X$2:$X$287,A32)</f>
        <v>3</v>
      </c>
    </row>
    <row r="33" ht="15.75" customHeight="1">
      <c r="A33" s="18" t="s">
        <v>325</v>
      </c>
      <c r="B33" s="20" t="s">
        <v>320</v>
      </c>
      <c r="C33" s="20" t="s">
        <v>321</v>
      </c>
      <c r="D33" s="6" t="s">
        <v>322</v>
      </c>
      <c r="E33" s="22" t="s">
        <v>60</v>
      </c>
      <c r="F33" s="22" t="s">
        <v>61</v>
      </c>
      <c r="G33" s="22" t="s">
        <v>375</v>
      </c>
      <c r="H33" s="22" t="s">
        <v>141</v>
      </c>
      <c r="I33" s="22" t="s">
        <v>403</v>
      </c>
      <c r="J33" s="22">
        <f>COUNTIF('Keyword Master Database'!$X$2:$X$287,A33)</f>
        <v>5</v>
      </c>
    </row>
    <row r="34" ht="15.75" customHeight="1">
      <c r="A34" s="7" t="s">
        <v>327</v>
      </c>
      <c r="B34" s="8" t="s">
        <v>605</v>
      </c>
      <c r="C34" s="8" t="s">
        <v>323</v>
      </c>
      <c r="D34" s="10" t="s">
        <v>112</v>
      </c>
      <c r="E34" s="13" t="s">
        <v>95</v>
      </c>
      <c r="F34" s="13" t="s">
        <v>100</v>
      </c>
      <c r="G34" s="13" t="s">
        <v>391</v>
      </c>
      <c r="H34" s="13" t="s">
        <v>293</v>
      </c>
      <c r="I34" s="13" t="s">
        <v>377</v>
      </c>
      <c r="J34" s="13">
        <f>COUNTIF('Keyword Master Database'!$X$2:$X$287,A34)</f>
        <v>1</v>
      </c>
    </row>
    <row r="35" ht="15.75" customHeight="1">
      <c r="A35" s="18" t="s">
        <v>333</v>
      </c>
      <c r="B35" s="20" t="s">
        <v>329</v>
      </c>
      <c r="C35" s="20" t="s">
        <v>330</v>
      </c>
      <c r="D35" s="6" t="s">
        <v>112</v>
      </c>
      <c r="E35" s="22" t="s">
        <v>60</v>
      </c>
      <c r="F35" s="22" t="s">
        <v>61</v>
      </c>
      <c r="G35" s="22" t="s">
        <v>375</v>
      </c>
      <c r="H35" s="22" t="s">
        <v>141</v>
      </c>
      <c r="I35" s="22" t="s">
        <v>377</v>
      </c>
      <c r="J35" s="22">
        <f>COUNTIF('Keyword Master Database'!$X$2:$X$287,A35)</f>
        <v>1</v>
      </c>
    </row>
    <row r="36" ht="15.75" customHeight="1">
      <c r="A36" s="7" t="s">
        <v>337</v>
      </c>
      <c r="B36" s="8" t="s">
        <v>615</v>
      </c>
      <c r="C36" s="8" t="s">
        <v>616</v>
      </c>
      <c r="D36" s="10" t="s">
        <v>620</v>
      </c>
      <c r="E36" s="13" t="s">
        <v>95</v>
      </c>
      <c r="F36" s="13" t="s">
        <v>100</v>
      </c>
      <c r="G36" s="13" t="s">
        <v>391</v>
      </c>
      <c r="H36" s="13" t="s">
        <v>293</v>
      </c>
      <c r="I36" s="13" t="s">
        <v>377</v>
      </c>
      <c r="J36" s="13">
        <f>COUNTIF('Keyword Master Database'!$X$2:$X$287,A36)</f>
        <v>3</v>
      </c>
    </row>
    <row r="37" ht="15.75" customHeight="1">
      <c r="A37" s="18" t="s">
        <v>344</v>
      </c>
      <c r="B37" s="20" t="s">
        <v>339</v>
      </c>
      <c r="C37" s="20" t="s">
        <v>340</v>
      </c>
      <c r="D37" s="6" t="s">
        <v>341</v>
      </c>
      <c r="E37" s="22" t="s">
        <v>60</v>
      </c>
      <c r="F37" s="22" t="s">
        <v>61</v>
      </c>
      <c r="G37" s="22" t="s">
        <v>375</v>
      </c>
      <c r="H37" s="22" t="s">
        <v>141</v>
      </c>
      <c r="I37" s="22" t="s">
        <v>377</v>
      </c>
      <c r="J37" s="22">
        <f>COUNTIF('Keyword Master Database'!$X$2:$X$287,A37)</f>
        <v>2</v>
      </c>
    </row>
    <row r="38" ht="15.75" customHeight="1">
      <c r="A38" s="7" t="s">
        <v>348</v>
      </c>
      <c r="B38" s="8" t="s">
        <v>627</v>
      </c>
      <c r="C38" s="8" t="s">
        <v>346</v>
      </c>
      <c r="D38" s="10" t="s">
        <v>347</v>
      </c>
      <c r="E38" s="13" t="s">
        <v>95</v>
      </c>
      <c r="F38" s="13" t="s">
        <v>100</v>
      </c>
      <c r="G38" s="13" t="s">
        <v>391</v>
      </c>
      <c r="H38" s="13" t="s">
        <v>293</v>
      </c>
      <c r="I38" s="13" t="s">
        <v>377</v>
      </c>
      <c r="J38" s="13">
        <f>COUNTIF('Keyword Master Database'!$X$2:$X$287,A38)</f>
        <v>2</v>
      </c>
    </row>
    <row r="39" ht="15.75" customHeight="1">
      <c r="A39" s="18" t="s">
        <v>354</v>
      </c>
      <c r="B39" s="20" t="s">
        <v>349</v>
      </c>
      <c r="C39" s="20" t="s">
        <v>350</v>
      </c>
      <c r="D39" s="6" t="s">
        <v>112</v>
      </c>
      <c r="E39" s="22" t="s">
        <v>60</v>
      </c>
      <c r="F39" s="22" t="s">
        <v>61</v>
      </c>
      <c r="G39" s="22" t="s">
        <v>375</v>
      </c>
      <c r="H39" s="22" t="s">
        <v>635</v>
      </c>
      <c r="I39" s="22" t="s">
        <v>377</v>
      </c>
      <c r="J39" s="22">
        <f>COUNTIF('Keyword Master Database'!$X$2:$X$287,A39)</f>
        <v>1</v>
      </c>
    </row>
    <row r="40" ht="15.75" customHeight="1">
      <c r="A40" s="7" t="s">
        <v>358</v>
      </c>
      <c r="B40" s="8" t="s">
        <v>636</v>
      </c>
      <c r="C40" s="8" t="s">
        <v>357</v>
      </c>
      <c r="D40" s="10" t="s">
        <v>356</v>
      </c>
      <c r="E40" s="13" t="s">
        <v>95</v>
      </c>
      <c r="F40" s="13" t="s">
        <v>100</v>
      </c>
      <c r="G40" s="13" t="s">
        <v>391</v>
      </c>
      <c r="H40" s="13" t="s">
        <v>293</v>
      </c>
      <c r="I40" s="13" t="s">
        <v>377</v>
      </c>
      <c r="J40" s="13">
        <f>COUNTIF('Keyword Master Database'!$X$2:$X$287,A40)</f>
        <v>2</v>
      </c>
    </row>
    <row r="41" ht="15.75" customHeight="1">
      <c r="A41" s="18" t="s">
        <v>369</v>
      </c>
      <c r="B41" s="20" t="s">
        <v>363</v>
      </c>
      <c r="C41" s="20" t="s">
        <v>365</v>
      </c>
      <c r="D41" s="6" t="s">
        <v>366</v>
      </c>
      <c r="E41" s="22" t="s">
        <v>60</v>
      </c>
      <c r="F41" s="22" t="s">
        <v>61</v>
      </c>
      <c r="G41" s="22" t="s">
        <v>375</v>
      </c>
      <c r="H41" s="22" t="s">
        <v>141</v>
      </c>
      <c r="I41" s="22" t="s">
        <v>377</v>
      </c>
      <c r="J41" s="22">
        <f>COUNTIF('Keyword Master Database'!$X$2:$X$287,A41)</f>
        <v>2</v>
      </c>
    </row>
    <row r="42" ht="15.75" customHeight="1">
      <c r="A42" s="7" t="s">
        <v>378</v>
      </c>
      <c r="B42" s="8" t="s">
        <v>639</v>
      </c>
      <c r="C42" s="8" t="s">
        <v>640</v>
      </c>
      <c r="D42" s="10" t="s">
        <v>641</v>
      </c>
      <c r="E42" s="13" t="s">
        <v>95</v>
      </c>
      <c r="F42" s="13" t="s">
        <v>100</v>
      </c>
      <c r="G42" s="13" t="s">
        <v>391</v>
      </c>
      <c r="H42" s="13" t="s">
        <v>293</v>
      </c>
      <c r="I42" s="13" t="s">
        <v>377</v>
      </c>
      <c r="J42" s="13">
        <f>COUNTIF('Keyword Master Database'!$X$2:$X$287,A42)</f>
        <v>4</v>
      </c>
    </row>
    <row r="43" ht="15.75" customHeight="1">
      <c r="A43" s="18" t="s">
        <v>384</v>
      </c>
      <c r="B43" s="20" t="s">
        <v>379</v>
      </c>
      <c r="C43" s="20" t="s">
        <v>642</v>
      </c>
      <c r="D43" s="6" t="s">
        <v>643</v>
      </c>
      <c r="E43" s="22" t="s">
        <v>60</v>
      </c>
      <c r="F43" s="22" t="s">
        <v>61</v>
      </c>
      <c r="G43" s="22" t="s">
        <v>375</v>
      </c>
      <c r="H43" s="22" t="s">
        <v>141</v>
      </c>
      <c r="I43" s="22" t="s">
        <v>377</v>
      </c>
      <c r="J43" s="22">
        <f>COUNTIF('Keyword Master Database'!$X$2:$X$287,A43)</f>
        <v>5</v>
      </c>
    </row>
    <row r="44" ht="15.75" customHeight="1">
      <c r="A44" s="7" t="s">
        <v>390</v>
      </c>
      <c r="B44" s="8" t="s">
        <v>645</v>
      </c>
      <c r="C44" s="8" t="s">
        <v>388</v>
      </c>
      <c r="D44" s="10" t="s">
        <v>387</v>
      </c>
      <c r="E44" s="13" t="s">
        <v>95</v>
      </c>
      <c r="F44" s="13" t="s">
        <v>100</v>
      </c>
      <c r="G44" s="13" t="s">
        <v>391</v>
      </c>
      <c r="H44" s="13" t="s">
        <v>293</v>
      </c>
      <c r="I44" s="13" t="s">
        <v>377</v>
      </c>
      <c r="J44" s="13">
        <f>COUNTIF('Keyword Master Database'!$X$2:$X$287,A44)</f>
        <v>2</v>
      </c>
    </row>
    <row r="45" ht="15.75" customHeight="1">
      <c r="A45" s="18" t="s">
        <v>397</v>
      </c>
      <c r="B45" s="20" t="s">
        <v>392</v>
      </c>
      <c r="C45" s="20" t="s">
        <v>394</v>
      </c>
      <c r="D45" s="6" t="s">
        <v>393</v>
      </c>
      <c r="E45" s="22" t="s">
        <v>60</v>
      </c>
      <c r="F45" s="22" t="s">
        <v>61</v>
      </c>
      <c r="G45" s="22" t="s">
        <v>375</v>
      </c>
      <c r="H45" s="22" t="s">
        <v>141</v>
      </c>
      <c r="I45" s="22" t="s">
        <v>377</v>
      </c>
      <c r="J45" s="22">
        <f>COUNTIF('Keyword Master Database'!$X$2:$X$287,A45)</f>
        <v>2</v>
      </c>
    </row>
    <row r="46" ht="15.75" customHeight="1">
      <c r="A46" s="7" t="s">
        <v>402</v>
      </c>
      <c r="B46" s="8" t="s">
        <v>650</v>
      </c>
      <c r="C46" s="8" t="s">
        <v>400</v>
      </c>
      <c r="D46" s="10" t="s">
        <v>401</v>
      </c>
      <c r="E46" s="13" t="s">
        <v>95</v>
      </c>
      <c r="F46" s="13" t="s">
        <v>100</v>
      </c>
      <c r="G46" s="13" t="s">
        <v>391</v>
      </c>
      <c r="H46" s="13" t="s">
        <v>293</v>
      </c>
      <c r="I46" s="13" t="s">
        <v>377</v>
      </c>
      <c r="J46" s="13">
        <f>COUNTIF('Keyword Master Database'!$X$2:$X$287,A46)</f>
        <v>2</v>
      </c>
    </row>
    <row r="47" ht="15.75" customHeight="1">
      <c r="A47" s="18" t="s">
        <v>410</v>
      </c>
      <c r="B47" s="20" t="s">
        <v>405</v>
      </c>
      <c r="C47" s="20" t="s">
        <v>406</v>
      </c>
      <c r="D47" s="6" t="s">
        <v>407</v>
      </c>
      <c r="E47" s="22" t="s">
        <v>60</v>
      </c>
      <c r="F47" s="22" t="s">
        <v>61</v>
      </c>
      <c r="G47" s="22" t="s">
        <v>375</v>
      </c>
      <c r="H47" s="22" t="s">
        <v>141</v>
      </c>
      <c r="I47" s="22" t="s">
        <v>377</v>
      </c>
      <c r="J47" s="22">
        <f>COUNTIF('Keyword Master Database'!$X$2:$X$287,A47)</f>
        <v>2</v>
      </c>
    </row>
    <row r="48" ht="15.75" customHeight="1">
      <c r="A48" s="7" t="s">
        <v>414</v>
      </c>
      <c r="B48" s="8" t="s">
        <v>653</v>
      </c>
      <c r="C48" s="8" t="s">
        <v>412</v>
      </c>
      <c r="D48" s="10" t="s">
        <v>413</v>
      </c>
      <c r="E48" s="13" t="s">
        <v>95</v>
      </c>
      <c r="F48" s="13" t="s">
        <v>100</v>
      </c>
      <c r="G48" s="13" t="s">
        <v>391</v>
      </c>
      <c r="H48" s="13" t="s">
        <v>293</v>
      </c>
      <c r="I48" s="13" t="s">
        <v>377</v>
      </c>
      <c r="J48" s="13">
        <f>COUNTIF('Keyword Master Database'!$X$2:$X$287,A48)</f>
        <v>3</v>
      </c>
    </row>
    <row r="49" ht="15.75" customHeight="1">
      <c r="A49" s="18" t="s">
        <v>420</v>
      </c>
      <c r="B49" s="20" t="s">
        <v>655</v>
      </c>
      <c r="C49" s="20" t="s">
        <v>417</v>
      </c>
      <c r="D49" s="6" t="s">
        <v>112</v>
      </c>
      <c r="E49" s="22" t="s">
        <v>60</v>
      </c>
      <c r="F49" s="22" t="s">
        <v>61</v>
      </c>
      <c r="G49" s="22" t="s">
        <v>375</v>
      </c>
      <c r="H49" s="22" t="s">
        <v>141</v>
      </c>
      <c r="I49" s="22" t="s">
        <v>403</v>
      </c>
      <c r="J49" s="22">
        <f>COUNTIF('Keyword Master Database'!$X$2:$X$287,A49)</f>
        <v>1</v>
      </c>
    </row>
    <row r="50" ht="15.75" customHeight="1">
      <c r="A50" s="7" t="s">
        <v>427</v>
      </c>
      <c r="B50" s="8" t="s">
        <v>657</v>
      </c>
      <c r="C50" s="8" t="s">
        <v>426</v>
      </c>
      <c r="D50" s="10" t="s">
        <v>425</v>
      </c>
      <c r="E50" s="13" t="s">
        <v>95</v>
      </c>
      <c r="F50" s="13" t="s">
        <v>100</v>
      </c>
      <c r="G50" s="13" t="s">
        <v>391</v>
      </c>
      <c r="H50" s="13" t="s">
        <v>293</v>
      </c>
      <c r="I50" s="13" t="s">
        <v>377</v>
      </c>
      <c r="J50" s="13">
        <f>COUNTIF('Keyword Master Database'!$X$2:$X$287,A50)</f>
        <v>2</v>
      </c>
    </row>
    <row r="51" ht="15.75" customHeight="1">
      <c r="A51" s="18" t="s">
        <v>435</v>
      </c>
      <c r="B51" s="20" t="s">
        <v>437</v>
      </c>
      <c r="C51" s="20" t="s">
        <v>431</v>
      </c>
      <c r="D51" s="6" t="s">
        <v>658</v>
      </c>
      <c r="E51" s="22" t="s">
        <v>60</v>
      </c>
      <c r="F51" s="22" t="s">
        <v>61</v>
      </c>
      <c r="G51" s="22" t="s">
        <v>375</v>
      </c>
      <c r="H51" s="22" t="s">
        <v>141</v>
      </c>
      <c r="I51" s="22" t="s">
        <v>403</v>
      </c>
      <c r="J51" s="22">
        <f>COUNTIF('Keyword Master Database'!$X$2:$X$287,A51)</f>
        <v>12</v>
      </c>
    </row>
    <row r="52" ht="15.75" customHeight="1">
      <c r="A52" s="7" t="s">
        <v>445</v>
      </c>
      <c r="B52" s="8" t="s">
        <v>659</v>
      </c>
      <c r="C52" s="8" t="s">
        <v>441</v>
      </c>
      <c r="D52" s="10" t="s">
        <v>443</v>
      </c>
      <c r="E52" s="13" t="s">
        <v>60</v>
      </c>
      <c r="F52" s="13" t="s">
        <v>61</v>
      </c>
      <c r="G52" s="13" t="s">
        <v>391</v>
      </c>
      <c r="H52" s="13" t="s">
        <v>293</v>
      </c>
      <c r="I52" s="13" t="s">
        <v>377</v>
      </c>
      <c r="J52" s="13">
        <f>COUNTIF('Keyword Master Database'!$X$2:$X$287,A52)</f>
        <v>3</v>
      </c>
    </row>
    <row r="53" ht="15.75" customHeight="1">
      <c r="A53" s="18" t="s">
        <v>454</v>
      </c>
      <c r="B53" s="20" t="s">
        <v>450</v>
      </c>
      <c r="C53" s="20" t="s">
        <v>451</v>
      </c>
      <c r="D53" s="6" t="s">
        <v>452</v>
      </c>
      <c r="E53" s="22" t="s">
        <v>60</v>
      </c>
      <c r="F53" s="22" t="s">
        <v>61</v>
      </c>
      <c r="G53" s="22" t="s">
        <v>391</v>
      </c>
      <c r="H53" s="22" t="s">
        <v>293</v>
      </c>
      <c r="I53" s="22" t="s">
        <v>403</v>
      </c>
      <c r="J53" s="22">
        <f>COUNTIF('Keyword Master Database'!$X$2:$X$287,A53)</f>
        <v>5</v>
      </c>
    </row>
    <row r="54" ht="15.75" customHeight="1">
      <c r="A54" s="7" t="s">
        <v>462</v>
      </c>
      <c r="B54" s="8" t="s">
        <v>457</v>
      </c>
      <c r="C54" s="8" t="s">
        <v>458</v>
      </c>
      <c r="D54" s="10" t="s">
        <v>459</v>
      </c>
      <c r="E54" s="13" t="s">
        <v>60</v>
      </c>
      <c r="F54" s="13" t="s">
        <v>61</v>
      </c>
      <c r="G54" s="13" t="s">
        <v>391</v>
      </c>
      <c r="H54" s="13" t="s">
        <v>293</v>
      </c>
      <c r="I54" s="13" t="s">
        <v>403</v>
      </c>
      <c r="J54" s="13">
        <f>COUNTIF('Keyword Master Database'!$X$2:$X$287,A54)</f>
        <v>5</v>
      </c>
    </row>
    <row r="55" ht="15.75" customHeight="1">
      <c r="A55" s="18" t="s">
        <v>472</v>
      </c>
      <c r="B55" s="20" t="s">
        <v>468</v>
      </c>
      <c r="C55" s="20" t="s">
        <v>662</v>
      </c>
      <c r="D55" s="6" t="s">
        <v>663</v>
      </c>
      <c r="E55" s="22" t="s">
        <v>60</v>
      </c>
      <c r="F55" s="22" t="s">
        <v>61</v>
      </c>
      <c r="G55" s="22" t="s">
        <v>391</v>
      </c>
      <c r="H55" s="22" t="s">
        <v>293</v>
      </c>
      <c r="I55" s="22" t="s">
        <v>377</v>
      </c>
      <c r="J55" s="22">
        <f>COUNTIF('Keyword Master Database'!$X$2:$X$287,A55)</f>
        <v>4</v>
      </c>
    </row>
    <row r="56" ht="15.75" customHeight="1">
      <c r="A56" s="7" t="s">
        <v>480</v>
      </c>
      <c r="B56" s="8" t="s">
        <v>476</v>
      </c>
      <c r="C56" s="8" t="s">
        <v>478</v>
      </c>
      <c r="D56" s="10" t="s">
        <v>477</v>
      </c>
      <c r="E56" s="13" t="s">
        <v>60</v>
      </c>
      <c r="F56" s="13" t="s">
        <v>61</v>
      </c>
      <c r="G56" s="13" t="s">
        <v>391</v>
      </c>
      <c r="H56" s="13" t="s">
        <v>293</v>
      </c>
      <c r="I56" s="13" t="s">
        <v>377</v>
      </c>
      <c r="J56" s="13">
        <f>COUNTIF('Keyword Master Database'!$X$2:$X$287,A56)</f>
        <v>2</v>
      </c>
    </row>
    <row r="57" ht="15.75" customHeight="1">
      <c r="A57" s="18" t="s">
        <v>486</v>
      </c>
      <c r="B57" s="20" t="s">
        <v>664</v>
      </c>
      <c r="C57" s="20" t="s">
        <v>665</v>
      </c>
      <c r="D57" s="6" t="s">
        <v>666</v>
      </c>
      <c r="E57" s="22" t="s">
        <v>60</v>
      </c>
      <c r="F57" s="22" t="s">
        <v>61</v>
      </c>
      <c r="G57" s="22" t="s">
        <v>391</v>
      </c>
      <c r="H57" s="22" t="s">
        <v>293</v>
      </c>
      <c r="I57" s="22" t="s">
        <v>403</v>
      </c>
      <c r="J57" s="22">
        <f>COUNTIF('Keyword Master Database'!$X$2:$X$287,A57)</f>
        <v>9</v>
      </c>
    </row>
    <row r="58" ht="15.75" customHeight="1">
      <c r="A58" s="7" t="s">
        <v>496</v>
      </c>
      <c r="B58" s="8" t="s">
        <v>490</v>
      </c>
      <c r="C58" s="8" t="s">
        <v>491</v>
      </c>
      <c r="D58" s="10" t="s">
        <v>492</v>
      </c>
      <c r="E58" s="13" t="s">
        <v>60</v>
      </c>
      <c r="F58" s="13" t="s">
        <v>61</v>
      </c>
      <c r="G58" s="13" t="s">
        <v>391</v>
      </c>
      <c r="H58" s="13" t="s">
        <v>293</v>
      </c>
      <c r="I58" s="13" t="s">
        <v>377</v>
      </c>
      <c r="J58" s="13">
        <f>COUNTIF('Keyword Master Database'!$X$2:$X$287,A58)</f>
        <v>4</v>
      </c>
    </row>
    <row r="59" ht="15.75" customHeight="1">
      <c r="A59" s="18" t="s">
        <v>504</v>
      </c>
      <c r="B59" s="20" t="s">
        <v>497</v>
      </c>
      <c r="C59" s="20" t="s">
        <v>498</v>
      </c>
      <c r="D59" s="6" t="s">
        <v>499</v>
      </c>
      <c r="E59" s="22" t="s">
        <v>60</v>
      </c>
      <c r="F59" s="22" t="s">
        <v>61</v>
      </c>
      <c r="G59" s="22" t="s">
        <v>391</v>
      </c>
      <c r="H59" s="22" t="s">
        <v>293</v>
      </c>
      <c r="I59" s="22" t="s">
        <v>377</v>
      </c>
      <c r="J59" s="22">
        <f>COUNTIF('Keyword Master Database'!$X$2:$X$287,A59)</f>
        <v>2</v>
      </c>
    </row>
    <row r="60" ht="15.75" customHeight="1">
      <c r="A60" s="7" t="s">
        <v>513</v>
      </c>
      <c r="B60" s="8" t="s">
        <v>508</v>
      </c>
      <c r="C60" s="8" t="s">
        <v>509</v>
      </c>
      <c r="D60" s="10" t="s">
        <v>510</v>
      </c>
      <c r="E60" s="13" t="s">
        <v>60</v>
      </c>
      <c r="F60" s="13" t="s">
        <v>61</v>
      </c>
      <c r="G60" s="13" t="s">
        <v>391</v>
      </c>
      <c r="H60" s="13" t="s">
        <v>293</v>
      </c>
      <c r="I60" s="13" t="s">
        <v>377</v>
      </c>
      <c r="J60" s="13">
        <f>COUNTIF('Keyword Master Database'!$X$2:$X$287,A60)</f>
        <v>3</v>
      </c>
    </row>
    <row r="61" ht="15.75" customHeight="1">
      <c r="A61" s="18" t="s">
        <v>522</v>
      </c>
      <c r="B61" s="20" t="s">
        <v>517</v>
      </c>
      <c r="C61" s="20" t="s">
        <v>671</v>
      </c>
      <c r="D61" s="6" t="s">
        <v>672</v>
      </c>
      <c r="E61" s="22" t="s">
        <v>60</v>
      </c>
      <c r="F61" s="22" t="s">
        <v>61</v>
      </c>
      <c r="G61" s="22" t="s">
        <v>391</v>
      </c>
      <c r="H61" s="22" t="s">
        <v>293</v>
      </c>
      <c r="I61" s="22" t="s">
        <v>377</v>
      </c>
      <c r="J61" s="22">
        <f>COUNTIF('Keyword Master Database'!$X$2:$X$287,A61)</f>
        <v>11</v>
      </c>
    </row>
    <row r="62" ht="15.75" customHeight="1">
      <c r="A62" s="7" t="s">
        <v>674</v>
      </c>
      <c r="B62" s="8" t="s">
        <v>675</v>
      </c>
      <c r="C62" s="8" t="s">
        <v>676</v>
      </c>
      <c r="D62" s="10" t="s">
        <v>112</v>
      </c>
      <c r="E62" s="13" t="s">
        <v>110</v>
      </c>
      <c r="F62" s="13" t="s">
        <v>61</v>
      </c>
      <c r="G62" s="13" t="s">
        <v>391</v>
      </c>
      <c r="H62" s="13" t="s">
        <v>293</v>
      </c>
      <c r="I62" s="13" t="s">
        <v>377</v>
      </c>
      <c r="J62" s="13">
        <f>COUNTIF('Keyword Master Database'!$X$2:$X$287,A62)</f>
        <v>1</v>
      </c>
    </row>
    <row r="63" ht="15.75" customHeight="1">
      <c r="A63" s="18" t="s">
        <v>677</v>
      </c>
      <c r="B63" s="20" t="s">
        <v>678</v>
      </c>
      <c r="C63" s="20" t="s">
        <v>679</v>
      </c>
      <c r="D63" s="6" t="s">
        <v>680</v>
      </c>
      <c r="E63" s="22" t="s">
        <v>110</v>
      </c>
      <c r="F63" s="22" t="s">
        <v>61</v>
      </c>
      <c r="G63" s="22" t="s">
        <v>375</v>
      </c>
      <c r="H63" s="22" t="s">
        <v>681</v>
      </c>
      <c r="I63" s="22" t="s">
        <v>377</v>
      </c>
      <c r="J63" s="22">
        <f>COUNTIF('Keyword Master Database'!$X$2:$X$287,A63)</f>
        <v>2</v>
      </c>
    </row>
    <row r="64" ht="15.75" customHeight="1">
      <c r="A64" s="7" t="s">
        <v>535</v>
      </c>
      <c r="B64" s="8" t="s">
        <v>683</v>
      </c>
      <c r="C64" s="8" t="s">
        <v>685</v>
      </c>
      <c r="D64" s="10" t="s">
        <v>686</v>
      </c>
      <c r="E64" s="13" t="s">
        <v>60</v>
      </c>
      <c r="F64" s="13" t="s">
        <v>61</v>
      </c>
      <c r="G64" s="13" t="s">
        <v>391</v>
      </c>
      <c r="H64" s="13" t="s">
        <v>293</v>
      </c>
      <c r="I64" s="13" t="s">
        <v>403</v>
      </c>
      <c r="J64" s="13">
        <f>COUNTIF('Keyword Master Database'!$X$2:$X$287,A64)</f>
        <v>7</v>
      </c>
    </row>
    <row r="65" ht="15.75" customHeight="1">
      <c r="A65" s="18" t="s">
        <v>545</v>
      </c>
      <c r="B65" s="20" t="s">
        <v>687</v>
      </c>
      <c r="C65" s="20" t="s">
        <v>541</v>
      </c>
      <c r="D65" s="6" t="s">
        <v>542</v>
      </c>
      <c r="E65" s="22" t="s">
        <v>60</v>
      </c>
      <c r="F65" s="22" t="s">
        <v>61</v>
      </c>
      <c r="G65" s="22" t="s">
        <v>391</v>
      </c>
      <c r="H65" s="22" t="s">
        <v>293</v>
      </c>
      <c r="I65" s="22" t="s">
        <v>377</v>
      </c>
      <c r="J65" s="22">
        <f>COUNTIF('Keyword Master Database'!$X$2:$X$287,A65)</f>
        <v>3</v>
      </c>
    </row>
    <row r="66" ht="15.75" customHeight="1">
      <c r="A66" s="7" t="s">
        <v>557</v>
      </c>
      <c r="B66" s="8" t="s">
        <v>690</v>
      </c>
      <c r="C66" s="8" t="s">
        <v>691</v>
      </c>
      <c r="D66" s="10" t="s">
        <v>692</v>
      </c>
      <c r="E66" s="13" t="s">
        <v>60</v>
      </c>
      <c r="F66" s="13" t="s">
        <v>61</v>
      </c>
      <c r="G66" s="13" t="s">
        <v>391</v>
      </c>
      <c r="H66" s="13" t="s">
        <v>293</v>
      </c>
      <c r="I66" s="13" t="s">
        <v>377</v>
      </c>
      <c r="J66" s="13">
        <f>COUNTIF('Keyword Master Database'!$X$2:$X$287,A66)</f>
        <v>3</v>
      </c>
    </row>
    <row r="67" ht="15.75" customHeight="1">
      <c r="A67" s="18" t="s">
        <v>564</v>
      </c>
      <c r="B67" s="20" t="s">
        <v>695</v>
      </c>
      <c r="C67" s="20" t="s">
        <v>696</v>
      </c>
      <c r="D67" s="6" t="s">
        <v>697</v>
      </c>
      <c r="E67" s="22" t="s">
        <v>60</v>
      </c>
      <c r="F67" s="22" t="s">
        <v>61</v>
      </c>
      <c r="G67" s="22" t="s">
        <v>391</v>
      </c>
      <c r="H67" s="22" t="s">
        <v>293</v>
      </c>
      <c r="I67" s="22" t="s">
        <v>377</v>
      </c>
      <c r="J67" s="22">
        <f>COUNTIF('Keyword Master Database'!$X$2:$X$287,A67)</f>
        <v>7</v>
      </c>
    </row>
    <row r="68" ht="15.75" customHeight="1">
      <c r="A68" s="7" t="s">
        <v>571</v>
      </c>
      <c r="B68" s="8" t="s">
        <v>701</v>
      </c>
      <c r="C68" s="8" t="s">
        <v>568</v>
      </c>
      <c r="D68" s="10" t="s">
        <v>569</v>
      </c>
      <c r="E68" s="13" t="s">
        <v>60</v>
      </c>
      <c r="F68" s="13" t="s">
        <v>61</v>
      </c>
      <c r="G68" s="13" t="s">
        <v>391</v>
      </c>
      <c r="H68" s="13" t="s">
        <v>293</v>
      </c>
      <c r="I68" s="13" t="s">
        <v>377</v>
      </c>
      <c r="J68" s="13">
        <f>COUNTIF('Keyword Master Database'!$X$2:$X$287,A68)</f>
        <v>3</v>
      </c>
    </row>
    <row r="69" ht="15.75" customHeight="1">
      <c r="A69" s="18" t="s">
        <v>580</v>
      </c>
      <c r="B69" s="20" t="s">
        <v>704</v>
      </c>
      <c r="C69" s="20" t="s">
        <v>576</v>
      </c>
      <c r="D69" s="6" t="s">
        <v>112</v>
      </c>
      <c r="E69" s="22" t="s">
        <v>95</v>
      </c>
      <c r="F69" s="22" t="s">
        <v>100</v>
      </c>
      <c r="G69" s="22" t="s">
        <v>391</v>
      </c>
      <c r="H69" s="22" t="s">
        <v>293</v>
      </c>
      <c r="I69" s="22" t="s">
        <v>377</v>
      </c>
      <c r="J69" s="22">
        <f>COUNTIF('Keyword Master Database'!$X$2:$X$287,A69)</f>
        <v>1</v>
      </c>
    </row>
    <row r="70" ht="15.75" customHeight="1">
      <c r="A70" s="7" t="s">
        <v>707</v>
      </c>
      <c r="B70" s="8" t="s">
        <v>708</v>
      </c>
      <c r="C70" s="8" t="s">
        <v>577</v>
      </c>
      <c r="D70" s="10" t="s">
        <v>112</v>
      </c>
      <c r="E70" s="13" t="s">
        <v>95</v>
      </c>
      <c r="F70" s="13" t="s">
        <v>100</v>
      </c>
      <c r="G70" s="13" t="s">
        <v>391</v>
      </c>
      <c r="H70" s="13" t="s">
        <v>293</v>
      </c>
      <c r="I70" s="13" t="s">
        <v>377</v>
      </c>
      <c r="J70" s="13">
        <f>COUNTIF('Keyword Master Database'!$X$2:$X$287,A70)</f>
        <v>1</v>
      </c>
    </row>
    <row r="71" ht="15.75" customHeight="1">
      <c r="A71" s="18" t="s">
        <v>586</v>
      </c>
      <c r="B71" s="20" t="s">
        <v>581</v>
      </c>
      <c r="C71" s="20" t="s">
        <v>582</v>
      </c>
      <c r="D71" s="6" t="s">
        <v>583</v>
      </c>
      <c r="E71" s="22" t="s">
        <v>120</v>
      </c>
      <c r="F71" s="22" t="s">
        <v>191</v>
      </c>
      <c r="G71" s="22" t="s">
        <v>391</v>
      </c>
      <c r="H71" s="22" t="s">
        <v>293</v>
      </c>
      <c r="I71" s="22" t="s">
        <v>377</v>
      </c>
      <c r="J71" s="22">
        <f>COUNTIF('Keyword Master Database'!$X$2:$X$287,A71)</f>
        <v>3</v>
      </c>
    </row>
    <row r="72" ht="15.75" customHeight="1">
      <c r="A72" s="7" t="s">
        <v>591</v>
      </c>
      <c r="B72" s="8" t="s">
        <v>587</v>
      </c>
      <c r="C72" s="8" t="s">
        <v>588</v>
      </c>
      <c r="D72" s="10" t="s">
        <v>589</v>
      </c>
      <c r="E72" s="13" t="s">
        <v>120</v>
      </c>
      <c r="F72" s="13" t="s">
        <v>191</v>
      </c>
      <c r="G72" s="13" t="s">
        <v>391</v>
      </c>
      <c r="H72" s="13" t="s">
        <v>293</v>
      </c>
      <c r="I72" s="13" t="s">
        <v>377</v>
      </c>
      <c r="J72" s="13">
        <f>COUNTIF('Keyword Master Database'!$X$2:$X$287,A72)</f>
        <v>3</v>
      </c>
    </row>
    <row r="73" ht="15.75" customHeight="1">
      <c r="A73" s="18" t="s">
        <v>599</v>
      </c>
      <c r="B73" s="20" t="s">
        <v>595</v>
      </c>
      <c r="C73" s="20" t="s">
        <v>597</v>
      </c>
      <c r="D73" s="6" t="s">
        <v>596</v>
      </c>
      <c r="E73" s="22" t="s">
        <v>120</v>
      </c>
      <c r="F73" s="22" t="s">
        <v>191</v>
      </c>
      <c r="G73" s="22" t="s">
        <v>391</v>
      </c>
      <c r="H73" s="22" t="s">
        <v>293</v>
      </c>
      <c r="I73" s="22" t="s">
        <v>377</v>
      </c>
      <c r="J73" s="22">
        <f>COUNTIF('Keyword Master Database'!$X$2:$X$287,A73)</f>
        <v>2</v>
      </c>
    </row>
    <row r="74" ht="15.75" customHeight="1">
      <c r="A74" s="7" t="s">
        <v>604</v>
      </c>
      <c r="B74" s="8" t="s">
        <v>600</v>
      </c>
      <c r="C74" s="8" t="s">
        <v>601</v>
      </c>
      <c r="D74" s="10" t="s">
        <v>602</v>
      </c>
      <c r="E74" s="13" t="s">
        <v>120</v>
      </c>
      <c r="F74" s="13" t="s">
        <v>191</v>
      </c>
      <c r="G74" s="13" t="s">
        <v>391</v>
      </c>
      <c r="H74" s="13" t="s">
        <v>293</v>
      </c>
      <c r="I74" s="13" t="s">
        <v>377</v>
      </c>
      <c r="J74" s="13">
        <f>COUNTIF('Keyword Master Database'!$X$2:$X$287,A74)</f>
        <v>2</v>
      </c>
    </row>
    <row r="75" ht="15.75" customHeight="1">
      <c r="A75" s="18" t="s">
        <v>613</v>
      </c>
      <c r="B75" s="20" t="s">
        <v>609</v>
      </c>
      <c r="C75" s="20" t="s">
        <v>610</v>
      </c>
      <c r="D75" s="6" t="s">
        <v>112</v>
      </c>
      <c r="E75" s="22" t="s">
        <v>120</v>
      </c>
      <c r="F75" s="22" t="s">
        <v>191</v>
      </c>
      <c r="G75" s="22" t="s">
        <v>391</v>
      </c>
      <c r="H75" s="22" t="s">
        <v>293</v>
      </c>
      <c r="I75" s="22" t="s">
        <v>377</v>
      </c>
      <c r="J75" s="22">
        <f>COUNTIF('Keyword Master Database'!$X$2:$X$287,A75)</f>
        <v>1</v>
      </c>
    </row>
    <row r="76" ht="15.75" customHeight="1">
      <c r="A76" s="7" t="s">
        <v>622</v>
      </c>
      <c r="B76" s="8" t="s">
        <v>617</v>
      </c>
      <c r="C76" s="8" t="s">
        <v>619</v>
      </c>
      <c r="D76" s="10" t="s">
        <v>112</v>
      </c>
      <c r="E76" s="13" t="s">
        <v>120</v>
      </c>
      <c r="F76" s="13" t="s">
        <v>191</v>
      </c>
      <c r="G76" s="13" t="s">
        <v>391</v>
      </c>
      <c r="H76" s="13" t="s">
        <v>293</v>
      </c>
      <c r="I76" s="13" t="s">
        <v>377</v>
      </c>
      <c r="J76" s="13">
        <f>COUNTIF('Keyword Master Database'!$X$2:$X$287,A76)</f>
        <v>1</v>
      </c>
    </row>
    <row r="77" ht="15.75" customHeight="1">
      <c r="A77" s="18" t="s">
        <v>626</v>
      </c>
      <c r="B77" s="20" t="s">
        <v>772</v>
      </c>
      <c r="C77" s="20" t="s">
        <v>624</v>
      </c>
      <c r="D77" s="6" t="s">
        <v>112</v>
      </c>
      <c r="E77" s="22" t="s">
        <v>120</v>
      </c>
      <c r="F77" s="22" t="s">
        <v>191</v>
      </c>
      <c r="G77" s="22" t="s">
        <v>391</v>
      </c>
      <c r="H77" s="22" t="s">
        <v>293</v>
      </c>
      <c r="I77" s="22" t="s">
        <v>377</v>
      </c>
      <c r="J77" s="22">
        <f>COUNTIF('Keyword Master Database'!$X$2:$X$287,A77)</f>
        <v>1</v>
      </c>
    </row>
    <row r="78" ht="15.75" customHeight="1">
      <c r="A78" s="7" t="s">
        <v>634</v>
      </c>
      <c r="B78" s="8" t="s">
        <v>773</v>
      </c>
      <c r="C78" s="8" t="s">
        <v>629</v>
      </c>
      <c r="D78" s="10" t="s">
        <v>112</v>
      </c>
      <c r="E78" s="13" t="s">
        <v>95</v>
      </c>
      <c r="F78" s="13" t="s">
        <v>100</v>
      </c>
      <c r="G78" s="13" t="s">
        <v>391</v>
      </c>
      <c r="H78" s="13" t="s">
        <v>293</v>
      </c>
      <c r="I78" s="13" t="s">
        <v>377</v>
      </c>
      <c r="J78" s="13">
        <f>COUNTIF('Keyword Master Database'!$X$2:$X$287,A78)</f>
        <v>1</v>
      </c>
    </row>
    <row r="79" ht="15.75" customHeight="1">
      <c r="A79" s="18" t="s">
        <v>774</v>
      </c>
      <c r="B79" s="20" t="s">
        <v>775</v>
      </c>
      <c r="C79" s="20" t="s">
        <v>630</v>
      </c>
      <c r="D79" s="6" t="s">
        <v>112</v>
      </c>
      <c r="E79" s="22" t="s">
        <v>95</v>
      </c>
      <c r="F79" s="22" t="s">
        <v>100</v>
      </c>
      <c r="G79" s="22" t="s">
        <v>391</v>
      </c>
      <c r="H79" s="22" t="s">
        <v>293</v>
      </c>
      <c r="I79" s="22" t="s">
        <v>377</v>
      </c>
      <c r="J79" s="22">
        <f>COUNTIF('Keyword Master Database'!$X$2:$X$287,A79)</f>
        <v>1</v>
      </c>
    </row>
    <row r="80" ht="15.75" customHeight="1"/>
    <row r="81" ht="15.75" customHeight="1">
      <c r="A81" s="65" t="s">
        <v>776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52.0"/>
    <col customWidth="1" min="3" max="3" width="62.0"/>
    <col customWidth="1" min="4" max="4" width="38.0"/>
    <col customWidth="1" min="5" max="5" width="46.0"/>
    <col customWidth="1" min="6" max="26" width="8.71"/>
  </cols>
  <sheetData>
    <row r="1" ht="30.0" customHeight="1">
      <c r="A1" s="1" t="s">
        <v>714</v>
      </c>
      <c r="B1" s="1" t="s">
        <v>716</v>
      </c>
      <c r="C1" s="1" t="s">
        <v>717</v>
      </c>
      <c r="D1" s="1" t="s">
        <v>15</v>
      </c>
      <c r="E1" s="1" t="s">
        <v>718</v>
      </c>
    </row>
    <row r="2" ht="57.75" customHeight="1">
      <c r="A2" s="32" t="s">
        <v>720</v>
      </c>
      <c r="B2" s="32" t="s">
        <v>721</v>
      </c>
      <c r="C2" s="32" t="s">
        <v>722</v>
      </c>
      <c r="D2" s="32" t="s">
        <v>723</v>
      </c>
      <c r="E2" s="32" t="s">
        <v>724</v>
      </c>
    </row>
    <row r="3" ht="57.75" customHeight="1">
      <c r="A3" s="33" t="s">
        <v>726</v>
      </c>
      <c r="B3" s="33" t="s">
        <v>728</v>
      </c>
      <c r="C3" s="33" t="s">
        <v>729</v>
      </c>
      <c r="D3" s="33" t="s">
        <v>731</v>
      </c>
      <c r="E3" s="33" t="s">
        <v>732</v>
      </c>
    </row>
    <row r="4" ht="57.75" customHeight="1">
      <c r="A4" s="32" t="s">
        <v>733</v>
      </c>
      <c r="B4" s="32" t="s">
        <v>734</v>
      </c>
      <c r="C4" s="32" t="s">
        <v>735</v>
      </c>
      <c r="D4" s="32" t="s">
        <v>736</v>
      </c>
      <c r="E4" s="32" t="s">
        <v>737</v>
      </c>
    </row>
    <row r="5" ht="57.75" customHeight="1">
      <c r="A5" s="33" t="s">
        <v>320</v>
      </c>
      <c r="B5" s="33" t="s">
        <v>738</v>
      </c>
      <c r="C5" s="33" t="s">
        <v>739</v>
      </c>
      <c r="D5" s="33" t="s">
        <v>740</v>
      </c>
      <c r="E5" s="33" t="s">
        <v>741</v>
      </c>
    </row>
    <row r="6" ht="57.75" customHeight="1">
      <c r="A6" s="32" t="s">
        <v>742</v>
      </c>
      <c r="B6" s="32" t="s">
        <v>743</v>
      </c>
      <c r="C6" s="32" t="s">
        <v>744</v>
      </c>
      <c r="D6" s="32" t="s">
        <v>745</v>
      </c>
      <c r="E6" s="32" t="s">
        <v>746</v>
      </c>
    </row>
    <row r="7" ht="57.75" customHeight="1">
      <c r="A7" s="33" t="s">
        <v>144</v>
      </c>
      <c r="B7" s="33" t="s">
        <v>747</v>
      </c>
      <c r="C7" s="33" t="s">
        <v>748</v>
      </c>
      <c r="D7" s="33" t="s">
        <v>749</v>
      </c>
      <c r="E7" s="33" t="s">
        <v>750</v>
      </c>
    </row>
    <row r="8" ht="57.75" customHeight="1">
      <c r="A8" s="32" t="s">
        <v>751</v>
      </c>
      <c r="B8" s="32" t="s">
        <v>752</v>
      </c>
      <c r="C8" s="32" t="s">
        <v>753</v>
      </c>
      <c r="D8" s="32" t="s">
        <v>754</v>
      </c>
      <c r="E8" s="32" t="s">
        <v>755</v>
      </c>
    </row>
    <row r="9" ht="57.75" customHeight="1">
      <c r="A9" s="33" t="s">
        <v>756</v>
      </c>
      <c r="B9" s="33" t="s">
        <v>757</v>
      </c>
      <c r="C9" s="33" t="s">
        <v>758</v>
      </c>
      <c r="D9" s="33" t="s">
        <v>759</v>
      </c>
      <c r="E9" s="33" t="s">
        <v>760</v>
      </c>
    </row>
    <row r="10" ht="57.75" customHeight="1">
      <c r="A10" s="32" t="s">
        <v>761</v>
      </c>
      <c r="B10" s="32" t="s">
        <v>762</v>
      </c>
      <c r="C10" s="32" t="s">
        <v>763</v>
      </c>
      <c r="D10" s="32" t="s">
        <v>764</v>
      </c>
      <c r="E10" s="32" t="s">
        <v>765</v>
      </c>
    </row>
    <row r="11" ht="57.75" customHeight="1">
      <c r="A11" s="33" t="s">
        <v>767</v>
      </c>
      <c r="B11" s="33" t="s">
        <v>768</v>
      </c>
      <c r="C11" s="33" t="s">
        <v>769</v>
      </c>
      <c r="D11" s="33" t="s">
        <v>770</v>
      </c>
      <c r="E11" s="33" t="s">
        <v>771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4.0"/>
    <col customWidth="1" min="3" max="3" width="70.0"/>
    <col customWidth="1" min="4" max="4" width="44.0"/>
    <col customWidth="1" min="5" max="5" width="54.0"/>
    <col customWidth="1" min="6" max="26" width="8.71"/>
  </cols>
  <sheetData>
    <row r="1">
      <c r="A1" s="1" t="s">
        <v>782</v>
      </c>
      <c r="B1" s="1" t="s">
        <v>783</v>
      </c>
      <c r="C1" s="1" t="s">
        <v>784</v>
      </c>
      <c r="D1" s="1" t="s">
        <v>669</v>
      </c>
      <c r="E1" s="1" t="s">
        <v>785</v>
      </c>
    </row>
    <row r="2">
      <c r="A2" s="66" t="s">
        <v>114</v>
      </c>
      <c r="B2" s="32" t="s">
        <v>787</v>
      </c>
      <c r="C2" s="32" t="s">
        <v>788</v>
      </c>
      <c r="D2" s="32" t="s">
        <v>789</v>
      </c>
      <c r="E2" s="32" t="s">
        <v>790</v>
      </c>
    </row>
    <row r="3">
      <c r="A3" s="67" t="s">
        <v>320</v>
      </c>
      <c r="B3" s="33" t="s">
        <v>791</v>
      </c>
      <c r="C3" s="33" t="s">
        <v>792</v>
      </c>
      <c r="D3" s="33" t="s">
        <v>793</v>
      </c>
      <c r="E3" s="33" t="s">
        <v>794</v>
      </c>
    </row>
    <row r="4">
      <c r="A4" s="66" t="s">
        <v>795</v>
      </c>
      <c r="B4" s="32" t="s">
        <v>796</v>
      </c>
      <c r="C4" s="32" t="s">
        <v>797</v>
      </c>
      <c r="D4" s="32" t="s">
        <v>798</v>
      </c>
      <c r="E4" s="32" t="s">
        <v>799</v>
      </c>
    </row>
    <row r="5">
      <c r="A5" s="67" t="s">
        <v>103</v>
      </c>
      <c r="B5" s="33" t="s">
        <v>800</v>
      </c>
      <c r="C5" s="33" t="s">
        <v>801</v>
      </c>
      <c r="D5" s="33" t="s">
        <v>802</v>
      </c>
      <c r="E5" s="33" t="s">
        <v>803</v>
      </c>
    </row>
    <row r="6">
      <c r="A6" s="66" t="s">
        <v>144</v>
      </c>
      <c r="B6" s="32" t="s">
        <v>804</v>
      </c>
      <c r="C6" s="32" t="s">
        <v>805</v>
      </c>
      <c r="D6" s="32" t="s">
        <v>806</v>
      </c>
      <c r="E6" s="32" t="s">
        <v>807</v>
      </c>
    </row>
    <row r="7">
      <c r="A7" s="67" t="s">
        <v>751</v>
      </c>
      <c r="B7" s="33" t="s">
        <v>808</v>
      </c>
      <c r="C7" s="33" t="s">
        <v>809</v>
      </c>
      <c r="D7" s="33" t="s">
        <v>810</v>
      </c>
      <c r="E7" s="33" t="s">
        <v>811</v>
      </c>
    </row>
    <row r="8">
      <c r="A8" s="66" t="s">
        <v>812</v>
      </c>
      <c r="B8" s="32" t="s">
        <v>813</v>
      </c>
      <c r="C8" s="32" t="s">
        <v>814</v>
      </c>
      <c r="D8" s="32" t="s">
        <v>815</v>
      </c>
      <c r="E8" s="32" t="s">
        <v>816</v>
      </c>
    </row>
    <row r="9">
      <c r="A9" s="67" t="s">
        <v>817</v>
      </c>
      <c r="B9" s="33" t="s">
        <v>818</v>
      </c>
      <c r="C9" s="33" t="s">
        <v>819</v>
      </c>
      <c r="D9" s="33" t="s">
        <v>820</v>
      </c>
      <c r="E9" s="33" t="s">
        <v>821</v>
      </c>
    </row>
    <row r="10">
      <c r="A10" s="66" t="s">
        <v>822</v>
      </c>
      <c r="B10" s="32" t="s">
        <v>823</v>
      </c>
      <c r="C10" s="32" t="s">
        <v>824</v>
      </c>
      <c r="D10" s="32" t="s">
        <v>825</v>
      </c>
      <c r="E10" s="32" t="s">
        <v>826</v>
      </c>
    </row>
    <row r="11">
      <c r="A11" s="67" t="s">
        <v>827</v>
      </c>
      <c r="B11" s="33" t="s">
        <v>828</v>
      </c>
      <c r="C11" s="33" t="s">
        <v>829</v>
      </c>
      <c r="D11" s="33" t="s">
        <v>830</v>
      </c>
      <c r="E11" s="33" t="s">
        <v>831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8.14"/>
    <col customWidth="1" min="3" max="3" width="33.57"/>
    <col customWidth="1" min="4" max="4" width="40.43"/>
    <col customWidth="1" min="5" max="5" width="21.57"/>
    <col customWidth="1" min="6" max="26" width="8.71"/>
  </cols>
  <sheetData>
    <row r="1">
      <c r="A1" s="1" t="s">
        <v>833</v>
      </c>
      <c r="B1" s="1" t="s">
        <v>834</v>
      </c>
      <c r="C1" s="1" t="s">
        <v>835</v>
      </c>
      <c r="D1" s="1" t="s">
        <v>669</v>
      </c>
      <c r="E1" s="1" t="s">
        <v>782</v>
      </c>
    </row>
    <row r="2">
      <c r="A2" s="32" t="s">
        <v>119</v>
      </c>
      <c r="B2" s="32" t="s">
        <v>126</v>
      </c>
      <c r="C2" s="32" t="s">
        <v>121</v>
      </c>
      <c r="D2" s="32" t="s">
        <v>836</v>
      </c>
      <c r="E2" s="8" t="s">
        <v>114</v>
      </c>
    </row>
    <row r="3">
      <c r="A3" s="33" t="s">
        <v>126</v>
      </c>
      <c r="B3" s="33" t="s">
        <v>119</v>
      </c>
      <c r="C3" s="33" t="s">
        <v>114</v>
      </c>
      <c r="D3" s="33" t="s">
        <v>837</v>
      </c>
      <c r="E3" s="20" t="s">
        <v>114</v>
      </c>
    </row>
    <row r="4">
      <c r="A4" s="32" t="s">
        <v>119</v>
      </c>
      <c r="B4" s="32" t="s">
        <v>136</v>
      </c>
      <c r="C4" s="32" t="s">
        <v>131</v>
      </c>
      <c r="D4" s="32" t="s">
        <v>836</v>
      </c>
      <c r="E4" s="8" t="s">
        <v>114</v>
      </c>
    </row>
    <row r="5">
      <c r="A5" s="33" t="s">
        <v>136</v>
      </c>
      <c r="B5" s="33" t="s">
        <v>119</v>
      </c>
      <c r="C5" s="33" t="s">
        <v>114</v>
      </c>
      <c r="D5" s="33" t="s">
        <v>837</v>
      </c>
      <c r="E5" s="20" t="s">
        <v>114</v>
      </c>
    </row>
    <row r="6">
      <c r="A6" s="32" t="s">
        <v>119</v>
      </c>
      <c r="B6" s="32" t="s">
        <v>130</v>
      </c>
      <c r="C6" s="32" t="s">
        <v>121</v>
      </c>
      <c r="D6" s="32" t="s">
        <v>836</v>
      </c>
      <c r="E6" s="8" t="s">
        <v>114</v>
      </c>
    </row>
    <row r="7">
      <c r="A7" s="33" t="s">
        <v>130</v>
      </c>
      <c r="B7" s="33" t="s">
        <v>119</v>
      </c>
      <c r="C7" s="33" t="s">
        <v>114</v>
      </c>
      <c r="D7" s="33" t="s">
        <v>837</v>
      </c>
      <c r="E7" s="20" t="s">
        <v>114</v>
      </c>
    </row>
    <row r="8">
      <c r="A8" s="32" t="s">
        <v>119</v>
      </c>
      <c r="B8" s="32" t="s">
        <v>140</v>
      </c>
      <c r="C8" s="32" t="s">
        <v>131</v>
      </c>
      <c r="D8" s="32" t="s">
        <v>836</v>
      </c>
      <c r="E8" s="8" t="s">
        <v>114</v>
      </c>
    </row>
    <row r="9">
      <c r="A9" s="33" t="s">
        <v>140</v>
      </c>
      <c r="B9" s="33" t="s">
        <v>119</v>
      </c>
      <c r="C9" s="33" t="s">
        <v>114</v>
      </c>
      <c r="D9" s="33" t="s">
        <v>837</v>
      </c>
      <c r="E9" s="20" t="s">
        <v>114</v>
      </c>
    </row>
    <row r="10">
      <c r="A10" s="32" t="s">
        <v>119</v>
      </c>
      <c r="B10" s="32" t="s">
        <v>591</v>
      </c>
      <c r="C10" s="32" t="s">
        <v>587</v>
      </c>
      <c r="D10" s="32" t="s">
        <v>836</v>
      </c>
      <c r="E10" s="8" t="s">
        <v>114</v>
      </c>
    </row>
    <row r="11">
      <c r="A11" s="33" t="s">
        <v>591</v>
      </c>
      <c r="B11" s="33" t="s">
        <v>119</v>
      </c>
      <c r="C11" s="33" t="s">
        <v>114</v>
      </c>
      <c r="D11" s="33" t="s">
        <v>837</v>
      </c>
      <c r="E11" s="20" t="s">
        <v>114</v>
      </c>
    </row>
    <row r="12">
      <c r="A12" s="32" t="s">
        <v>119</v>
      </c>
      <c r="B12" s="32" t="s">
        <v>622</v>
      </c>
      <c r="C12" s="32" t="s">
        <v>617</v>
      </c>
      <c r="D12" s="32" t="s">
        <v>836</v>
      </c>
      <c r="E12" s="8" t="s">
        <v>114</v>
      </c>
    </row>
    <row r="13">
      <c r="A13" s="33" t="s">
        <v>622</v>
      </c>
      <c r="B13" s="33" t="s">
        <v>119</v>
      </c>
      <c r="C13" s="33" t="s">
        <v>114</v>
      </c>
      <c r="D13" s="33" t="s">
        <v>837</v>
      </c>
      <c r="E13" s="20" t="s">
        <v>114</v>
      </c>
    </row>
    <row r="14">
      <c r="A14" s="32" t="s">
        <v>325</v>
      </c>
      <c r="B14" s="32" t="s">
        <v>63</v>
      </c>
      <c r="C14" s="32" t="s">
        <v>31</v>
      </c>
      <c r="D14" s="32" t="s">
        <v>836</v>
      </c>
      <c r="E14" s="8" t="s">
        <v>320</v>
      </c>
    </row>
    <row r="15">
      <c r="A15" s="33" t="s">
        <v>63</v>
      </c>
      <c r="B15" s="33" t="s">
        <v>325</v>
      </c>
      <c r="C15" s="33" t="s">
        <v>320</v>
      </c>
      <c r="D15" s="33" t="s">
        <v>837</v>
      </c>
      <c r="E15" s="20" t="s">
        <v>320</v>
      </c>
    </row>
    <row r="16">
      <c r="A16" s="32" t="s">
        <v>325</v>
      </c>
      <c r="B16" s="32" t="s">
        <v>158</v>
      </c>
      <c r="C16" s="32" t="s">
        <v>153</v>
      </c>
      <c r="D16" s="32" t="s">
        <v>836</v>
      </c>
      <c r="E16" s="8" t="s">
        <v>320</v>
      </c>
    </row>
    <row r="17">
      <c r="A17" s="33" t="s">
        <v>158</v>
      </c>
      <c r="B17" s="33" t="s">
        <v>325</v>
      </c>
      <c r="C17" s="33" t="s">
        <v>320</v>
      </c>
      <c r="D17" s="33" t="s">
        <v>837</v>
      </c>
      <c r="E17" s="20" t="s">
        <v>320</v>
      </c>
    </row>
    <row r="18">
      <c r="A18" s="32" t="s">
        <v>325</v>
      </c>
      <c r="B18" s="32" t="s">
        <v>168</v>
      </c>
      <c r="C18" s="32" t="s">
        <v>163</v>
      </c>
      <c r="D18" s="32" t="s">
        <v>836</v>
      </c>
      <c r="E18" s="8" t="s">
        <v>320</v>
      </c>
    </row>
    <row r="19">
      <c r="A19" s="33" t="s">
        <v>168</v>
      </c>
      <c r="B19" s="33" t="s">
        <v>325</v>
      </c>
      <c r="C19" s="33" t="s">
        <v>320</v>
      </c>
      <c r="D19" s="33" t="s">
        <v>837</v>
      </c>
      <c r="E19" s="20" t="s">
        <v>320</v>
      </c>
    </row>
    <row r="20">
      <c r="A20" s="32" t="s">
        <v>325</v>
      </c>
      <c r="B20" s="32" t="s">
        <v>180</v>
      </c>
      <c r="C20" s="32" t="s">
        <v>175</v>
      </c>
      <c r="D20" s="32" t="s">
        <v>836</v>
      </c>
      <c r="E20" s="8" t="s">
        <v>320</v>
      </c>
    </row>
    <row r="21" ht="15.75" customHeight="1">
      <c r="A21" s="33" t="s">
        <v>180</v>
      </c>
      <c r="B21" s="33" t="s">
        <v>325</v>
      </c>
      <c r="C21" s="33" t="s">
        <v>320</v>
      </c>
      <c r="D21" s="33" t="s">
        <v>837</v>
      </c>
      <c r="E21" s="20" t="s">
        <v>320</v>
      </c>
    </row>
    <row r="22" ht="15.75" customHeight="1">
      <c r="A22" s="32" t="s">
        <v>325</v>
      </c>
      <c r="B22" s="32" t="s">
        <v>201</v>
      </c>
      <c r="C22" s="32" t="s">
        <v>196</v>
      </c>
      <c r="D22" s="32" t="s">
        <v>836</v>
      </c>
      <c r="E22" s="8" t="s">
        <v>320</v>
      </c>
    </row>
    <row r="23" ht="15.75" customHeight="1">
      <c r="A23" s="33" t="s">
        <v>201</v>
      </c>
      <c r="B23" s="33" t="s">
        <v>325</v>
      </c>
      <c r="C23" s="33" t="s">
        <v>320</v>
      </c>
      <c r="D23" s="33" t="s">
        <v>837</v>
      </c>
      <c r="E23" s="20" t="s">
        <v>320</v>
      </c>
    </row>
    <row r="24" ht="15.75" customHeight="1">
      <c r="A24" s="32" t="s">
        <v>325</v>
      </c>
      <c r="B24" s="32" t="s">
        <v>188</v>
      </c>
      <c r="C24" s="32" t="s">
        <v>183</v>
      </c>
      <c r="D24" s="32" t="s">
        <v>836</v>
      </c>
      <c r="E24" s="8" t="s">
        <v>320</v>
      </c>
    </row>
    <row r="25" ht="15.75" customHeight="1">
      <c r="A25" s="33" t="s">
        <v>188</v>
      </c>
      <c r="B25" s="33" t="s">
        <v>325</v>
      </c>
      <c r="C25" s="33" t="s">
        <v>320</v>
      </c>
      <c r="D25" s="33" t="s">
        <v>837</v>
      </c>
      <c r="E25" s="20" t="s">
        <v>320</v>
      </c>
    </row>
    <row r="26" ht="15.75" customHeight="1">
      <c r="A26" s="32" t="s">
        <v>325</v>
      </c>
      <c r="B26" s="32" t="s">
        <v>241</v>
      </c>
      <c r="C26" s="32" t="s">
        <v>230</v>
      </c>
      <c r="D26" s="32" t="s">
        <v>836</v>
      </c>
      <c r="E26" s="8" t="s">
        <v>320</v>
      </c>
    </row>
    <row r="27" ht="15.75" customHeight="1">
      <c r="A27" s="33" t="s">
        <v>241</v>
      </c>
      <c r="B27" s="33" t="s">
        <v>325</v>
      </c>
      <c r="C27" s="33" t="s">
        <v>320</v>
      </c>
      <c r="D27" s="33" t="s">
        <v>837</v>
      </c>
      <c r="E27" s="20" t="s">
        <v>320</v>
      </c>
    </row>
    <row r="28" ht="15.75" customHeight="1">
      <c r="A28" s="32" t="s">
        <v>325</v>
      </c>
      <c r="B28" s="32" t="s">
        <v>101</v>
      </c>
      <c r="C28" s="32" t="s">
        <v>31</v>
      </c>
      <c r="D28" s="32" t="s">
        <v>836</v>
      </c>
      <c r="E28" s="8" t="s">
        <v>320</v>
      </c>
    </row>
    <row r="29" ht="15.75" customHeight="1">
      <c r="A29" s="33" t="s">
        <v>101</v>
      </c>
      <c r="B29" s="33" t="s">
        <v>325</v>
      </c>
      <c r="C29" s="33" t="s">
        <v>320</v>
      </c>
      <c r="D29" s="33" t="s">
        <v>837</v>
      </c>
      <c r="E29" s="20" t="s">
        <v>320</v>
      </c>
    </row>
    <row r="30" ht="15.75" customHeight="1">
      <c r="A30" s="32" t="s">
        <v>325</v>
      </c>
      <c r="B30" s="32" t="s">
        <v>586</v>
      </c>
      <c r="C30" s="32" t="s">
        <v>581</v>
      </c>
      <c r="D30" s="32" t="s">
        <v>836</v>
      </c>
      <c r="E30" s="8" t="s">
        <v>320</v>
      </c>
    </row>
    <row r="31" ht="15.75" customHeight="1">
      <c r="A31" s="33" t="s">
        <v>586</v>
      </c>
      <c r="B31" s="33" t="s">
        <v>325</v>
      </c>
      <c r="C31" s="33" t="s">
        <v>320</v>
      </c>
      <c r="D31" s="33" t="s">
        <v>837</v>
      </c>
      <c r="E31" s="20" t="s">
        <v>320</v>
      </c>
    </row>
    <row r="32" ht="15.75" customHeight="1">
      <c r="A32" s="32" t="s">
        <v>325</v>
      </c>
      <c r="B32" s="32" t="s">
        <v>599</v>
      </c>
      <c r="C32" s="32" t="s">
        <v>595</v>
      </c>
      <c r="D32" s="32" t="s">
        <v>836</v>
      </c>
      <c r="E32" s="8" t="s">
        <v>320</v>
      </c>
    </row>
    <row r="33" ht="15.75" customHeight="1">
      <c r="A33" s="33" t="s">
        <v>599</v>
      </c>
      <c r="B33" s="33" t="s">
        <v>325</v>
      </c>
      <c r="C33" s="33" t="s">
        <v>320</v>
      </c>
      <c r="D33" s="33" t="s">
        <v>837</v>
      </c>
      <c r="E33" s="20" t="s">
        <v>320</v>
      </c>
    </row>
    <row r="34" ht="15.75" customHeight="1">
      <c r="A34" s="32" t="s">
        <v>325</v>
      </c>
      <c r="B34" s="32" t="s">
        <v>195</v>
      </c>
      <c r="C34" s="32" t="s">
        <v>183</v>
      </c>
      <c r="D34" s="32" t="s">
        <v>836</v>
      </c>
      <c r="E34" s="8" t="s">
        <v>320</v>
      </c>
    </row>
    <row r="35" ht="15.75" customHeight="1">
      <c r="A35" s="33" t="s">
        <v>195</v>
      </c>
      <c r="B35" s="33" t="s">
        <v>325</v>
      </c>
      <c r="C35" s="33" t="s">
        <v>320</v>
      </c>
      <c r="D35" s="33" t="s">
        <v>837</v>
      </c>
      <c r="E35" s="20" t="s">
        <v>320</v>
      </c>
    </row>
    <row r="36" ht="15.75" customHeight="1">
      <c r="A36" s="32" t="s">
        <v>325</v>
      </c>
      <c r="B36" s="32" t="s">
        <v>162</v>
      </c>
      <c r="C36" s="32" t="s">
        <v>153</v>
      </c>
      <c r="D36" s="32" t="s">
        <v>836</v>
      </c>
      <c r="E36" s="8" t="s">
        <v>320</v>
      </c>
    </row>
    <row r="37" ht="15.75" customHeight="1">
      <c r="A37" s="33" t="s">
        <v>162</v>
      </c>
      <c r="B37" s="33" t="s">
        <v>325</v>
      </c>
      <c r="C37" s="33" t="s">
        <v>320</v>
      </c>
      <c r="D37" s="33" t="s">
        <v>837</v>
      </c>
      <c r="E37" s="20" t="s">
        <v>320</v>
      </c>
    </row>
    <row r="38" ht="15.75" customHeight="1">
      <c r="A38" s="32" t="s">
        <v>314</v>
      </c>
      <c r="B38" s="32" t="s">
        <v>279</v>
      </c>
      <c r="C38" s="32" t="s">
        <v>274</v>
      </c>
      <c r="D38" s="32" t="s">
        <v>836</v>
      </c>
      <c r="E38" s="8" t="s">
        <v>795</v>
      </c>
    </row>
    <row r="39" ht="15.75" customHeight="1">
      <c r="A39" s="33" t="s">
        <v>279</v>
      </c>
      <c r="B39" s="33" t="s">
        <v>314</v>
      </c>
      <c r="C39" s="33" t="s">
        <v>309</v>
      </c>
      <c r="D39" s="33" t="s">
        <v>837</v>
      </c>
      <c r="E39" s="20" t="s">
        <v>795</v>
      </c>
    </row>
    <row r="40" ht="15.75" customHeight="1">
      <c r="A40" s="32" t="s">
        <v>314</v>
      </c>
      <c r="B40" s="32" t="s">
        <v>289</v>
      </c>
      <c r="C40" s="32" t="s">
        <v>284</v>
      </c>
      <c r="D40" s="32" t="s">
        <v>836</v>
      </c>
      <c r="E40" s="8" t="s">
        <v>795</v>
      </c>
    </row>
    <row r="41" ht="15.75" customHeight="1">
      <c r="A41" s="33" t="s">
        <v>289</v>
      </c>
      <c r="B41" s="33" t="s">
        <v>314</v>
      </c>
      <c r="C41" s="33" t="s">
        <v>309</v>
      </c>
      <c r="D41" s="33" t="s">
        <v>837</v>
      </c>
      <c r="E41" s="20" t="s">
        <v>795</v>
      </c>
    </row>
    <row r="42" ht="15.75" customHeight="1">
      <c r="A42" s="32" t="s">
        <v>314</v>
      </c>
      <c r="B42" s="32" t="s">
        <v>302</v>
      </c>
      <c r="C42" s="32" t="s">
        <v>297</v>
      </c>
      <c r="D42" s="32" t="s">
        <v>836</v>
      </c>
      <c r="E42" s="8" t="s">
        <v>795</v>
      </c>
    </row>
    <row r="43" ht="15.75" customHeight="1">
      <c r="A43" s="33" t="s">
        <v>302</v>
      </c>
      <c r="B43" s="33" t="s">
        <v>314</v>
      </c>
      <c r="C43" s="33" t="s">
        <v>309</v>
      </c>
      <c r="D43" s="33" t="s">
        <v>837</v>
      </c>
      <c r="E43" s="20" t="s">
        <v>795</v>
      </c>
    </row>
    <row r="44" ht="15.75" customHeight="1">
      <c r="A44" s="32" t="s">
        <v>314</v>
      </c>
      <c r="B44" s="32" t="s">
        <v>283</v>
      </c>
      <c r="C44" s="32" t="s">
        <v>274</v>
      </c>
      <c r="D44" s="32" t="s">
        <v>836</v>
      </c>
      <c r="E44" s="8" t="s">
        <v>795</v>
      </c>
    </row>
    <row r="45" ht="15.75" customHeight="1">
      <c r="A45" s="33" t="s">
        <v>283</v>
      </c>
      <c r="B45" s="33" t="s">
        <v>314</v>
      </c>
      <c r="C45" s="33" t="s">
        <v>309</v>
      </c>
      <c r="D45" s="33" t="s">
        <v>837</v>
      </c>
      <c r="E45" s="20" t="s">
        <v>795</v>
      </c>
    </row>
    <row r="46" ht="15.75" customHeight="1">
      <c r="A46" s="32" t="s">
        <v>314</v>
      </c>
      <c r="B46" s="32" t="s">
        <v>296</v>
      </c>
      <c r="C46" s="32" t="s">
        <v>284</v>
      </c>
      <c r="D46" s="32" t="s">
        <v>836</v>
      </c>
      <c r="E46" s="8" t="s">
        <v>795</v>
      </c>
    </row>
    <row r="47" ht="15.75" customHeight="1">
      <c r="A47" s="33" t="s">
        <v>296</v>
      </c>
      <c r="B47" s="33" t="s">
        <v>314</v>
      </c>
      <c r="C47" s="33" t="s">
        <v>309</v>
      </c>
      <c r="D47" s="33" t="s">
        <v>837</v>
      </c>
      <c r="E47" s="20" t="s">
        <v>795</v>
      </c>
    </row>
    <row r="48" ht="15.75" customHeight="1">
      <c r="A48" s="32" t="s">
        <v>314</v>
      </c>
      <c r="B48" s="32" t="s">
        <v>626</v>
      </c>
      <c r="C48" s="32" t="s">
        <v>772</v>
      </c>
      <c r="D48" s="32" t="s">
        <v>836</v>
      </c>
      <c r="E48" s="8" t="s">
        <v>795</v>
      </c>
    </row>
    <row r="49" ht="15.75" customHeight="1">
      <c r="A49" s="33" t="s">
        <v>626</v>
      </c>
      <c r="B49" s="33" t="s">
        <v>314</v>
      </c>
      <c r="C49" s="33" t="s">
        <v>309</v>
      </c>
      <c r="D49" s="33" t="s">
        <v>837</v>
      </c>
      <c r="E49" s="20" t="s">
        <v>795</v>
      </c>
    </row>
    <row r="50" ht="15.75" customHeight="1">
      <c r="A50" s="32" t="s">
        <v>314</v>
      </c>
      <c r="B50" s="32" t="s">
        <v>308</v>
      </c>
      <c r="C50" s="32" t="s">
        <v>297</v>
      </c>
      <c r="D50" s="32" t="s">
        <v>836</v>
      </c>
      <c r="E50" s="8" t="s">
        <v>795</v>
      </c>
    </row>
    <row r="51" ht="15.75" customHeight="1">
      <c r="A51" s="33" t="s">
        <v>308</v>
      </c>
      <c r="B51" s="33" t="s">
        <v>314</v>
      </c>
      <c r="C51" s="33" t="s">
        <v>309</v>
      </c>
      <c r="D51" s="33" t="s">
        <v>837</v>
      </c>
      <c r="E51" s="20" t="s">
        <v>795</v>
      </c>
    </row>
    <row r="52" ht="15.75" customHeight="1">
      <c r="A52" s="32" t="s">
        <v>108</v>
      </c>
      <c r="B52" s="32" t="s">
        <v>369</v>
      </c>
      <c r="C52" s="32" t="s">
        <v>363</v>
      </c>
      <c r="D52" s="32" t="s">
        <v>836</v>
      </c>
      <c r="E52" s="8" t="s">
        <v>103</v>
      </c>
    </row>
    <row r="53" ht="15.75" customHeight="1">
      <c r="A53" s="33" t="s">
        <v>369</v>
      </c>
      <c r="B53" s="33" t="s">
        <v>108</v>
      </c>
      <c r="C53" s="33" t="s">
        <v>103</v>
      </c>
      <c r="D53" s="33" t="s">
        <v>837</v>
      </c>
      <c r="E53" s="20" t="s">
        <v>103</v>
      </c>
    </row>
    <row r="54" ht="15.75" customHeight="1">
      <c r="A54" s="32" t="s">
        <v>108</v>
      </c>
      <c r="B54" s="32" t="s">
        <v>384</v>
      </c>
      <c r="C54" s="32" t="s">
        <v>379</v>
      </c>
      <c r="D54" s="32" t="s">
        <v>836</v>
      </c>
      <c r="E54" s="8" t="s">
        <v>103</v>
      </c>
    </row>
    <row r="55" ht="15.75" customHeight="1">
      <c r="A55" s="33" t="s">
        <v>384</v>
      </c>
      <c r="B55" s="33" t="s">
        <v>108</v>
      </c>
      <c r="C55" s="33" t="s">
        <v>103</v>
      </c>
      <c r="D55" s="33" t="s">
        <v>837</v>
      </c>
      <c r="E55" s="20" t="s">
        <v>103</v>
      </c>
    </row>
    <row r="56" ht="15.75" customHeight="1">
      <c r="A56" s="32" t="s">
        <v>108</v>
      </c>
      <c r="B56" s="32" t="s">
        <v>397</v>
      </c>
      <c r="C56" s="32" t="s">
        <v>392</v>
      </c>
      <c r="D56" s="32" t="s">
        <v>836</v>
      </c>
      <c r="E56" s="8" t="s">
        <v>103</v>
      </c>
    </row>
    <row r="57" ht="15.75" customHeight="1">
      <c r="A57" s="33" t="s">
        <v>397</v>
      </c>
      <c r="B57" s="33" t="s">
        <v>108</v>
      </c>
      <c r="C57" s="33" t="s">
        <v>103</v>
      </c>
      <c r="D57" s="33" t="s">
        <v>837</v>
      </c>
      <c r="E57" s="20" t="s">
        <v>103</v>
      </c>
    </row>
    <row r="58" ht="15.75" customHeight="1">
      <c r="A58" s="32" t="s">
        <v>108</v>
      </c>
      <c r="B58" s="32" t="s">
        <v>410</v>
      </c>
      <c r="C58" s="32" t="s">
        <v>405</v>
      </c>
      <c r="D58" s="32" t="s">
        <v>836</v>
      </c>
      <c r="E58" s="8" t="s">
        <v>103</v>
      </c>
    </row>
    <row r="59" ht="15.75" customHeight="1">
      <c r="A59" s="33" t="s">
        <v>410</v>
      </c>
      <c r="B59" s="33" t="s">
        <v>108</v>
      </c>
      <c r="C59" s="33" t="s">
        <v>103</v>
      </c>
      <c r="D59" s="33" t="s">
        <v>837</v>
      </c>
      <c r="E59" s="20" t="s">
        <v>103</v>
      </c>
    </row>
    <row r="60" ht="15.75" customHeight="1">
      <c r="A60" s="32" t="s">
        <v>108</v>
      </c>
      <c r="B60" s="32" t="s">
        <v>454</v>
      </c>
      <c r="C60" s="32" t="s">
        <v>450</v>
      </c>
      <c r="D60" s="32" t="s">
        <v>836</v>
      </c>
      <c r="E60" s="8" t="s">
        <v>103</v>
      </c>
    </row>
    <row r="61" ht="15.75" customHeight="1">
      <c r="A61" s="33" t="s">
        <v>454</v>
      </c>
      <c r="B61" s="33" t="s">
        <v>108</v>
      </c>
      <c r="C61" s="33" t="s">
        <v>103</v>
      </c>
      <c r="D61" s="33" t="s">
        <v>837</v>
      </c>
      <c r="E61" s="20" t="s">
        <v>103</v>
      </c>
    </row>
    <row r="62" ht="15.75" customHeight="1">
      <c r="A62" s="32" t="s">
        <v>108</v>
      </c>
      <c r="B62" s="32" t="s">
        <v>113</v>
      </c>
      <c r="C62" s="32" t="s">
        <v>103</v>
      </c>
      <c r="D62" s="32" t="s">
        <v>836</v>
      </c>
      <c r="E62" s="8" t="s">
        <v>103</v>
      </c>
    </row>
    <row r="63" ht="15.75" customHeight="1">
      <c r="A63" s="33" t="s">
        <v>113</v>
      </c>
      <c r="B63" s="33" t="s">
        <v>108</v>
      </c>
      <c r="C63" s="33" t="s">
        <v>103</v>
      </c>
      <c r="D63" s="33" t="s">
        <v>837</v>
      </c>
      <c r="E63" s="20" t="s">
        <v>103</v>
      </c>
    </row>
    <row r="64" ht="15.75" customHeight="1">
      <c r="A64" s="32" t="s">
        <v>108</v>
      </c>
      <c r="B64" s="32" t="s">
        <v>378</v>
      </c>
      <c r="C64" s="32" t="s">
        <v>363</v>
      </c>
      <c r="D64" s="32" t="s">
        <v>836</v>
      </c>
      <c r="E64" s="8" t="s">
        <v>103</v>
      </c>
    </row>
    <row r="65" ht="15.75" customHeight="1">
      <c r="A65" s="33" t="s">
        <v>378</v>
      </c>
      <c r="B65" s="33" t="s">
        <v>108</v>
      </c>
      <c r="C65" s="33" t="s">
        <v>103</v>
      </c>
      <c r="D65" s="33" t="s">
        <v>837</v>
      </c>
      <c r="E65" s="20" t="s">
        <v>103</v>
      </c>
    </row>
    <row r="66" ht="15.75" customHeight="1">
      <c r="A66" s="32" t="s">
        <v>149</v>
      </c>
      <c r="B66" s="32" t="s">
        <v>152</v>
      </c>
      <c r="C66" s="32" t="s">
        <v>144</v>
      </c>
      <c r="D66" s="32" t="s">
        <v>836</v>
      </c>
      <c r="E66" s="8" t="s">
        <v>144</v>
      </c>
    </row>
    <row r="67" ht="15.75" customHeight="1">
      <c r="A67" s="33" t="s">
        <v>152</v>
      </c>
      <c r="B67" s="33" t="s">
        <v>149</v>
      </c>
      <c r="C67" s="33" t="s">
        <v>144</v>
      </c>
      <c r="D67" s="33" t="s">
        <v>837</v>
      </c>
      <c r="E67" s="20" t="s">
        <v>144</v>
      </c>
    </row>
    <row r="68" ht="15.75" customHeight="1">
      <c r="A68" s="32" t="s">
        <v>149</v>
      </c>
      <c r="B68" s="32" t="s">
        <v>604</v>
      </c>
      <c r="C68" s="32" t="s">
        <v>600</v>
      </c>
      <c r="D68" s="32" t="s">
        <v>836</v>
      </c>
      <c r="E68" s="8" t="s">
        <v>144</v>
      </c>
    </row>
    <row r="69" ht="15.75" customHeight="1">
      <c r="A69" s="33" t="s">
        <v>604</v>
      </c>
      <c r="B69" s="33" t="s">
        <v>149</v>
      </c>
      <c r="C69" s="33" t="s">
        <v>144</v>
      </c>
      <c r="D69" s="33" t="s">
        <v>837</v>
      </c>
      <c r="E69" s="20" t="s">
        <v>144</v>
      </c>
    </row>
    <row r="70" ht="15.75" customHeight="1">
      <c r="A70" s="32" t="s">
        <v>420</v>
      </c>
      <c r="B70" s="32" t="s">
        <v>333</v>
      </c>
      <c r="C70" s="32" t="s">
        <v>329</v>
      </c>
      <c r="D70" s="32" t="s">
        <v>836</v>
      </c>
      <c r="E70" s="8" t="s">
        <v>751</v>
      </c>
    </row>
    <row r="71" ht="15.75" customHeight="1">
      <c r="A71" s="33" t="s">
        <v>333</v>
      </c>
      <c r="B71" s="33" t="s">
        <v>420</v>
      </c>
      <c r="C71" s="33" t="s">
        <v>655</v>
      </c>
      <c r="D71" s="33" t="s">
        <v>837</v>
      </c>
      <c r="E71" s="20" t="s">
        <v>751</v>
      </c>
    </row>
    <row r="72" ht="15.75" customHeight="1">
      <c r="A72" s="32" t="s">
        <v>420</v>
      </c>
      <c r="B72" s="32" t="s">
        <v>344</v>
      </c>
      <c r="C72" s="32" t="s">
        <v>339</v>
      </c>
      <c r="D72" s="32" t="s">
        <v>836</v>
      </c>
      <c r="E72" s="8" t="s">
        <v>751</v>
      </c>
    </row>
    <row r="73" ht="15.75" customHeight="1">
      <c r="A73" s="33" t="s">
        <v>344</v>
      </c>
      <c r="B73" s="33" t="s">
        <v>420</v>
      </c>
      <c r="C73" s="33" t="s">
        <v>655</v>
      </c>
      <c r="D73" s="33" t="s">
        <v>837</v>
      </c>
      <c r="E73" s="20" t="s">
        <v>751</v>
      </c>
    </row>
    <row r="74" ht="15.75" customHeight="1">
      <c r="A74" s="32" t="s">
        <v>420</v>
      </c>
      <c r="B74" s="32" t="s">
        <v>354</v>
      </c>
      <c r="C74" s="32" t="s">
        <v>349</v>
      </c>
      <c r="D74" s="32" t="s">
        <v>836</v>
      </c>
      <c r="E74" s="8" t="s">
        <v>751</v>
      </c>
    </row>
    <row r="75" ht="15.75" customHeight="1">
      <c r="A75" s="33" t="s">
        <v>354</v>
      </c>
      <c r="B75" s="33" t="s">
        <v>420</v>
      </c>
      <c r="C75" s="33" t="s">
        <v>655</v>
      </c>
      <c r="D75" s="33" t="s">
        <v>837</v>
      </c>
      <c r="E75" s="20" t="s">
        <v>751</v>
      </c>
    </row>
    <row r="76" ht="15.75" customHeight="1">
      <c r="A76" s="32" t="s">
        <v>435</v>
      </c>
      <c r="B76" s="32" t="s">
        <v>486</v>
      </c>
      <c r="C76" s="32" t="s">
        <v>664</v>
      </c>
      <c r="D76" s="32" t="s">
        <v>836</v>
      </c>
      <c r="E76" s="8" t="s">
        <v>812</v>
      </c>
    </row>
    <row r="77" ht="15.75" customHeight="1">
      <c r="A77" s="33" t="s">
        <v>486</v>
      </c>
      <c r="B77" s="33" t="s">
        <v>435</v>
      </c>
      <c r="C77" s="33" t="s">
        <v>437</v>
      </c>
      <c r="D77" s="33" t="s">
        <v>837</v>
      </c>
      <c r="E77" s="20" t="s">
        <v>812</v>
      </c>
    </row>
    <row r="78" ht="15.75" customHeight="1">
      <c r="A78" s="32" t="s">
        <v>435</v>
      </c>
      <c r="B78" s="32" t="s">
        <v>496</v>
      </c>
      <c r="C78" s="32" t="s">
        <v>490</v>
      </c>
      <c r="D78" s="32" t="s">
        <v>836</v>
      </c>
      <c r="E78" s="8" t="s">
        <v>812</v>
      </c>
    </row>
    <row r="79" ht="15.75" customHeight="1">
      <c r="A79" s="33" t="s">
        <v>496</v>
      </c>
      <c r="B79" s="33" t="s">
        <v>435</v>
      </c>
      <c r="C79" s="33" t="s">
        <v>437</v>
      </c>
      <c r="D79" s="33" t="s">
        <v>837</v>
      </c>
      <c r="E79" s="20" t="s">
        <v>812</v>
      </c>
    </row>
    <row r="80" ht="15.75" customHeight="1">
      <c r="A80" s="32" t="s">
        <v>435</v>
      </c>
      <c r="B80" s="32" t="s">
        <v>504</v>
      </c>
      <c r="C80" s="32" t="s">
        <v>497</v>
      </c>
      <c r="D80" s="32" t="s">
        <v>836</v>
      </c>
      <c r="E80" s="8" t="s">
        <v>812</v>
      </c>
    </row>
    <row r="81" ht="15.75" customHeight="1">
      <c r="A81" s="33" t="s">
        <v>504</v>
      </c>
      <c r="B81" s="33" t="s">
        <v>435</v>
      </c>
      <c r="C81" s="33" t="s">
        <v>437</v>
      </c>
      <c r="D81" s="33" t="s">
        <v>837</v>
      </c>
      <c r="E81" s="20" t="s">
        <v>812</v>
      </c>
    </row>
    <row r="82" ht="15.75" customHeight="1">
      <c r="A82" s="32" t="s">
        <v>435</v>
      </c>
      <c r="B82" s="32" t="s">
        <v>513</v>
      </c>
      <c r="C82" s="32" t="s">
        <v>508</v>
      </c>
      <c r="D82" s="32" t="s">
        <v>836</v>
      </c>
      <c r="E82" s="8" t="s">
        <v>812</v>
      </c>
    </row>
    <row r="83" ht="15.75" customHeight="1">
      <c r="A83" s="33" t="s">
        <v>513</v>
      </c>
      <c r="B83" s="33" t="s">
        <v>435</v>
      </c>
      <c r="C83" s="33" t="s">
        <v>437</v>
      </c>
      <c r="D83" s="33" t="s">
        <v>837</v>
      </c>
      <c r="E83" s="20" t="s">
        <v>812</v>
      </c>
    </row>
    <row r="84" ht="15.75" customHeight="1">
      <c r="A84" s="32" t="s">
        <v>435</v>
      </c>
      <c r="B84" s="32" t="s">
        <v>674</v>
      </c>
      <c r="C84" s="32" t="s">
        <v>675</v>
      </c>
      <c r="D84" s="32" t="s">
        <v>836</v>
      </c>
      <c r="E84" s="8" t="s">
        <v>812</v>
      </c>
    </row>
    <row r="85" ht="15.75" customHeight="1">
      <c r="A85" s="33" t="s">
        <v>674</v>
      </c>
      <c r="B85" s="33" t="s">
        <v>435</v>
      </c>
      <c r="C85" s="33" t="s">
        <v>437</v>
      </c>
      <c r="D85" s="33" t="s">
        <v>837</v>
      </c>
      <c r="E85" s="20" t="s">
        <v>812</v>
      </c>
    </row>
    <row r="86" ht="15.75" customHeight="1">
      <c r="A86" s="32" t="s">
        <v>435</v>
      </c>
      <c r="B86" s="32" t="s">
        <v>677</v>
      </c>
      <c r="C86" s="32" t="s">
        <v>678</v>
      </c>
      <c r="D86" s="32" t="s">
        <v>836</v>
      </c>
      <c r="E86" s="8" t="s">
        <v>812</v>
      </c>
    </row>
    <row r="87" ht="15.75" customHeight="1">
      <c r="A87" s="33" t="s">
        <v>677</v>
      </c>
      <c r="B87" s="33" t="s">
        <v>435</v>
      </c>
      <c r="C87" s="33" t="s">
        <v>437</v>
      </c>
      <c r="D87" s="33" t="s">
        <v>837</v>
      </c>
      <c r="E87" s="20" t="s">
        <v>812</v>
      </c>
    </row>
    <row r="88" ht="15.75" customHeight="1">
      <c r="A88" s="32" t="s">
        <v>462</v>
      </c>
      <c r="B88" s="32" t="s">
        <v>472</v>
      </c>
      <c r="C88" s="32" t="s">
        <v>468</v>
      </c>
      <c r="D88" s="32" t="s">
        <v>836</v>
      </c>
      <c r="E88" s="8" t="s">
        <v>817</v>
      </c>
    </row>
    <row r="89" ht="15.75" customHeight="1">
      <c r="A89" s="33" t="s">
        <v>472</v>
      </c>
      <c r="B89" s="33" t="s">
        <v>462</v>
      </c>
      <c r="C89" s="33" t="s">
        <v>457</v>
      </c>
      <c r="D89" s="33" t="s">
        <v>837</v>
      </c>
      <c r="E89" s="20" t="s">
        <v>817</v>
      </c>
    </row>
    <row r="90" ht="15.75" customHeight="1">
      <c r="A90" s="32" t="s">
        <v>462</v>
      </c>
      <c r="B90" s="32" t="s">
        <v>445</v>
      </c>
      <c r="C90" s="32" t="s">
        <v>659</v>
      </c>
      <c r="D90" s="32" t="s">
        <v>836</v>
      </c>
      <c r="E90" s="8" t="s">
        <v>817</v>
      </c>
    </row>
    <row r="91" ht="15.75" customHeight="1">
      <c r="A91" s="33" t="s">
        <v>445</v>
      </c>
      <c r="B91" s="33" t="s">
        <v>462</v>
      </c>
      <c r="C91" s="33" t="s">
        <v>457</v>
      </c>
      <c r="D91" s="33" t="s">
        <v>837</v>
      </c>
      <c r="E91" s="20" t="s">
        <v>817</v>
      </c>
    </row>
    <row r="92" ht="15.75" customHeight="1">
      <c r="A92" s="32" t="s">
        <v>462</v>
      </c>
      <c r="B92" s="32" t="s">
        <v>522</v>
      </c>
      <c r="C92" s="32" t="s">
        <v>517</v>
      </c>
      <c r="D92" s="32" t="s">
        <v>836</v>
      </c>
      <c r="E92" s="8" t="s">
        <v>817</v>
      </c>
    </row>
    <row r="93" ht="15.75" customHeight="1">
      <c r="A93" s="33" t="s">
        <v>522</v>
      </c>
      <c r="B93" s="33" t="s">
        <v>462</v>
      </c>
      <c r="C93" s="33" t="s">
        <v>457</v>
      </c>
      <c r="D93" s="33" t="s">
        <v>837</v>
      </c>
      <c r="E93" s="20" t="s">
        <v>817</v>
      </c>
    </row>
    <row r="94" ht="15.75" customHeight="1">
      <c r="A94" s="32" t="s">
        <v>462</v>
      </c>
      <c r="B94" s="32" t="s">
        <v>480</v>
      </c>
      <c r="C94" s="32" t="s">
        <v>476</v>
      </c>
      <c r="D94" s="32" t="s">
        <v>836</v>
      </c>
      <c r="E94" s="8" t="s">
        <v>817</v>
      </c>
    </row>
    <row r="95" ht="15.75" customHeight="1">
      <c r="A95" s="33" t="s">
        <v>480</v>
      </c>
      <c r="B95" s="33" t="s">
        <v>462</v>
      </c>
      <c r="C95" s="33" t="s">
        <v>457</v>
      </c>
      <c r="D95" s="33" t="s">
        <v>837</v>
      </c>
      <c r="E95" s="20" t="s">
        <v>817</v>
      </c>
    </row>
    <row r="96" ht="15.75" customHeight="1">
      <c r="A96" s="32" t="s">
        <v>535</v>
      </c>
      <c r="B96" s="32" t="s">
        <v>545</v>
      </c>
      <c r="C96" s="32" t="s">
        <v>687</v>
      </c>
      <c r="D96" s="32" t="s">
        <v>836</v>
      </c>
      <c r="E96" s="8" t="s">
        <v>822</v>
      </c>
    </row>
    <row r="97" ht="15.75" customHeight="1">
      <c r="A97" s="33" t="s">
        <v>545</v>
      </c>
      <c r="B97" s="33" t="s">
        <v>535</v>
      </c>
      <c r="C97" s="33" t="s">
        <v>683</v>
      </c>
      <c r="D97" s="33" t="s">
        <v>837</v>
      </c>
      <c r="E97" s="20" t="s">
        <v>822</v>
      </c>
    </row>
    <row r="98" ht="15.75" customHeight="1">
      <c r="A98" s="32" t="s">
        <v>535</v>
      </c>
      <c r="B98" s="32" t="s">
        <v>557</v>
      </c>
      <c r="C98" s="32" t="s">
        <v>690</v>
      </c>
      <c r="D98" s="32" t="s">
        <v>836</v>
      </c>
      <c r="E98" s="8" t="s">
        <v>822</v>
      </c>
    </row>
    <row r="99" ht="15.75" customHeight="1">
      <c r="A99" s="33" t="s">
        <v>557</v>
      </c>
      <c r="B99" s="33" t="s">
        <v>535</v>
      </c>
      <c r="C99" s="33" t="s">
        <v>683</v>
      </c>
      <c r="D99" s="33" t="s">
        <v>837</v>
      </c>
      <c r="E99" s="20" t="s">
        <v>822</v>
      </c>
    </row>
    <row r="100" ht="15.75" customHeight="1">
      <c r="A100" s="32" t="s">
        <v>535</v>
      </c>
      <c r="B100" s="32" t="s">
        <v>564</v>
      </c>
      <c r="C100" s="32" t="s">
        <v>695</v>
      </c>
      <c r="D100" s="32" t="s">
        <v>836</v>
      </c>
      <c r="E100" s="8" t="s">
        <v>822</v>
      </c>
    </row>
    <row r="101" ht="15.75" customHeight="1">
      <c r="A101" s="33" t="s">
        <v>564</v>
      </c>
      <c r="B101" s="33" t="s">
        <v>535</v>
      </c>
      <c r="C101" s="33" t="s">
        <v>683</v>
      </c>
      <c r="D101" s="33" t="s">
        <v>837</v>
      </c>
      <c r="E101" s="20" t="s">
        <v>822</v>
      </c>
    </row>
    <row r="102" ht="15.75" customHeight="1">
      <c r="A102" s="32" t="s">
        <v>535</v>
      </c>
      <c r="B102" s="32" t="s">
        <v>571</v>
      </c>
      <c r="C102" s="32" t="s">
        <v>701</v>
      </c>
      <c r="D102" s="32" t="s">
        <v>836</v>
      </c>
      <c r="E102" s="8" t="s">
        <v>822</v>
      </c>
    </row>
    <row r="103" ht="15.75" customHeight="1">
      <c r="A103" s="33" t="s">
        <v>571</v>
      </c>
      <c r="B103" s="33" t="s">
        <v>535</v>
      </c>
      <c r="C103" s="33" t="s">
        <v>683</v>
      </c>
      <c r="D103" s="33" t="s">
        <v>837</v>
      </c>
      <c r="E103" s="20" t="s">
        <v>822</v>
      </c>
    </row>
    <row r="104" ht="15.75" customHeight="1">
      <c r="A104" s="32" t="s">
        <v>535</v>
      </c>
      <c r="B104" s="32" t="s">
        <v>580</v>
      </c>
      <c r="C104" s="32" t="s">
        <v>861</v>
      </c>
      <c r="D104" s="32" t="s">
        <v>836</v>
      </c>
      <c r="E104" s="8" t="s">
        <v>822</v>
      </c>
    </row>
    <row r="105" ht="15.75" customHeight="1">
      <c r="A105" s="33" t="s">
        <v>580</v>
      </c>
      <c r="B105" s="33" t="s">
        <v>535</v>
      </c>
      <c r="C105" s="33" t="s">
        <v>683</v>
      </c>
      <c r="D105" s="33" t="s">
        <v>837</v>
      </c>
      <c r="E105" s="20" t="s">
        <v>822</v>
      </c>
    </row>
    <row r="106" ht="15.75" customHeight="1">
      <c r="A106" s="32" t="s">
        <v>535</v>
      </c>
      <c r="B106" s="32" t="s">
        <v>707</v>
      </c>
      <c r="C106" s="32" t="s">
        <v>862</v>
      </c>
      <c r="D106" s="32" t="s">
        <v>836</v>
      </c>
      <c r="E106" s="8" t="s">
        <v>822</v>
      </c>
    </row>
    <row r="107" ht="15.75" customHeight="1">
      <c r="A107" s="33" t="s">
        <v>707</v>
      </c>
      <c r="B107" s="33" t="s">
        <v>535</v>
      </c>
      <c r="C107" s="33" t="s">
        <v>683</v>
      </c>
      <c r="D107" s="33" t="s">
        <v>837</v>
      </c>
      <c r="E107" s="20" t="s">
        <v>822</v>
      </c>
    </row>
    <row r="108" ht="15.75" customHeight="1">
      <c r="A108" s="32" t="s">
        <v>101</v>
      </c>
      <c r="B108" s="32" t="s">
        <v>63</v>
      </c>
      <c r="C108" s="32" t="s">
        <v>863</v>
      </c>
      <c r="D108" s="32" t="s">
        <v>864</v>
      </c>
      <c r="E108" s="8" t="s">
        <v>865</v>
      </c>
    </row>
    <row r="109" ht="15.75" customHeight="1">
      <c r="A109" s="33" t="s">
        <v>130</v>
      </c>
      <c r="B109" s="33" t="s">
        <v>126</v>
      </c>
      <c r="C109" s="33" t="s">
        <v>866</v>
      </c>
      <c r="D109" s="33" t="s">
        <v>864</v>
      </c>
      <c r="E109" s="20" t="s">
        <v>865</v>
      </c>
    </row>
    <row r="110" ht="15.75" customHeight="1">
      <c r="A110" s="32" t="s">
        <v>140</v>
      </c>
      <c r="B110" s="32" t="s">
        <v>136</v>
      </c>
      <c r="C110" s="32" t="s">
        <v>867</v>
      </c>
      <c r="D110" s="32" t="s">
        <v>864</v>
      </c>
      <c r="E110" s="8" t="s">
        <v>865</v>
      </c>
    </row>
    <row r="111" ht="15.75" customHeight="1">
      <c r="A111" s="33" t="s">
        <v>162</v>
      </c>
      <c r="B111" s="33" t="s">
        <v>158</v>
      </c>
      <c r="C111" s="33" t="s">
        <v>868</v>
      </c>
      <c r="D111" s="33" t="s">
        <v>864</v>
      </c>
      <c r="E111" s="20" t="s">
        <v>865</v>
      </c>
    </row>
    <row r="112" ht="15.75" customHeight="1">
      <c r="A112" s="32" t="s">
        <v>174</v>
      </c>
      <c r="B112" s="32" t="s">
        <v>168</v>
      </c>
      <c r="C112" s="32" t="s">
        <v>869</v>
      </c>
      <c r="D112" s="32" t="s">
        <v>864</v>
      </c>
      <c r="E112" s="8" t="s">
        <v>865</v>
      </c>
    </row>
    <row r="113" ht="15.75" customHeight="1">
      <c r="A113" s="33" t="s">
        <v>182</v>
      </c>
      <c r="B113" s="33" t="s">
        <v>180</v>
      </c>
      <c r="C113" s="33" t="s">
        <v>870</v>
      </c>
      <c r="D113" s="33" t="s">
        <v>864</v>
      </c>
      <c r="E113" s="20" t="s">
        <v>865</v>
      </c>
    </row>
    <row r="114" ht="15.75" customHeight="1">
      <c r="A114" s="32" t="s">
        <v>195</v>
      </c>
      <c r="B114" s="32" t="s">
        <v>188</v>
      </c>
      <c r="C114" s="32" t="s">
        <v>872</v>
      </c>
      <c r="D114" s="32" t="s">
        <v>864</v>
      </c>
      <c r="E114" s="8" t="s">
        <v>865</v>
      </c>
    </row>
    <row r="115" ht="15.75" customHeight="1">
      <c r="A115" s="33" t="s">
        <v>218</v>
      </c>
      <c r="B115" s="33" t="s">
        <v>201</v>
      </c>
      <c r="C115" s="33" t="s">
        <v>873</v>
      </c>
      <c r="D115" s="33" t="s">
        <v>864</v>
      </c>
      <c r="E115" s="20" t="s">
        <v>865</v>
      </c>
    </row>
    <row r="116" ht="15.75" customHeight="1">
      <c r="A116" s="32" t="s">
        <v>271</v>
      </c>
      <c r="B116" s="32" t="s">
        <v>241</v>
      </c>
      <c r="C116" s="32" t="s">
        <v>874</v>
      </c>
      <c r="D116" s="32" t="s">
        <v>864</v>
      </c>
      <c r="E116" s="8" t="s">
        <v>865</v>
      </c>
    </row>
    <row r="117" ht="15.75" customHeight="1">
      <c r="A117" s="33" t="s">
        <v>283</v>
      </c>
      <c r="B117" s="33" t="s">
        <v>279</v>
      </c>
      <c r="C117" s="33" t="s">
        <v>875</v>
      </c>
      <c r="D117" s="33" t="s">
        <v>864</v>
      </c>
      <c r="E117" s="20" t="s">
        <v>865</v>
      </c>
    </row>
    <row r="118" ht="15.75" customHeight="1">
      <c r="A118" s="32" t="s">
        <v>296</v>
      </c>
      <c r="B118" s="32" t="s">
        <v>289</v>
      </c>
      <c r="C118" s="32" t="s">
        <v>876</v>
      </c>
      <c r="D118" s="32" t="s">
        <v>864</v>
      </c>
      <c r="E118" s="8" t="s">
        <v>865</v>
      </c>
    </row>
    <row r="119" ht="15.75" customHeight="1">
      <c r="A119" s="33" t="s">
        <v>308</v>
      </c>
      <c r="B119" s="33" t="s">
        <v>302</v>
      </c>
      <c r="C119" s="33" t="s">
        <v>877</v>
      </c>
      <c r="D119" s="33" t="s">
        <v>864</v>
      </c>
      <c r="E119" s="20" t="s">
        <v>865</v>
      </c>
    </row>
    <row r="120" ht="15.75" customHeight="1">
      <c r="A120" s="32" t="s">
        <v>319</v>
      </c>
      <c r="B120" s="32" t="s">
        <v>314</v>
      </c>
      <c r="C120" s="32" t="s">
        <v>878</v>
      </c>
      <c r="D120" s="32" t="s">
        <v>864</v>
      </c>
      <c r="E120" s="8" t="s">
        <v>865</v>
      </c>
    </row>
    <row r="121" ht="15.75" customHeight="1">
      <c r="A121" s="33" t="s">
        <v>327</v>
      </c>
      <c r="B121" s="33" t="s">
        <v>325</v>
      </c>
      <c r="C121" s="33" t="s">
        <v>880</v>
      </c>
      <c r="D121" s="33" t="s">
        <v>864</v>
      </c>
      <c r="E121" s="20" t="s">
        <v>865</v>
      </c>
    </row>
    <row r="122" ht="15.75" customHeight="1">
      <c r="A122" s="32" t="s">
        <v>337</v>
      </c>
      <c r="B122" s="32" t="s">
        <v>333</v>
      </c>
      <c r="C122" s="32" t="s">
        <v>881</v>
      </c>
      <c r="D122" s="32" t="s">
        <v>864</v>
      </c>
      <c r="E122" s="8" t="s">
        <v>865</v>
      </c>
    </row>
    <row r="123" ht="15.75" customHeight="1">
      <c r="A123" s="33" t="s">
        <v>348</v>
      </c>
      <c r="B123" s="33" t="s">
        <v>344</v>
      </c>
      <c r="C123" s="33" t="s">
        <v>882</v>
      </c>
      <c r="D123" s="33" t="s">
        <v>864</v>
      </c>
      <c r="E123" s="20" t="s">
        <v>865</v>
      </c>
    </row>
    <row r="124" ht="15.75" customHeight="1">
      <c r="A124" s="32" t="s">
        <v>358</v>
      </c>
      <c r="B124" s="32" t="s">
        <v>354</v>
      </c>
      <c r="C124" s="32" t="s">
        <v>883</v>
      </c>
      <c r="D124" s="32" t="s">
        <v>864</v>
      </c>
      <c r="E124" s="8" t="s">
        <v>865</v>
      </c>
    </row>
    <row r="125" ht="15.75" customHeight="1">
      <c r="A125" s="33" t="s">
        <v>378</v>
      </c>
      <c r="B125" s="33" t="s">
        <v>369</v>
      </c>
      <c r="C125" s="33" t="s">
        <v>884</v>
      </c>
      <c r="D125" s="33" t="s">
        <v>864</v>
      </c>
      <c r="E125" s="20" t="s">
        <v>865</v>
      </c>
    </row>
    <row r="126" ht="15.75" customHeight="1">
      <c r="A126" s="32" t="s">
        <v>390</v>
      </c>
      <c r="B126" s="32" t="s">
        <v>384</v>
      </c>
      <c r="C126" s="32" t="s">
        <v>885</v>
      </c>
      <c r="D126" s="32" t="s">
        <v>864</v>
      </c>
      <c r="E126" s="8" t="s">
        <v>865</v>
      </c>
    </row>
    <row r="127" ht="15.75" customHeight="1">
      <c r="A127" s="33" t="s">
        <v>402</v>
      </c>
      <c r="B127" s="33" t="s">
        <v>397</v>
      </c>
      <c r="C127" s="33" t="s">
        <v>886</v>
      </c>
      <c r="D127" s="33" t="s">
        <v>864</v>
      </c>
      <c r="E127" s="20" t="s">
        <v>865</v>
      </c>
    </row>
    <row r="128" ht="15.75" customHeight="1">
      <c r="A128" s="32" t="s">
        <v>414</v>
      </c>
      <c r="B128" s="32" t="s">
        <v>410</v>
      </c>
      <c r="C128" s="32" t="s">
        <v>887</v>
      </c>
      <c r="D128" s="32" t="s">
        <v>864</v>
      </c>
      <c r="E128" s="8" t="s">
        <v>865</v>
      </c>
    </row>
    <row r="129" ht="15.75" customHeight="1">
      <c r="A129" s="33" t="s">
        <v>427</v>
      </c>
      <c r="B129" s="33" t="s">
        <v>420</v>
      </c>
      <c r="C129" s="33" t="s">
        <v>888</v>
      </c>
      <c r="D129" s="33" t="s">
        <v>864</v>
      </c>
      <c r="E129" s="20" t="s">
        <v>865</v>
      </c>
    </row>
    <row r="130" ht="15.75" customHeight="1">
      <c r="A130" s="32" t="s">
        <v>63</v>
      </c>
      <c r="B130" s="32" t="s">
        <v>677</v>
      </c>
      <c r="C130" s="32" t="s">
        <v>889</v>
      </c>
      <c r="D130" s="32" t="s">
        <v>890</v>
      </c>
      <c r="E130" s="8" t="s">
        <v>891</v>
      </c>
    </row>
    <row r="131" ht="15.75" customHeight="1">
      <c r="A131" s="33" t="s">
        <v>108</v>
      </c>
      <c r="B131" s="33" t="s">
        <v>677</v>
      </c>
      <c r="C131" s="33" t="s">
        <v>889</v>
      </c>
      <c r="D131" s="33" t="s">
        <v>890</v>
      </c>
      <c r="E131" s="20" t="s">
        <v>891</v>
      </c>
    </row>
    <row r="132" ht="15.75" customHeight="1">
      <c r="A132" s="32" t="s">
        <v>188</v>
      </c>
      <c r="B132" s="32" t="s">
        <v>677</v>
      </c>
      <c r="C132" s="32" t="s">
        <v>889</v>
      </c>
      <c r="D132" s="32" t="s">
        <v>890</v>
      </c>
      <c r="E132" s="8" t="s">
        <v>891</v>
      </c>
    </row>
    <row r="133" ht="15.75" customHeight="1">
      <c r="A133" s="33" t="s">
        <v>126</v>
      </c>
      <c r="B133" s="33" t="s">
        <v>677</v>
      </c>
      <c r="C133" s="33" t="s">
        <v>889</v>
      </c>
      <c r="D133" s="33" t="s">
        <v>890</v>
      </c>
      <c r="E133" s="20" t="s">
        <v>891</v>
      </c>
    </row>
    <row r="134" ht="15.75" customHeight="1">
      <c r="A134" s="32" t="s">
        <v>119</v>
      </c>
      <c r="B134" s="32" t="s">
        <v>677</v>
      </c>
      <c r="C134" s="32" t="s">
        <v>889</v>
      </c>
      <c r="D134" s="32" t="s">
        <v>890</v>
      </c>
      <c r="E134" s="8" t="s">
        <v>891</v>
      </c>
    </row>
    <row r="135" ht="15.75" customHeight="1">
      <c r="A135" s="33" t="s">
        <v>158</v>
      </c>
      <c r="B135" s="33" t="s">
        <v>677</v>
      </c>
      <c r="C135" s="33" t="s">
        <v>889</v>
      </c>
      <c r="D135" s="33" t="s">
        <v>890</v>
      </c>
      <c r="E135" s="20" t="s">
        <v>891</v>
      </c>
    </row>
    <row r="136" ht="15.75" customHeight="1">
      <c r="A136" s="32" t="s">
        <v>136</v>
      </c>
      <c r="B136" s="32" t="s">
        <v>677</v>
      </c>
      <c r="C136" s="32" t="s">
        <v>889</v>
      </c>
      <c r="D136" s="32" t="s">
        <v>890</v>
      </c>
      <c r="E136" s="8" t="s">
        <v>891</v>
      </c>
    </row>
    <row r="137" ht="15.75" customHeight="1">
      <c r="A137" s="33" t="s">
        <v>462</v>
      </c>
      <c r="B137" s="33" t="s">
        <v>677</v>
      </c>
      <c r="C137" s="33" t="s">
        <v>889</v>
      </c>
      <c r="D137" s="33" t="s">
        <v>890</v>
      </c>
      <c r="E137" s="20" t="s">
        <v>891</v>
      </c>
    </row>
    <row r="138" ht="15.75" customHeight="1">
      <c r="A138" s="32" t="s">
        <v>445</v>
      </c>
      <c r="B138" s="32" t="s">
        <v>677</v>
      </c>
      <c r="C138" s="32" t="s">
        <v>889</v>
      </c>
      <c r="D138" s="32" t="s">
        <v>890</v>
      </c>
      <c r="E138" s="8" t="s">
        <v>891</v>
      </c>
    </row>
    <row r="139" ht="15.75" customHeight="1">
      <c r="A139" s="33" t="s">
        <v>454</v>
      </c>
      <c r="B139" s="33" t="s">
        <v>677</v>
      </c>
      <c r="C139" s="33" t="s">
        <v>889</v>
      </c>
      <c r="D139" s="33" t="s">
        <v>890</v>
      </c>
      <c r="E139" s="20" t="s">
        <v>891</v>
      </c>
    </row>
    <row r="140" ht="15.75" customHeight="1">
      <c r="A140" s="32" t="s">
        <v>522</v>
      </c>
      <c r="B140" s="32" t="s">
        <v>677</v>
      </c>
      <c r="C140" s="32" t="s">
        <v>889</v>
      </c>
      <c r="D140" s="32" t="s">
        <v>890</v>
      </c>
      <c r="E140" s="8" t="s">
        <v>891</v>
      </c>
    </row>
    <row r="141" ht="15.75" customHeight="1">
      <c r="A141" s="33" t="s">
        <v>486</v>
      </c>
      <c r="B141" s="33" t="s">
        <v>677</v>
      </c>
      <c r="C141" s="33" t="s">
        <v>889</v>
      </c>
      <c r="D141" s="33" t="s">
        <v>890</v>
      </c>
      <c r="E141" s="20" t="s">
        <v>891</v>
      </c>
    </row>
    <row r="142" ht="15.75" customHeight="1">
      <c r="A142" s="32" t="s">
        <v>535</v>
      </c>
      <c r="B142" s="32" t="s">
        <v>677</v>
      </c>
      <c r="C142" s="32" t="s">
        <v>889</v>
      </c>
      <c r="D142" s="32" t="s">
        <v>890</v>
      </c>
      <c r="E142" s="8" t="s">
        <v>891</v>
      </c>
    </row>
    <row r="143" ht="15.75" customHeight="1">
      <c r="A143" s="33" t="s">
        <v>63</v>
      </c>
      <c r="B143" s="33" t="s">
        <v>180</v>
      </c>
      <c r="C143" s="33" t="s">
        <v>894</v>
      </c>
      <c r="D143" s="33" t="s">
        <v>895</v>
      </c>
      <c r="E143" s="20" t="s">
        <v>896</v>
      </c>
    </row>
    <row r="144" ht="15.75" customHeight="1">
      <c r="A144" s="32" t="s">
        <v>63</v>
      </c>
      <c r="B144" s="32" t="s">
        <v>168</v>
      </c>
      <c r="C144" s="32" t="s">
        <v>897</v>
      </c>
      <c r="D144" s="32" t="s">
        <v>895</v>
      </c>
      <c r="E144" s="8" t="s">
        <v>896</v>
      </c>
    </row>
    <row r="145" ht="15.75" customHeight="1">
      <c r="A145" s="33" t="s">
        <v>180</v>
      </c>
      <c r="B145" s="33" t="s">
        <v>63</v>
      </c>
      <c r="C145" s="33" t="s">
        <v>898</v>
      </c>
      <c r="D145" s="33" t="s">
        <v>895</v>
      </c>
      <c r="E145" s="20" t="s">
        <v>896</v>
      </c>
    </row>
    <row r="146" ht="15.75" customHeight="1">
      <c r="A146" s="32" t="s">
        <v>168</v>
      </c>
      <c r="B146" s="32" t="s">
        <v>63</v>
      </c>
      <c r="C146" s="32" t="s">
        <v>899</v>
      </c>
      <c r="D146" s="32" t="s">
        <v>895</v>
      </c>
      <c r="E146" s="8" t="s">
        <v>896</v>
      </c>
    </row>
    <row r="147" ht="15.75" customHeight="1">
      <c r="A147" s="33" t="s">
        <v>188</v>
      </c>
      <c r="B147" s="33" t="s">
        <v>158</v>
      </c>
      <c r="C147" s="33" t="s">
        <v>900</v>
      </c>
      <c r="D147" s="33" t="s">
        <v>901</v>
      </c>
      <c r="E147" s="20" t="s">
        <v>896</v>
      </c>
    </row>
    <row r="148" ht="15.75" customHeight="1">
      <c r="A148" s="32" t="s">
        <v>158</v>
      </c>
      <c r="B148" s="32" t="s">
        <v>344</v>
      </c>
      <c r="C148" s="32" t="s">
        <v>902</v>
      </c>
      <c r="D148" s="32" t="s">
        <v>903</v>
      </c>
      <c r="E148" s="8" t="s">
        <v>896</v>
      </c>
    </row>
    <row r="149" ht="15.75" customHeight="1">
      <c r="A149" s="33" t="s">
        <v>126</v>
      </c>
      <c r="B149" s="33" t="s">
        <v>136</v>
      </c>
      <c r="C149" s="33" t="s">
        <v>905</v>
      </c>
      <c r="D149" s="33" t="s">
        <v>906</v>
      </c>
      <c r="E149" s="20" t="s">
        <v>896</v>
      </c>
    </row>
    <row r="150" ht="15.75" customHeight="1">
      <c r="A150" s="32" t="s">
        <v>136</v>
      </c>
      <c r="B150" s="32" t="s">
        <v>126</v>
      </c>
      <c r="C150" s="32" t="s">
        <v>907</v>
      </c>
      <c r="D150" s="32" t="s">
        <v>906</v>
      </c>
      <c r="E150" s="8" t="s">
        <v>896</v>
      </c>
    </row>
    <row r="151" ht="15.75" customHeight="1">
      <c r="A151" s="33" t="s">
        <v>369</v>
      </c>
      <c r="B151" s="33" t="s">
        <v>188</v>
      </c>
      <c r="C151" s="33" t="s">
        <v>908</v>
      </c>
      <c r="D151" s="33" t="s">
        <v>909</v>
      </c>
      <c r="E151" s="20" t="s">
        <v>896</v>
      </c>
    </row>
    <row r="152" ht="15.75" customHeight="1">
      <c r="A152" s="32" t="s">
        <v>384</v>
      </c>
      <c r="B152" s="32" t="s">
        <v>158</v>
      </c>
      <c r="C152" s="32" t="s">
        <v>910</v>
      </c>
      <c r="D152" s="32" t="s">
        <v>909</v>
      </c>
      <c r="E152" s="8" t="s">
        <v>896</v>
      </c>
    </row>
    <row r="153" ht="15.75" customHeight="1">
      <c r="A153" s="33" t="s">
        <v>397</v>
      </c>
      <c r="B153" s="33" t="s">
        <v>158</v>
      </c>
      <c r="C153" s="33" t="s">
        <v>912</v>
      </c>
      <c r="D153" s="33" t="s">
        <v>909</v>
      </c>
      <c r="E153" s="20" t="s">
        <v>896</v>
      </c>
    </row>
    <row r="154" ht="15.75" customHeight="1">
      <c r="A154" s="32" t="s">
        <v>397</v>
      </c>
      <c r="B154" s="32" t="s">
        <v>188</v>
      </c>
      <c r="C154" s="32" t="s">
        <v>914</v>
      </c>
      <c r="D154" s="32" t="s">
        <v>909</v>
      </c>
      <c r="E154" s="8" t="s">
        <v>896</v>
      </c>
    </row>
    <row r="155" ht="15.75" customHeight="1">
      <c r="A155" s="33" t="s">
        <v>410</v>
      </c>
      <c r="B155" s="33" t="s">
        <v>289</v>
      </c>
      <c r="C155" s="33" t="s">
        <v>915</v>
      </c>
      <c r="D155" s="33" t="s">
        <v>909</v>
      </c>
      <c r="E155" s="20" t="s">
        <v>896</v>
      </c>
    </row>
    <row r="156" ht="15.75" customHeight="1">
      <c r="A156" s="32" t="s">
        <v>369</v>
      </c>
      <c r="B156" s="32" t="s">
        <v>241</v>
      </c>
      <c r="C156" s="32" t="s">
        <v>916</v>
      </c>
      <c r="D156" s="32" t="s">
        <v>909</v>
      </c>
      <c r="E156" s="8" t="s">
        <v>896</v>
      </c>
    </row>
    <row r="157" ht="15.75" customHeight="1">
      <c r="A157" s="33" t="s">
        <v>279</v>
      </c>
      <c r="B157" s="33" t="s">
        <v>289</v>
      </c>
      <c r="C157" s="33" t="s">
        <v>917</v>
      </c>
      <c r="D157" s="33" t="s">
        <v>918</v>
      </c>
      <c r="E157" s="20" t="s">
        <v>896</v>
      </c>
    </row>
    <row r="158" ht="15.75" customHeight="1">
      <c r="A158" s="32" t="s">
        <v>314</v>
      </c>
      <c r="B158" s="32" t="s">
        <v>333</v>
      </c>
      <c r="C158" s="32" t="s">
        <v>919</v>
      </c>
      <c r="D158" s="32" t="s">
        <v>903</v>
      </c>
      <c r="E158" s="8" t="s">
        <v>896</v>
      </c>
    </row>
    <row r="159" ht="15.75" customHeight="1">
      <c r="A159" s="33" t="s">
        <v>302</v>
      </c>
      <c r="B159" s="33" t="s">
        <v>279</v>
      </c>
      <c r="C159" s="33" t="s">
        <v>921</v>
      </c>
      <c r="D159" s="33" t="s">
        <v>922</v>
      </c>
      <c r="E159" s="20" t="s">
        <v>896</v>
      </c>
    </row>
    <row r="160" ht="15.75" customHeight="1">
      <c r="A160" s="32" t="s">
        <v>333</v>
      </c>
      <c r="B160" s="32" t="s">
        <v>314</v>
      </c>
      <c r="C160" s="32" t="s">
        <v>923</v>
      </c>
      <c r="D160" s="32" t="s">
        <v>924</v>
      </c>
      <c r="E160" s="8" t="s">
        <v>896</v>
      </c>
    </row>
    <row r="161" ht="15.75" customHeight="1">
      <c r="A161" s="33" t="s">
        <v>344</v>
      </c>
      <c r="B161" s="33" t="s">
        <v>149</v>
      </c>
      <c r="C161" s="33" t="s">
        <v>925</v>
      </c>
      <c r="D161" s="33" t="s">
        <v>924</v>
      </c>
      <c r="E161" s="20" t="s">
        <v>896</v>
      </c>
    </row>
    <row r="162" ht="15.75" customHeight="1">
      <c r="A162" s="32" t="s">
        <v>435</v>
      </c>
      <c r="B162" s="32" t="s">
        <v>108</v>
      </c>
      <c r="C162" s="32" t="s">
        <v>926</v>
      </c>
      <c r="D162" s="32" t="s">
        <v>927</v>
      </c>
      <c r="E162" s="8" t="s">
        <v>896</v>
      </c>
    </row>
    <row r="163" ht="15.75" customHeight="1">
      <c r="A163" s="33" t="s">
        <v>435</v>
      </c>
      <c r="B163" s="33" t="s">
        <v>63</v>
      </c>
      <c r="C163" s="33" t="s">
        <v>928</v>
      </c>
      <c r="D163" s="33" t="s">
        <v>927</v>
      </c>
      <c r="E163" s="20" t="s">
        <v>896</v>
      </c>
    </row>
    <row r="164" ht="15.75" customHeight="1">
      <c r="A164" s="32" t="s">
        <v>435</v>
      </c>
      <c r="B164" s="32" t="s">
        <v>119</v>
      </c>
      <c r="C164" s="32" t="s">
        <v>929</v>
      </c>
      <c r="D164" s="32" t="s">
        <v>927</v>
      </c>
      <c r="E164" s="8" t="s">
        <v>896</v>
      </c>
    </row>
    <row r="165" ht="15.75" customHeight="1">
      <c r="A165" s="33" t="s">
        <v>435</v>
      </c>
      <c r="B165" s="33" t="s">
        <v>462</v>
      </c>
      <c r="C165" s="33" t="s">
        <v>930</v>
      </c>
      <c r="D165" s="33" t="s">
        <v>927</v>
      </c>
      <c r="E165" s="20" t="s">
        <v>896</v>
      </c>
    </row>
    <row r="166" ht="15.75" customHeight="1">
      <c r="A166" s="32" t="s">
        <v>435</v>
      </c>
      <c r="B166" s="32" t="s">
        <v>535</v>
      </c>
      <c r="C166" s="32" t="s">
        <v>931</v>
      </c>
      <c r="D166" s="32" t="s">
        <v>932</v>
      </c>
      <c r="E166" s="8" t="s">
        <v>896</v>
      </c>
    </row>
    <row r="167" ht="15.75" customHeight="1">
      <c r="A167" s="33" t="s">
        <v>435</v>
      </c>
      <c r="B167" s="33" t="s">
        <v>522</v>
      </c>
      <c r="C167" s="33" t="s">
        <v>933</v>
      </c>
      <c r="D167" s="33" t="s">
        <v>934</v>
      </c>
      <c r="E167" s="20" t="s">
        <v>896</v>
      </c>
    </row>
    <row r="168" ht="15.75" customHeight="1">
      <c r="A168" s="32" t="s">
        <v>435</v>
      </c>
      <c r="B168" s="32" t="s">
        <v>445</v>
      </c>
      <c r="C168" s="32" t="s">
        <v>935</v>
      </c>
      <c r="D168" s="32" t="s">
        <v>934</v>
      </c>
      <c r="E168" s="8" t="s">
        <v>896</v>
      </c>
    </row>
    <row r="169" ht="15.75" customHeight="1">
      <c r="A169" s="33" t="s">
        <v>462</v>
      </c>
      <c r="B169" s="33" t="s">
        <v>279</v>
      </c>
      <c r="C169" s="33" t="s">
        <v>936</v>
      </c>
      <c r="D169" s="33" t="s">
        <v>937</v>
      </c>
      <c r="E169" s="20" t="s">
        <v>896</v>
      </c>
    </row>
    <row r="170" ht="15.75" customHeight="1">
      <c r="A170" s="32" t="s">
        <v>522</v>
      </c>
      <c r="B170" s="32" t="s">
        <v>63</v>
      </c>
      <c r="C170" s="32" t="s">
        <v>938</v>
      </c>
      <c r="D170" s="32" t="s">
        <v>939</v>
      </c>
      <c r="E170" s="8" t="s">
        <v>896</v>
      </c>
    </row>
    <row r="171" ht="15.75" customHeight="1">
      <c r="A171" s="33" t="s">
        <v>486</v>
      </c>
      <c r="B171" s="33" t="s">
        <v>108</v>
      </c>
      <c r="C171" s="33" t="s">
        <v>942</v>
      </c>
      <c r="D171" s="33" t="s">
        <v>944</v>
      </c>
      <c r="E171" s="20" t="s">
        <v>896</v>
      </c>
    </row>
    <row r="172" ht="15.75" customHeight="1">
      <c r="A172" s="32" t="s">
        <v>486</v>
      </c>
      <c r="B172" s="32" t="s">
        <v>462</v>
      </c>
      <c r="C172" s="32" t="s">
        <v>945</v>
      </c>
      <c r="D172" s="32" t="s">
        <v>944</v>
      </c>
      <c r="E172" s="8" t="s">
        <v>896</v>
      </c>
    </row>
    <row r="173" ht="15.75" customHeight="1">
      <c r="A173" s="33" t="s">
        <v>496</v>
      </c>
      <c r="B173" s="33" t="s">
        <v>108</v>
      </c>
      <c r="C173" s="33" t="s">
        <v>946</v>
      </c>
      <c r="D173" s="33" t="s">
        <v>944</v>
      </c>
      <c r="E173" s="20" t="s">
        <v>896</v>
      </c>
    </row>
    <row r="174" ht="15.75" customHeight="1">
      <c r="A174" s="32" t="s">
        <v>496</v>
      </c>
      <c r="B174" s="32" t="s">
        <v>63</v>
      </c>
      <c r="C174" s="32" t="s">
        <v>928</v>
      </c>
      <c r="D174" s="32" t="s">
        <v>944</v>
      </c>
      <c r="E174" s="8" t="s">
        <v>896</v>
      </c>
    </row>
    <row r="175" ht="15.75" customHeight="1">
      <c r="A175" s="33" t="s">
        <v>504</v>
      </c>
      <c r="B175" s="33" t="s">
        <v>462</v>
      </c>
      <c r="C175" s="33" t="s">
        <v>930</v>
      </c>
      <c r="D175" s="33" t="s">
        <v>944</v>
      </c>
      <c r="E175" s="20" t="s">
        <v>896</v>
      </c>
    </row>
    <row r="176" ht="15.75" customHeight="1">
      <c r="A176" s="32" t="s">
        <v>513</v>
      </c>
      <c r="B176" s="32" t="s">
        <v>119</v>
      </c>
      <c r="C176" s="32" t="s">
        <v>929</v>
      </c>
      <c r="D176" s="32" t="s">
        <v>944</v>
      </c>
      <c r="E176" s="8" t="s">
        <v>896</v>
      </c>
    </row>
    <row r="177" ht="15.75" customHeight="1">
      <c r="A177" s="33" t="s">
        <v>535</v>
      </c>
      <c r="B177" s="33" t="s">
        <v>63</v>
      </c>
      <c r="C177" s="33" t="s">
        <v>947</v>
      </c>
      <c r="D177" s="33" t="s">
        <v>948</v>
      </c>
      <c r="E177" s="20" t="s">
        <v>896</v>
      </c>
    </row>
    <row r="178" ht="15.75" customHeight="1">
      <c r="A178" s="32" t="s">
        <v>545</v>
      </c>
      <c r="B178" s="32" t="s">
        <v>108</v>
      </c>
      <c r="C178" s="32" t="s">
        <v>949</v>
      </c>
      <c r="D178" s="32" t="s">
        <v>950</v>
      </c>
      <c r="E178" s="8" t="s">
        <v>896</v>
      </c>
    </row>
    <row r="179" ht="15.75" customHeight="1">
      <c r="A179" s="33" t="s">
        <v>557</v>
      </c>
      <c r="B179" s="33" t="s">
        <v>63</v>
      </c>
      <c r="C179" s="33" t="s">
        <v>952</v>
      </c>
      <c r="D179" s="33" t="s">
        <v>950</v>
      </c>
      <c r="E179" s="20" t="s">
        <v>896</v>
      </c>
    </row>
    <row r="180" ht="15.75" customHeight="1">
      <c r="A180" s="32" t="s">
        <v>586</v>
      </c>
      <c r="B180" s="32" t="s">
        <v>63</v>
      </c>
      <c r="C180" s="32" t="s">
        <v>953</v>
      </c>
      <c r="D180" s="32" t="s">
        <v>954</v>
      </c>
      <c r="E180" s="8" t="s">
        <v>896</v>
      </c>
    </row>
    <row r="181" ht="15.75" customHeight="1">
      <c r="A181" s="33" t="s">
        <v>586</v>
      </c>
      <c r="B181" s="33" t="s">
        <v>180</v>
      </c>
      <c r="C181" s="33" t="s">
        <v>955</v>
      </c>
      <c r="D181" s="33" t="s">
        <v>954</v>
      </c>
      <c r="E181" s="20" t="s">
        <v>896</v>
      </c>
    </row>
    <row r="182" ht="15.75" customHeight="1">
      <c r="A182" s="32" t="s">
        <v>591</v>
      </c>
      <c r="B182" s="32" t="s">
        <v>126</v>
      </c>
      <c r="C182" s="32" t="s">
        <v>956</v>
      </c>
      <c r="D182" s="32" t="s">
        <v>954</v>
      </c>
      <c r="E182" s="8" t="s">
        <v>896</v>
      </c>
    </row>
    <row r="183" ht="15.75" customHeight="1">
      <c r="A183" s="33" t="s">
        <v>591</v>
      </c>
      <c r="B183" s="33" t="s">
        <v>158</v>
      </c>
      <c r="C183" s="33" t="s">
        <v>959</v>
      </c>
      <c r="D183" s="33" t="s">
        <v>954</v>
      </c>
      <c r="E183" s="20" t="s">
        <v>896</v>
      </c>
    </row>
    <row r="184" ht="15.75" customHeight="1">
      <c r="A184" s="32" t="s">
        <v>599</v>
      </c>
      <c r="B184" s="32" t="s">
        <v>188</v>
      </c>
      <c r="C184" s="32" t="s">
        <v>960</v>
      </c>
      <c r="D184" s="32" t="s">
        <v>954</v>
      </c>
      <c r="E184" s="8" t="s">
        <v>896</v>
      </c>
    </row>
    <row r="185" ht="15.75" customHeight="1">
      <c r="A185" s="33" t="s">
        <v>599</v>
      </c>
      <c r="B185" s="33" t="s">
        <v>241</v>
      </c>
      <c r="C185" s="33" t="s">
        <v>961</v>
      </c>
      <c r="D185" s="33" t="s">
        <v>954</v>
      </c>
      <c r="E185" s="20" t="s">
        <v>896</v>
      </c>
    </row>
    <row r="186" ht="15.75" customHeight="1">
      <c r="A186" s="32" t="s">
        <v>113</v>
      </c>
      <c r="B186" s="32" t="s">
        <v>454</v>
      </c>
      <c r="C186" s="32" t="s">
        <v>962</v>
      </c>
      <c r="D186" s="32" t="s">
        <v>963</v>
      </c>
      <c r="E186" s="8" t="s">
        <v>896</v>
      </c>
    </row>
    <row r="187" ht="15.75" customHeight="1">
      <c r="A187" s="33" t="s">
        <v>634</v>
      </c>
      <c r="B187" s="33" t="s">
        <v>279</v>
      </c>
      <c r="C187" s="33" t="s">
        <v>964</v>
      </c>
      <c r="D187" s="33" t="s">
        <v>965</v>
      </c>
      <c r="E187" s="20" t="s">
        <v>896</v>
      </c>
    </row>
    <row r="188" ht="15.75" customHeight="1">
      <c r="A188" s="32" t="s">
        <v>774</v>
      </c>
      <c r="B188" s="32" t="s">
        <v>289</v>
      </c>
      <c r="C188" s="32" t="s">
        <v>915</v>
      </c>
      <c r="D188" s="32" t="s">
        <v>965</v>
      </c>
      <c r="E188" s="8" t="s">
        <v>896</v>
      </c>
    </row>
    <row r="189" ht="15.75" customHeight="1">
      <c r="A189" s="33" t="s">
        <v>674</v>
      </c>
      <c r="B189" s="33" t="s">
        <v>677</v>
      </c>
      <c r="C189" s="33" t="s">
        <v>966</v>
      </c>
      <c r="D189" s="33" t="s">
        <v>967</v>
      </c>
      <c r="E189" s="20" t="s">
        <v>896</v>
      </c>
    </row>
    <row r="190" ht="15.75" customHeight="1">
      <c r="A190" s="32" t="s">
        <v>674</v>
      </c>
      <c r="B190" s="32" t="s">
        <v>968</v>
      </c>
      <c r="C190" s="32" t="s">
        <v>969</v>
      </c>
      <c r="D190" s="32" t="s">
        <v>970</v>
      </c>
      <c r="E190" s="8" t="s">
        <v>896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7.57"/>
    <col customWidth="1" min="3" max="3" width="16.14"/>
    <col customWidth="1" min="4" max="4" width="60.57"/>
    <col customWidth="1" min="5" max="5" width="35.14"/>
    <col customWidth="1" min="6" max="6" width="13.29"/>
    <col customWidth="1" min="7" max="7" width="7.29"/>
    <col customWidth="1" min="8" max="8" width="38.14"/>
    <col customWidth="1" min="9" max="9" width="25.0"/>
    <col customWidth="1" min="10" max="26" width="8.71"/>
  </cols>
  <sheetData>
    <row r="1">
      <c r="A1" s="1" t="s">
        <v>843</v>
      </c>
      <c r="B1" s="1" t="s">
        <v>844</v>
      </c>
      <c r="C1" s="1" t="s">
        <v>845</v>
      </c>
      <c r="D1" s="1" t="s">
        <v>846</v>
      </c>
      <c r="E1" s="1" t="s">
        <v>847</v>
      </c>
      <c r="F1" s="1" t="s">
        <v>7</v>
      </c>
      <c r="G1" s="1" t="s">
        <v>8</v>
      </c>
      <c r="H1" s="1" t="s">
        <v>203</v>
      </c>
      <c r="I1" s="1" t="s">
        <v>849</v>
      </c>
    </row>
    <row r="2">
      <c r="A2" s="8" t="s">
        <v>850</v>
      </c>
      <c r="B2" s="13" t="str">
        <f t="array" ref="B2">INDEX('Keyword Master Database'!$W$2:$W$287,MATCH(E2,'Keyword Master Database'!$A$2:$A$287,0))</f>
        <v>Critical</v>
      </c>
      <c r="C2" s="8" t="s">
        <v>851</v>
      </c>
      <c r="D2" s="32" t="s">
        <v>852</v>
      </c>
      <c r="E2" s="8" t="s">
        <v>431</v>
      </c>
      <c r="F2" s="13" t="str">
        <f t="array" ref="F2">INDEX('Keyword Master Database'!$E$2:$E$287,MATCH(E2,'Keyword Master Database'!$A$2:$A$287,0))</f>
        <v>Transactional</v>
      </c>
      <c r="G2" s="13" t="str">
        <f t="array" ref="G2">INDEX('Keyword Master Database'!$F$2:$F$287,MATCH(E2,'Keyword Master Database'!$A$2:$A$287,0))</f>
        <v>BOFU</v>
      </c>
      <c r="H2" s="8" t="s">
        <v>435</v>
      </c>
      <c r="I2" s="8" t="s">
        <v>853</v>
      </c>
    </row>
    <row r="3">
      <c r="A3" s="20" t="s">
        <v>850</v>
      </c>
      <c r="B3" s="22" t="str">
        <f t="array" ref="B3">INDEX('Keyword Master Database'!$W$2:$W$287,MATCH(E3,'Keyword Master Database'!$A$2:$A$287,0))</f>
        <v>Critical</v>
      </c>
      <c r="C3" s="20" t="s">
        <v>851</v>
      </c>
      <c r="D3" s="33" t="s">
        <v>854</v>
      </c>
      <c r="E3" s="20" t="s">
        <v>45</v>
      </c>
      <c r="F3" s="22" t="str">
        <f t="array" ref="F3">INDEX('Keyword Master Database'!$E$2:$E$287,MATCH(E3,'Keyword Master Database'!$A$2:$A$287,0))</f>
        <v>Transactional</v>
      </c>
      <c r="G3" s="22" t="str">
        <f t="array" ref="G3">INDEX('Keyword Master Database'!$F$2:$F$287,MATCH(E3,'Keyword Master Database'!$A$2:$A$287,0))</f>
        <v>BOFU</v>
      </c>
      <c r="H3" s="20" t="s">
        <v>63</v>
      </c>
      <c r="I3" s="20" t="s">
        <v>856</v>
      </c>
    </row>
    <row r="4">
      <c r="A4" s="8" t="s">
        <v>850</v>
      </c>
      <c r="B4" s="13" t="str">
        <f t="array" ref="B4">INDEX('Keyword Master Database'!$W$2:$W$287,MATCH(E4,'Keyword Master Database'!$A$2:$A$287,0))</f>
        <v>Critical</v>
      </c>
      <c r="C4" s="8" t="s">
        <v>851</v>
      </c>
      <c r="D4" s="32" t="s">
        <v>857</v>
      </c>
      <c r="E4" s="8" t="s">
        <v>104</v>
      </c>
      <c r="F4" s="13" t="str">
        <f t="array" ref="F4">INDEX('Keyword Master Database'!$E$2:$E$287,MATCH(E4,'Keyword Master Database'!$A$2:$A$287,0))</f>
        <v>Transactional</v>
      </c>
      <c r="G4" s="13" t="str">
        <f t="array" ref="G4">INDEX('Keyword Master Database'!$F$2:$F$287,MATCH(E4,'Keyword Master Database'!$A$2:$A$287,0))</f>
        <v>BOFU</v>
      </c>
      <c r="H4" s="8" t="s">
        <v>108</v>
      </c>
      <c r="I4" s="8" t="s">
        <v>853</v>
      </c>
    </row>
    <row r="5">
      <c r="A5" s="20" t="s">
        <v>850</v>
      </c>
      <c r="B5" s="22" t="str">
        <f t="array" ref="B5">INDEX('Keyword Master Database'!$W$2:$W$287,MATCH(E5,'Keyword Master Database'!$A$2:$A$287,0))</f>
        <v>High</v>
      </c>
      <c r="C5" s="20" t="s">
        <v>851</v>
      </c>
      <c r="D5" s="33" t="s">
        <v>860</v>
      </c>
      <c r="E5" s="20" t="s">
        <v>115</v>
      </c>
      <c r="F5" s="22" t="str">
        <f t="array" ref="F5">INDEX('Keyword Master Database'!$E$2:$E$287,MATCH(E5,'Keyword Master Database'!$A$2:$A$287,0))</f>
        <v>Transactional</v>
      </c>
      <c r="G5" s="22" t="str">
        <f t="array" ref="G5">INDEX('Keyword Master Database'!$F$2:$F$287,MATCH(E5,'Keyword Master Database'!$A$2:$A$287,0))</f>
        <v>BOFU</v>
      </c>
      <c r="H5" s="20" t="s">
        <v>119</v>
      </c>
      <c r="I5" s="20" t="s">
        <v>856</v>
      </c>
    </row>
    <row r="6">
      <c r="A6" s="8" t="s">
        <v>850</v>
      </c>
      <c r="B6" s="13" t="str">
        <f t="array" ref="B6">INDEX('Keyword Master Database'!$W$2:$W$287,MATCH(E6,'Keyword Master Database'!$A$2:$A$287,0))</f>
        <v>High</v>
      </c>
      <c r="C6" s="8" t="s">
        <v>851</v>
      </c>
      <c r="D6" s="32" t="s">
        <v>879</v>
      </c>
      <c r="E6" s="8" t="s">
        <v>184</v>
      </c>
      <c r="F6" s="13" t="str">
        <f t="array" ref="F6">INDEX('Keyword Master Database'!$E$2:$E$287,MATCH(E6,'Keyword Master Database'!$A$2:$A$287,0))</f>
        <v>Transactional</v>
      </c>
      <c r="G6" s="13" t="str">
        <f t="array" ref="G6">INDEX('Keyword Master Database'!$F$2:$F$287,MATCH(E6,'Keyword Master Database'!$A$2:$A$287,0))</f>
        <v>BOFU</v>
      </c>
      <c r="H6" s="8" t="s">
        <v>188</v>
      </c>
      <c r="I6" s="8" t="s">
        <v>856</v>
      </c>
    </row>
    <row r="7">
      <c r="A7" s="20" t="s">
        <v>850</v>
      </c>
      <c r="B7" s="22" t="str">
        <f t="array" ref="B7">INDEX('Keyword Master Database'!$W$2:$W$287,MATCH(E7,'Keyword Master Database'!$A$2:$A$287,0))</f>
        <v>High</v>
      </c>
      <c r="C7" s="20" t="s">
        <v>851</v>
      </c>
      <c r="D7" s="33" t="s">
        <v>892</v>
      </c>
      <c r="E7" s="20" t="s">
        <v>122</v>
      </c>
      <c r="F7" s="22" t="str">
        <f t="array" ref="F7">INDEX('Keyword Master Database'!$E$2:$E$287,MATCH(E7,'Keyword Master Database'!$A$2:$A$287,0))</f>
        <v>Transactional</v>
      </c>
      <c r="G7" s="22" t="str">
        <f t="array" ref="G7">INDEX('Keyword Master Database'!$F$2:$F$287,MATCH(E7,'Keyword Master Database'!$A$2:$A$287,0))</f>
        <v>BOFU</v>
      </c>
      <c r="H7" s="20" t="s">
        <v>126</v>
      </c>
      <c r="I7" s="20" t="s">
        <v>856</v>
      </c>
    </row>
    <row r="8">
      <c r="A8" s="8" t="s">
        <v>850</v>
      </c>
      <c r="B8" s="13" t="str">
        <f t="array" ref="B8">INDEX('Keyword Master Database'!$W$2:$W$287,MATCH(E8,'Keyword Master Database'!$A$2:$A$287,0))</f>
        <v>Critical</v>
      </c>
      <c r="C8" s="8" t="s">
        <v>911</v>
      </c>
      <c r="D8" s="32" t="s">
        <v>913</v>
      </c>
      <c r="E8" s="8" t="s">
        <v>458</v>
      </c>
      <c r="F8" s="13" t="str">
        <f t="array" ref="F8">INDEX('Keyword Master Database'!$E$2:$E$287,MATCH(E8,'Keyword Master Database'!$A$2:$A$287,0))</f>
        <v>Transactional</v>
      </c>
      <c r="G8" s="13" t="str">
        <f t="array" ref="G8">INDEX('Keyword Master Database'!$F$2:$F$287,MATCH(E8,'Keyword Master Database'!$A$2:$A$287,0))</f>
        <v>BOFU</v>
      </c>
      <c r="H8" s="8" t="s">
        <v>462</v>
      </c>
      <c r="I8" s="8" t="s">
        <v>853</v>
      </c>
    </row>
    <row r="9">
      <c r="A9" s="20" t="s">
        <v>850</v>
      </c>
      <c r="B9" s="22" t="str">
        <f t="array" ref="B9">INDEX('Keyword Master Database'!$W$2:$W$287,MATCH(E9,'Keyword Master Database'!$A$2:$A$287,0))</f>
        <v>High</v>
      </c>
      <c r="C9" s="20" t="s">
        <v>940</v>
      </c>
      <c r="D9" s="33" t="s">
        <v>941</v>
      </c>
      <c r="E9" s="20" t="s">
        <v>943</v>
      </c>
      <c r="F9" s="22" t="str">
        <f t="array" ref="F9">INDEX('Keyword Master Database'!$E$2:$E$287,MATCH(E9,'Keyword Master Database'!$A$2:$A$287,0))</f>
        <v>Transactional</v>
      </c>
      <c r="G9" s="22" t="str">
        <f t="array" ref="G9">INDEX('Keyword Master Database'!$F$2:$F$287,MATCH(E9,'Keyword Master Database'!$A$2:$A$287,0))</f>
        <v>BOFU</v>
      </c>
      <c r="H9" s="20" t="s">
        <v>435</v>
      </c>
      <c r="I9" s="20" t="s">
        <v>853</v>
      </c>
    </row>
    <row r="10">
      <c r="A10" s="8" t="s">
        <v>951</v>
      </c>
      <c r="B10" s="13" t="str">
        <f t="array" ref="B10">INDEX('Keyword Master Database'!$W$2:$W$287,MATCH(E10,'Keyword Master Database'!$A$2:$A$287,0))</f>
        <v>High</v>
      </c>
      <c r="C10" s="8" t="s">
        <v>911</v>
      </c>
      <c r="D10" s="32" t="s">
        <v>957</v>
      </c>
      <c r="E10" s="8" t="s">
        <v>519</v>
      </c>
      <c r="F10" s="13" t="str">
        <f t="array" ref="F10">INDEX('Keyword Master Database'!$E$2:$E$287,MATCH(E10,'Keyword Master Database'!$A$2:$A$287,0))</f>
        <v>Transactional</v>
      </c>
      <c r="G10" s="13" t="str">
        <f t="array" ref="G10">INDEX('Keyword Master Database'!$F$2:$F$287,MATCH(E10,'Keyword Master Database'!$A$2:$A$287,0))</f>
        <v>BOFU</v>
      </c>
      <c r="H10" s="8" t="s">
        <v>522</v>
      </c>
      <c r="I10" s="8" t="s">
        <v>853</v>
      </c>
    </row>
    <row r="11">
      <c r="A11" s="20" t="s">
        <v>951</v>
      </c>
      <c r="B11" s="22" t="str">
        <f t="array" ref="B11">INDEX('Keyword Master Database'!$W$2:$W$287,MATCH(E11,'Keyword Master Database'!$A$2:$A$287,0))</f>
        <v>High</v>
      </c>
      <c r="C11" s="20" t="s">
        <v>911</v>
      </c>
      <c r="D11" s="33" t="s">
        <v>664</v>
      </c>
      <c r="E11" s="20" t="s">
        <v>483</v>
      </c>
      <c r="F11" s="22" t="str">
        <f t="array" ref="F11">INDEX('Keyword Master Database'!$E$2:$E$287,MATCH(E11,'Keyword Master Database'!$A$2:$A$287,0))</f>
        <v>Transactional</v>
      </c>
      <c r="G11" s="22" t="str">
        <f t="array" ref="G11">INDEX('Keyword Master Database'!$F$2:$F$287,MATCH(E11,'Keyword Master Database'!$A$2:$A$287,0))</f>
        <v>BOFU</v>
      </c>
      <c r="H11" s="20" t="s">
        <v>486</v>
      </c>
      <c r="I11" s="20" t="s">
        <v>853</v>
      </c>
    </row>
    <row r="12">
      <c r="A12" s="8" t="s">
        <v>951</v>
      </c>
      <c r="B12" s="13" t="str">
        <f t="array" ref="B12">INDEX('Keyword Master Database'!$W$2:$W$287,MATCH(E12,'Keyword Master Database'!$A$2:$A$287,0))</f>
        <v>High</v>
      </c>
      <c r="C12" s="8" t="s">
        <v>911</v>
      </c>
      <c r="D12" s="32" t="s">
        <v>972</v>
      </c>
      <c r="E12" s="8" t="s">
        <v>441</v>
      </c>
      <c r="F12" s="13" t="str">
        <f t="array" ref="F12">INDEX('Keyword Master Database'!$E$2:$E$287,MATCH(E12,'Keyword Master Database'!$A$2:$A$287,0))</f>
        <v>Transactional</v>
      </c>
      <c r="G12" s="13" t="str">
        <f t="array" ref="G12">INDEX('Keyword Master Database'!$F$2:$F$287,MATCH(E12,'Keyword Master Database'!$A$2:$A$287,0))</f>
        <v>BOFU</v>
      </c>
      <c r="H12" s="8" t="s">
        <v>445</v>
      </c>
      <c r="I12" s="8" t="s">
        <v>853</v>
      </c>
    </row>
    <row r="13">
      <c r="A13" s="20" t="s">
        <v>951</v>
      </c>
      <c r="B13" s="22" t="str">
        <f t="array" ref="B13">INDEX('Keyword Master Database'!$W$2:$W$287,MATCH(E13,'Keyword Master Database'!$A$2:$A$287,0))</f>
        <v>High</v>
      </c>
      <c r="C13" s="20" t="s">
        <v>911</v>
      </c>
      <c r="D13" s="33" t="s">
        <v>974</v>
      </c>
      <c r="E13" s="20" t="s">
        <v>451</v>
      </c>
      <c r="F13" s="22" t="str">
        <f t="array" ref="F13">INDEX('Keyword Master Database'!$E$2:$E$287,MATCH(E13,'Keyword Master Database'!$A$2:$A$287,0))</f>
        <v>Transactional</v>
      </c>
      <c r="G13" s="22" t="str">
        <f t="array" ref="G13">INDEX('Keyword Master Database'!$F$2:$F$287,MATCH(E13,'Keyword Master Database'!$A$2:$A$287,0))</f>
        <v>BOFU</v>
      </c>
      <c r="H13" s="20" t="s">
        <v>454</v>
      </c>
      <c r="I13" s="20" t="s">
        <v>853</v>
      </c>
    </row>
    <row r="14">
      <c r="A14" s="8" t="s">
        <v>951</v>
      </c>
      <c r="B14" s="13" t="str">
        <f t="array" ref="B14">INDEX('Keyword Master Database'!$W$2:$W$287,MATCH(E14,'Keyword Master Database'!$A$2:$A$287,0))</f>
        <v>High</v>
      </c>
      <c r="C14" s="8" t="s">
        <v>851</v>
      </c>
      <c r="D14" s="32" t="s">
        <v>976</v>
      </c>
      <c r="E14" s="8" t="s">
        <v>132</v>
      </c>
      <c r="F14" s="13" t="str">
        <f t="array" ref="F14">INDEX('Keyword Master Database'!$E$2:$E$287,MATCH(E14,'Keyword Master Database'!$A$2:$A$287,0))</f>
        <v>Transactional</v>
      </c>
      <c r="G14" s="13" t="str">
        <f t="array" ref="G14">INDEX('Keyword Master Database'!$F$2:$F$287,MATCH(E14,'Keyword Master Database'!$A$2:$A$287,0))</f>
        <v>BOFU</v>
      </c>
      <c r="H14" s="8" t="s">
        <v>136</v>
      </c>
      <c r="I14" s="8" t="s">
        <v>856</v>
      </c>
    </row>
    <row r="15">
      <c r="A15" s="20" t="s">
        <v>951</v>
      </c>
      <c r="B15" s="22" t="str">
        <f t="array" ref="B15">INDEX('Keyword Master Database'!$W$2:$W$287,MATCH(E15,'Keyword Master Database'!$A$2:$A$287,0))</f>
        <v>High</v>
      </c>
      <c r="C15" s="20" t="s">
        <v>851</v>
      </c>
      <c r="D15" s="33" t="s">
        <v>977</v>
      </c>
      <c r="E15" s="20" t="s">
        <v>154</v>
      </c>
      <c r="F15" s="22" t="str">
        <f t="array" ref="F15">INDEX('Keyword Master Database'!$E$2:$E$287,MATCH(E15,'Keyword Master Database'!$A$2:$A$287,0))</f>
        <v>Transactional</v>
      </c>
      <c r="G15" s="22" t="str">
        <f t="array" ref="G15">INDEX('Keyword Master Database'!$F$2:$F$287,MATCH(E15,'Keyword Master Database'!$A$2:$A$287,0))</f>
        <v>BOFU</v>
      </c>
      <c r="H15" s="20" t="s">
        <v>158</v>
      </c>
      <c r="I15" s="20" t="s">
        <v>856</v>
      </c>
    </row>
    <row r="16">
      <c r="A16" s="8" t="s">
        <v>951</v>
      </c>
      <c r="B16" s="13" t="str">
        <f t="array" ref="B16">INDEX('Keyword Master Database'!$W$2:$W$287,MATCH(E16,'Keyword Master Database'!$A$2:$A$287,0))</f>
        <v>High</v>
      </c>
      <c r="C16" s="8" t="s">
        <v>851</v>
      </c>
      <c r="D16" s="32" t="s">
        <v>979</v>
      </c>
      <c r="E16" s="8" t="s">
        <v>176</v>
      </c>
      <c r="F16" s="13" t="str">
        <f t="array" ref="F16">INDEX('Keyword Master Database'!$E$2:$E$287,MATCH(E16,'Keyword Master Database'!$A$2:$A$287,0))</f>
        <v>Transactional</v>
      </c>
      <c r="G16" s="13" t="str">
        <f t="array" ref="G16">INDEX('Keyword Master Database'!$F$2:$F$287,MATCH(E16,'Keyword Master Database'!$A$2:$A$287,0))</f>
        <v>BOFU</v>
      </c>
      <c r="H16" s="8" t="s">
        <v>180</v>
      </c>
      <c r="I16" s="8" t="s">
        <v>856</v>
      </c>
    </row>
    <row r="17">
      <c r="A17" s="20" t="s">
        <v>951</v>
      </c>
      <c r="B17" s="22" t="str">
        <f t="array" ref="B17">INDEX('Keyword Master Database'!$W$2:$W$287,MATCH(E17,'Keyword Master Database'!$A$2:$A$287,0))</f>
        <v>High</v>
      </c>
      <c r="C17" s="20" t="s">
        <v>851</v>
      </c>
      <c r="D17" s="33" t="s">
        <v>983</v>
      </c>
      <c r="E17" s="20" t="s">
        <v>275</v>
      </c>
      <c r="F17" s="22" t="str">
        <f t="array" ref="F17">INDEX('Keyword Master Database'!$E$2:$E$287,MATCH(E17,'Keyword Master Database'!$A$2:$A$287,0))</f>
        <v>Transactional</v>
      </c>
      <c r="G17" s="22" t="str">
        <f t="array" ref="G17">INDEX('Keyword Master Database'!$F$2:$F$287,MATCH(E17,'Keyword Master Database'!$A$2:$A$287,0))</f>
        <v>BOFU</v>
      </c>
      <c r="H17" s="20" t="s">
        <v>279</v>
      </c>
      <c r="I17" s="20" t="s">
        <v>856</v>
      </c>
    </row>
    <row r="18">
      <c r="A18" s="8" t="s">
        <v>951</v>
      </c>
      <c r="B18" s="13" t="str">
        <f t="array" ref="B18">INDEX('Keyword Master Database'!$W$2:$W$287,MATCH(E18,'Keyword Master Database'!$A$2:$A$287,0))</f>
        <v>High</v>
      </c>
      <c r="C18" s="8" t="s">
        <v>851</v>
      </c>
      <c r="D18" s="32" t="s">
        <v>986</v>
      </c>
      <c r="E18" s="8" t="s">
        <v>145</v>
      </c>
      <c r="F18" s="13" t="str">
        <f t="array" ref="F18">INDEX('Keyword Master Database'!$E$2:$E$287,MATCH(E18,'Keyword Master Database'!$A$2:$A$287,0))</f>
        <v>Transactional</v>
      </c>
      <c r="G18" s="13" t="str">
        <f t="array" ref="G18">INDEX('Keyword Master Database'!$F$2:$F$287,MATCH(E18,'Keyword Master Database'!$A$2:$A$287,0))</f>
        <v>BOFU</v>
      </c>
      <c r="H18" s="8" t="s">
        <v>149</v>
      </c>
      <c r="I18" s="8" t="s">
        <v>856</v>
      </c>
    </row>
    <row r="19">
      <c r="A19" s="20" t="s">
        <v>951</v>
      </c>
      <c r="B19" s="22" t="str">
        <f t="array" ref="B19">INDEX('Keyword Master Database'!$W$2:$W$287,MATCH(E19,'Keyword Master Database'!$A$2:$A$287,0))</f>
        <v>Critical</v>
      </c>
      <c r="C19" s="20" t="s">
        <v>911</v>
      </c>
      <c r="D19" s="33" t="s">
        <v>990</v>
      </c>
      <c r="E19" s="20" t="s">
        <v>532</v>
      </c>
      <c r="F19" s="22" t="str">
        <f t="array" ref="F19">INDEX('Keyword Master Database'!$E$2:$E$287,MATCH(E19,'Keyword Master Database'!$A$2:$A$287,0))</f>
        <v>Transactional</v>
      </c>
      <c r="G19" s="22" t="str">
        <f t="array" ref="G19">INDEX('Keyword Master Database'!$F$2:$F$287,MATCH(E19,'Keyword Master Database'!$A$2:$A$287,0))</f>
        <v>BOFU</v>
      </c>
      <c r="H19" s="20" t="s">
        <v>535</v>
      </c>
      <c r="I19" s="20" t="s">
        <v>853</v>
      </c>
    </row>
    <row r="20">
      <c r="A20" s="8" t="s">
        <v>992</v>
      </c>
      <c r="B20" s="13" t="str">
        <f t="array" ref="B20">INDEX('Keyword Master Database'!$W$2:$W$287,MATCH(E20,'Keyword Master Database'!$A$2:$A$287,0))</f>
        <v>High</v>
      </c>
      <c r="C20" s="8" t="s">
        <v>911</v>
      </c>
      <c r="D20" s="32" t="s">
        <v>993</v>
      </c>
      <c r="E20" s="8" t="s">
        <v>541</v>
      </c>
      <c r="F20" s="13" t="str">
        <f t="array" ref="F20">INDEX('Keyword Master Database'!$E$2:$E$287,MATCH(E20,'Keyword Master Database'!$A$2:$A$287,0))</f>
        <v>Transactional</v>
      </c>
      <c r="G20" s="13" t="str">
        <f t="array" ref="G20">INDEX('Keyword Master Database'!$F$2:$F$287,MATCH(E20,'Keyword Master Database'!$A$2:$A$287,0))</f>
        <v>BOFU</v>
      </c>
      <c r="H20" s="8" t="s">
        <v>545</v>
      </c>
      <c r="I20" s="8" t="s">
        <v>853</v>
      </c>
    </row>
    <row r="21" ht="15.75" customHeight="1">
      <c r="A21" s="20" t="s">
        <v>992</v>
      </c>
      <c r="B21" s="22" t="str">
        <f t="array" ref="B21">INDEX('Keyword Master Database'!$W$2:$W$287,MATCH(E21,'Keyword Master Database'!$A$2:$A$287,0))</f>
        <v>High</v>
      </c>
      <c r="C21" s="20" t="s">
        <v>911</v>
      </c>
      <c r="D21" s="33" t="s">
        <v>994</v>
      </c>
      <c r="E21" s="20" t="s">
        <v>553</v>
      </c>
      <c r="F21" s="22" t="str">
        <f t="array" ref="F21">INDEX('Keyword Master Database'!$E$2:$E$287,MATCH(E21,'Keyword Master Database'!$A$2:$A$287,0))</f>
        <v>Transactional</v>
      </c>
      <c r="G21" s="22" t="str">
        <f t="array" ref="G21">INDEX('Keyword Master Database'!$F$2:$F$287,MATCH(E21,'Keyword Master Database'!$A$2:$A$287,0))</f>
        <v>BOFU</v>
      </c>
      <c r="H21" s="20" t="s">
        <v>557</v>
      </c>
      <c r="I21" s="20" t="s">
        <v>853</v>
      </c>
    </row>
    <row r="22" ht="15.75" customHeight="1">
      <c r="A22" s="8" t="s">
        <v>992</v>
      </c>
      <c r="B22" s="13" t="str">
        <f t="array" ref="B22">INDEX('Keyword Master Database'!$W$2:$W$287,MATCH(E22,'Keyword Master Database'!$A$2:$A$287,0))</f>
        <v>High</v>
      </c>
      <c r="C22" s="8" t="s">
        <v>851</v>
      </c>
      <c r="D22" s="32" t="s">
        <v>996</v>
      </c>
      <c r="E22" s="8" t="s">
        <v>365</v>
      </c>
      <c r="F22" s="13" t="str">
        <f t="array" ref="F22">INDEX('Keyword Master Database'!$E$2:$E$287,MATCH(E22,'Keyword Master Database'!$A$2:$A$287,0))</f>
        <v>Transactional</v>
      </c>
      <c r="G22" s="13" t="str">
        <f t="array" ref="G22">INDEX('Keyword Master Database'!$F$2:$F$287,MATCH(E22,'Keyword Master Database'!$A$2:$A$287,0))</f>
        <v>BOFU</v>
      </c>
      <c r="H22" s="8" t="s">
        <v>369</v>
      </c>
      <c r="I22" s="8" t="s">
        <v>853</v>
      </c>
    </row>
    <row r="23" ht="15.75" customHeight="1">
      <c r="A23" s="20" t="s">
        <v>992</v>
      </c>
      <c r="B23" s="22" t="str">
        <f t="array" ref="B23">INDEX('Keyword Master Database'!$W$2:$W$287,MATCH(E23,'Keyword Master Database'!$A$2:$A$287,0))</f>
        <v>High</v>
      </c>
      <c r="C23" s="20" t="s">
        <v>851</v>
      </c>
      <c r="D23" s="33" t="s">
        <v>999</v>
      </c>
      <c r="E23" s="20" t="s">
        <v>380</v>
      </c>
      <c r="F23" s="22" t="str">
        <f t="array" ref="F23">INDEX('Keyword Master Database'!$E$2:$E$287,MATCH(E23,'Keyword Master Database'!$A$2:$A$287,0))</f>
        <v>Transactional</v>
      </c>
      <c r="G23" s="22" t="str">
        <f t="array" ref="G23">INDEX('Keyword Master Database'!$F$2:$F$287,MATCH(E23,'Keyword Master Database'!$A$2:$A$287,0))</f>
        <v>BOFU</v>
      </c>
      <c r="H23" s="20" t="s">
        <v>384</v>
      </c>
      <c r="I23" s="20" t="s">
        <v>853</v>
      </c>
    </row>
    <row r="24" ht="15.75" customHeight="1">
      <c r="A24" s="8" t="s">
        <v>992</v>
      </c>
      <c r="B24" s="13" t="str">
        <f t="array" ref="B24">INDEX('Keyword Master Database'!$W$2:$W$287,MATCH(E24,'Keyword Master Database'!$A$2:$A$287,0))</f>
        <v>High</v>
      </c>
      <c r="C24" s="8" t="s">
        <v>851</v>
      </c>
      <c r="D24" s="32" t="s">
        <v>1004</v>
      </c>
      <c r="E24" s="8" t="s">
        <v>393</v>
      </c>
      <c r="F24" s="13" t="str">
        <f t="array" ref="F24">INDEX('Keyword Master Database'!$E$2:$E$287,MATCH(E24,'Keyword Master Database'!$A$2:$A$287,0))</f>
        <v>Transactional</v>
      </c>
      <c r="G24" s="13" t="str">
        <f t="array" ref="G24">INDEX('Keyword Master Database'!$F$2:$F$287,MATCH(E24,'Keyword Master Database'!$A$2:$A$287,0))</f>
        <v>BOFU</v>
      </c>
      <c r="H24" s="8" t="s">
        <v>397</v>
      </c>
      <c r="I24" s="8" t="s">
        <v>853</v>
      </c>
    </row>
    <row r="25" ht="15.75" customHeight="1">
      <c r="A25" s="20" t="s">
        <v>992</v>
      </c>
      <c r="B25" s="22" t="str">
        <f t="array" ref="B25">INDEX('Keyword Master Database'!$W$2:$W$287,MATCH(E25,'Keyword Master Database'!$A$2:$A$287,0))</f>
        <v>High</v>
      </c>
      <c r="C25" s="20" t="s">
        <v>851</v>
      </c>
      <c r="D25" s="33" t="s">
        <v>1026</v>
      </c>
      <c r="E25" s="20" t="s">
        <v>406</v>
      </c>
      <c r="F25" s="22" t="str">
        <f t="array" ref="F25">INDEX('Keyword Master Database'!$E$2:$E$287,MATCH(E25,'Keyword Master Database'!$A$2:$A$287,0))</f>
        <v>Transactional</v>
      </c>
      <c r="G25" s="22" t="str">
        <f t="array" ref="G25">INDEX('Keyword Master Database'!$F$2:$F$287,MATCH(E25,'Keyword Master Database'!$A$2:$A$287,0))</f>
        <v>BOFU</v>
      </c>
      <c r="H25" s="20" t="s">
        <v>410</v>
      </c>
      <c r="I25" s="20" t="s">
        <v>853</v>
      </c>
    </row>
    <row r="26" ht="15.75" customHeight="1">
      <c r="A26" s="8" t="s">
        <v>992</v>
      </c>
      <c r="B26" s="13" t="str">
        <f t="array" ref="B26">INDEX('Keyword Master Database'!$W$2:$W$287,MATCH(E26,'Keyword Master Database'!$A$2:$A$287,0))</f>
        <v>High</v>
      </c>
      <c r="C26" s="8" t="s">
        <v>911</v>
      </c>
      <c r="D26" s="32" t="s">
        <v>490</v>
      </c>
      <c r="E26" s="8" t="s">
        <v>491</v>
      </c>
      <c r="F26" s="13" t="str">
        <f t="array" ref="F26">INDEX('Keyword Master Database'!$E$2:$E$287,MATCH(E26,'Keyword Master Database'!$A$2:$A$287,0))</f>
        <v>Transactional</v>
      </c>
      <c r="G26" s="13" t="str">
        <f t="array" ref="G26">INDEX('Keyword Master Database'!$F$2:$F$287,MATCH(E26,'Keyword Master Database'!$A$2:$A$287,0))</f>
        <v>BOFU</v>
      </c>
      <c r="H26" s="8" t="s">
        <v>496</v>
      </c>
      <c r="I26" s="8" t="s">
        <v>853</v>
      </c>
    </row>
    <row r="27" ht="15.75" customHeight="1">
      <c r="A27" s="20" t="s">
        <v>992</v>
      </c>
      <c r="B27" s="22" t="str">
        <f t="array" ref="B27">INDEX('Keyword Master Database'!$W$2:$W$287,MATCH(E27,'Keyword Master Database'!$A$2:$A$287,0))</f>
        <v>High</v>
      </c>
      <c r="C27" s="20" t="s">
        <v>851</v>
      </c>
      <c r="D27" s="33" t="s">
        <v>1045</v>
      </c>
      <c r="E27" s="20" t="s">
        <v>285</v>
      </c>
      <c r="F27" s="22" t="str">
        <f t="array" ref="F27">INDEX('Keyword Master Database'!$E$2:$E$287,MATCH(E27,'Keyword Master Database'!$A$2:$A$287,0))</f>
        <v>Transactional</v>
      </c>
      <c r="G27" s="22" t="str">
        <f t="array" ref="G27">INDEX('Keyword Master Database'!$F$2:$F$287,MATCH(E27,'Keyword Master Database'!$A$2:$A$287,0))</f>
        <v>BOFU</v>
      </c>
      <c r="H27" s="20" t="s">
        <v>289</v>
      </c>
      <c r="I27" s="20" t="s">
        <v>856</v>
      </c>
    </row>
    <row r="28" ht="15.75" customHeight="1">
      <c r="A28" s="8" t="s">
        <v>992</v>
      </c>
      <c r="B28" s="13" t="str">
        <f t="array" ref="B28">INDEX('Keyword Master Database'!$W$2:$W$287,MATCH(E28,'Keyword Master Database'!$A$2:$A$287,0))</f>
        <v>High</v>
      </c>
      <c r="C28" s="8" t="s">
        <v>851</v>
      </c>
      <c r="D28" s="32" t="s">
        <v>1047</v>
      </c>
      <c r="E28" s="8" t="s">
        <v>232</v>
      </c>
      <c r="F28" s="13" t="str">
        <f t="array" ref="F28">INDEX('Keyword Master Database'!$E$2:$E$287,MATCH(E28,'Keyword Master Database'!$A$2:$A$287,0))</f>
        <v>Transactional</v>
      </c>
      <c r="G28" s="13" t="str">
        <f t="array" ref="G28">INDEX('Keyword Master Database'!$F$2:$F$287,MATCH(E28,'Keyword Master Database'!$A$2:$A$287,0))</f>
        <v>BOFU</v>
      </c>
      <c r="H28" s="8" t="s">
        <v>241</v>
      </c>
      <c r="I28" s="8" t="s">
        <v>856</v>
      </c>
    </row>
    <row r="29" ht="15.75" customHeight="1">
      <c r="A29" s="20" t="s">
        <v>992</v>
      </c>
      <c r="B29" s="22" t="str">
        <f t="array" ref="B29">INDEX('Keyword Master Database'!$W$2:$W$287,MATCH(E29,'Keyword Master Database'!$A$2:$A$287,0))</f>
        <v>Medium</v>
      </c>
      <c r="C29" s="20" t="s">
        <v>851</v>
      </c>
      <c r="D29" s="33" t="s">
        <v>1050</v>
      </c>
      <c r="E29" s="20" t="s">
        <v>197</v>
      </c>
      <c r="F29" s="22" t="str">
        <f t="array" ref="F29">INDEX('Keyword Master Database'!$E$2:$E$287,MATCH(E29,'Keyword Master Database'!$A$2:$A$287,0))</f>
        <v>Transactional</v>
      </c>
      <c r="G29" s="22" t="str">
        <f t="array" ref="G29">INDEX('Keyword Master Database'!$F$2:$F$287,MATCH(E29,'Keyword Master Database'!$A$2:$A$287,0))</f>
        <v>BOFU</v>
      </c>
      <c r="H29" s="20" t="s">
        <v>201</v>
      </c>
      <c r="I29" s="20" t="s">
        <v>856</v>
      </c>
    </row>
    <row r="30" ht="15.75" customHeight="1">
      <c r="A30" s="8" t="s">
        <v>1051</v>
      </c>
      <c r="B30" s="13" t="str">
        <f t="array" ref="B30">INDEX('Keyword Master Database'!$W$2:$W$287,MATCH(E30,'Keyword Master Database'!$A$2:$A$287,0))</f>
        <v>Low</v>
      </c>
      <c r="C30" s="8" t="s">
        <v>1053</v>
      </c>
      <c r="D30" s="32" t="s">
        <v>1054</v>
      </c>
      <c r="E30" s="8" t="s">
        <v>315</v>
      </c>
      <c r="F30" s="13" t="str">
        <f t="array" ref="F30">INDEX('Keyword Master Database'!$E$2:$E$287,MATCH(E30,'Keyword Master Database'!$A$2:$A$287,0))</f>
        <v>Informational</v>
      </c>
      <c r="G30" s="13" t="str">
        <f t="array" ref="G30">INDEX('Keyword Master Database'!$F$2:$F$287,MATCH(E30,'Keyword Master Database'!$A$2:$A$287,0))</f>
        <v>TOFU</v>
      </c>
      <c r="H30" s="8" t="s">
        <v>101</v>
      </c>
      <c r="I30" s="8" t="s">
        <v>1055</v>
      </c>
    </row>
    <row r="31" ht="15.75" customHeight="1">
      <c r="A31" s="20" t="s">
        <v>1051</v>
      </c>
      <c r="B31" s="22" t="str">
        <f t="array" ref="B31">INDEX('Keyword Master Database'!$W$2:$W$287,MATCH(E31,'Keyword Master Database'!$A$2:$A$287,0))</f>
        <v>Medium</v>
      </c>
      <c r="C31" s="20" t="s">
        <v>1057</v>
      </c>
      <c r="D31" s="33" t="s">
        <v>1058</v>
      </c>
      <c r="E31" s="20" t="s">
        <v>582</v>
      </c>
      <c r="F31" s="22" t="str">
        <f t="array" ref="F31">INDEX('Keyword Master Database'!$E$2:$E$287,MATCH(E31,'Keyword Master Database'!$A$2:$A$287,0))</f>
        <v>Commercial</v>
      </c>
      <c r="G31" s="22" t="str">
        <f t="array" ref="G31">INDEX('Keyword Master Database'!$F$2:$F$287,MATCH(E31,'Keyword Master Database'!$A$2:$A$287,0))</f>
        <v>MOFU</v>
      </c>
      <c r="H31" s="20" t="s">
        <v>586</v>
      </c>
      <c r="I31" s="20" t="s">
        <v>1061</v>
      </c>
    </row>
    <row r="32" ht="15.75" customHeight="1">
      <c r="A32" s="8" t="s">
        <v>1051</v>
      </c>
      <c r="B32" s="13" t="str">
        <f t="array" ref="B32">INDEX('Keyword Master Database'!$W$2:$W$287,MATCH(E32,'Keyword Master Database'!$A$2:$A$287,0))</f>
        <v>Medium</v>
      </c>
      <c r="C32" s="8" t="s">
        <v>1053</v>
      </c>
      <c r="D32" s="32" t="s">
        <v>1062</v>
      </c>
      <c r="E32" s="8" t="s">
        <v>106</v>
      </c>
      <c r="F32" s="13" t="str">
        <f t="array" ref="F32">INDEX('Keyword Master Database'!$E$2:$E$287,MATCH(E32,'Keyword Master Database'!$A$2:$A$287,0))</f>
        <v>Informational</v>
      </c>
      <c r="G32" s="13" t="str">
        <f t="array" ref="G32">INDEX('Keyword Master Database'!$F$2:$F$287,MATCH(E32,'Keyword Master Database'!$A$2:$A$287,0))</f>
        <v>TOFU</v>
      </c>
      <c r="H32" s="8" t="s">
        <v>113</v>
      </c>
      <c r="I32" s="8" t="s">
        <v>1061</v>
      </c>
    </row>
    <row r="33" ht="15.75" customHeight="1">
      <c r="A33" s="20" t="s">
        <v>1051</v>
      </c>
      <c r="B33" s="22" t="str">
        <f t="array" ref="B33">INDEX('Keyword Master Database'!$W$2:$W$287,MATCH(E33,'Keyword Master Database'!$A$2:$A$287,0))</f>
        <v>Medium</v>
      </c>
      <c r="C33" s="20" t="s">
        <v>1057</v>
      </c>
      <c r="D33" s="33" t="s">
        <v>587</v>
      </c>
      <c r="E33" s="20" t="s">
        <v>588</v>
      </c>
      <c r="F33" s="22" t="str">
        <f t="array" ref="F33">INDEX('Keyword Master Database'!$E$2:$E$287,MATCH(E33,'Keyword Master Database'!$A$2:$A$287,0))</f>
        <v>Commercial</v>
      </c>
      <c r="G33" s="22" t="str">
        <f t="array" ref="G33">INDEX('Keyword Master Database'!$F$2:$F$287,MATCH(E33,'Keyword Master Database'!$A$2:$A$287,0))</f>
        <v>MOFU</v>
      </c>
      <c r="H33" s="20" t="s">
        <v>591</v>
      </c>
      <c r="I33" s="20" t="s">
        <v>1061</v>
      </c>
    </row>
    <row r="34" ht="15.75" customHeight="1">
      <c r="A34" s="8" t="s">
        <v>1051</v>
      </c>
      <c r="B34" s="13" t="str">
        <f t="array" ref="B34">INDEX('Keyword Master Database'!$W$2:$W$287,MATCH(E34,'Keyword Master Database'!$A$2:$A$287,0))</f>
        <v>Medium</v>
      </c>
      <c r="C34" s="8" t="s">
        <v>1057</v>
      </c>
      <c r="D34" s="32" t="s">
        <v>595</v>
      </c>
      <c r="E34" s="8" t="s">
        <v>596</v>
      </c>
      <c r="F34" s="13" t="str">
        <f t="array" ref="F34">INDEX('Keyword Master Database'!$E$2:$E$287,MATCH(E34,'Keyword Master Database'!$A$2:$A$287,0))</f>
        <v>Commercial</v>
      </c>
      <c r="G34" s="13" t="str">
        <f t="array" ref="G34">INDEX('Keyword Master Database'!$F$2:$F$287,MATCH(E34,'Keyword Master Database'!$A$2:$A$287,0))</f>
        <v>MOFU</v>
      </c>
      <c r="H34" s="8" t="s">
        <v>599</v>
      </c>
      <c r="I34" s="8" t="s">
        <v>1061</v>
      </c>
    </row>
    <row r="35" ht="15.75" customHeight="1">
      <c r="A35" s="20" t="s">
        <v>1051</v>
      </c>
      <c r="B35" s="22" t="str">
        <f t="array" ref="B35">INDEX('Keyword Master Database'!$W$2:$W$287,MATCH(E35,'Keyword Master Database'!$A$2:$A$287,0))</f>
        <v>High</v>
      </c>
      <c r="C35" s="20" t="s">
        <v>911</v>
      </c>
      <c r="D35" s="33" t="s">
        <v>1069</v>
      </c>
      <c r="E35" s="20" t="s">
        <v>561</v>
      </c>
      <c r="F35" s="22" t="str">
        <f t="array" ref="F35">INDEX('Keyword Master Database'!$E$2:$E$287,MATCH(E35,'Keyword Master Database'!$A$2:$A$287,0))</f>
        <v>Transactional</v>
      </c>
      <c r="G35" s="22" t="str">
        <f t="array" ref="G35">INDEX('Keyword Master Database'!$F$2:$F$287,MATCH(E35,'Keyword Master Database'!$A$2:$A$287,0))</f>
        <v>BOFU</v>
      </c>
      <c r="H35" s="20" t="s">
        <v>564</v>
      </c>
      <c r="I35" s="20" t="s">
        <v>853</v>
      </c>
    </row>
    <row r="36" ht="15.75" customHeight="1">
      <c r="A36" s="8" t="s">
        <v>1051</v>
      </c>
      <c r="B36" s="13" t="str">
        <f t="array" ref="B36">INDEX('Keyword Master Database'!$W$2:$W$287,MATCH(E36,'Keyword Master Database'!$A$2:$A$287,0))</f>
        <v>High</v>
      </c>
      <c r="C36" s="8" t="s">
        <v>911</v>
      </c>
      <c r="D36" s="32" t="s">
        <v>1071</v>
      </c>
      <c r="E36" s="8" t="s">
        <v>568</v>
      </c>
      <c r="F36" s="13" t="str">
        <f t="array" ref="F36">INDEX('Keyword Master Database'!$E$2:$E$287,MATCH(E36,'Keyword Master Database'!$A$2:$A$287,0))</f>
        <v>Transactional</v>
      </c>
      <c r="G36" s="13" t="str">
        <f t="array" ref="G36">INDEX('Keyword Master Database'!$F$2:$F$287,MATCH(E36,'Keyword Master Database'!$A$2:$A$287,0))</f>
        <v>BOFU</v>
      </c>
      <c r="H36" s="8" t="s">
        <v>571</v>
      </c>
      <c r="I36" s="8" t="s">
        <v>853</v>
      </c>
    </row>
    <row r="37" ht="15.75" customHeight="1">
      <c r="A37" s="20" t="s">
        <v>1051</v>
      </c>
      <c r="B37" s="22" t="str">
        <f t="array" ref="B37">INDEX('Keyword Master Database'!$W$2:$W$287,MATCH(E37,'Keyword Master Database'!$A$2:$A$287,0))</f>
        <v>High</v>
      </c>
      <c r="C37" s="20" t="s">
        <v>911</v>
      </c>
      <c r="D37" s="33" t="s">
        <v>1073</v>
      </c>
      <c r="E37" s="20" t="s">
        <v>469</v>
      </c>
      <c r="F37" s="22" t="str">
        <f t="array" ref="F37">INDEX('Keyword Master Database'!$E$2:$E$287,MATCH(E37,'Keyword Master Database'!$A$2:$A$287,0))</f>
        <v>Transactional</v>
      </c>
      <c r="G37" s="22" t="str">
        <f t="array" ref="G37">INDEX('Keyword Master Database'!$F$2:$F$287,MATCH(E37,'Keyword Master Database'!$A$2:$A$287,0))</f>
        <v>BOFU</v>
      </c>
      <c r="H37" s="20" t="s">
        <v>472</v>
      </c>
      <c r="I37" s="20" t="s">
        <v>853</v>
      </c>
    </row>
    <row r="38" ht="15.75" customHeight="1">
      <c r="A38" s="8" t="s">
        <v>1074</v>
      </c>
      <c r="B38" s="13" t="str">
        <f t="array" ref="B38">INDEX('Keyword Master Database'!$W$2:$W$287,MATCH(E38,'Keyword Master Database'!$A$2:$A$287,0))</f>
        <v>Medium</v>
      </c>
      <c r="C38" s="8" t="s">
        <v>1053</v>
      </c>
      <c r="D38" s="32" t="s">
        <v>1077</v>
      </c>
      <c r="E38" s="8" t="s">
        <v>1041</v>
      </c>
      <c r="F38" s="13" t="str">
        <f t="array" ref="F38">INDEX('Keyword Master Database'!$E$2:$E$287,MATCH(E38,'Keyword Master Database'!$A$2:$A$287,0))</f>
        <v>Informational</v>
      </c>
      <c r="G38" s="13" t="str">
        <f t="array" ref="G38">INDEX('Keyword Master Database'!$F$2:$F$287,MATCH(E38,'Keyword Master Database'!$A$2:$A$287,0))</f>
        <v>TOFU</v>
      </c>
      <c r="H38" s="8" t="s">
        <v>195</v>
      </c>
      <c r="I38" s="8" t="s">
        <v>1061</v>
      </c>
    </row>
    <row r="39" ht="15.75" customHeight="1">
      <c r="A39" s="20" t="s">
        <v>1074</v>
      </c>
      <c r="B39" s="22" t="str">
        <f t="array" ref="B39">INDEX('Keyword Master Database'!$W$2:$W$287,MATCH(E39,'Keyword Master Database'!$A$2:$A$287,0))</f>
        <v>Low</v>
      </c>
      <c r="C39" s="20" t="s">
        <v>1053</v>
      </c>
      <c r="D39" s="33" t="s">
        <v>1078</v>
      </c>
      <c r="E39" s="20" t="s">
        <v>291</v>
      </c>
      <c r="F39" s="22" t="str">
        <f t="array" ref="F39">INDEX('Keyword Master Database'!$E$2:$E$287,MATCH(E39,'Keyword Master Database'!$A$2:$A$287,0))</f>
        <v>Informational</v>
      </c>
      <c r="G39" s="22" t="str">
        <f t="array" ref="G39">INDEX('Keyword Master Database'!$F$2:$F$287,MATCH(E39,'Keyword Master Database'!$A$2:$A$287,0))</f>
        <v>TOFU</v>
      </c>
      <c r="H39" s="20" t="s">
        <v>296</v>
      </c>
      <c r="I39" s="20" t="s">
        <v>1055</v>
      </c>
    </row>
    <row r="40" ht="15.75" customHeight="1">
      <c r="A40" s="8" t="s">
        <v>1074</v>
      </c>
      <c r="B40" s="13" t="str">
        <f t="array" ref="B40">INDEX('Keyword Master Database'!$W$2:$W$287,MATCH(E40,'Keyword Master Database'!$A$2:$A$287,0))</f>
        <v>Medium</v>
      </c>
      <c r="C40" s="8" t="s">
        <v>1057</v>
      </c>
      <c r="D40" s="32" t="s">
        <v>600</v>
      </c>
      <c r="E40" s="8" t="s">
        <v>601</v>
      </c>
      <c r="F40" s="13" t="str">
        <f t="array" ref="F40">INDEX('Keyword Master Database'!$E$2:$E$287,MATCH(E40,'Keyword Master Database'!$A$2:$A$287,0))</f>
        <v>Commercial</v>
      </c>
      <c r="G40" s="13" t="str">
        <f t="array" ref="G40">INDEX('Keyword Master Database'!$F$2:$F$287,MATCH(E40,'Keyword Master Database'!$A$2:$A$287,0))</f>
        <v>MOFU</v>
      </c>
      <c r="H40" s="8" t="s">
        <v>604</v>
      </c>
      <c r="I40" s="8" t="s">
        <v>1061</v>
      </c>
    </row>
    <row r="41" ht="15.75" customHeight="1">
      <c r="A41" s="20" t="s">
        <v>1074</v>
      </c>
      <c r="B41" s="22" t="str">
        <f t="array" ref="B41">INDEX('Keyword Master Database'!$W$2:$W$287,MATCH(E41,'Keyword Master Database'!$A$2:$A$287,0))</f>
        <v>Medium</v>
      </c>
      <c r="C41" s="20" t="s">
        <v>1082</v>
      </c>
      <c r="D41" s="33" t="s">
        <v>329</v>
      </c>
      <c r="E41" s="20" t="s">
        <v>330</v>
      </c>
      <c r="F41" s="22" t="str">
        <f t="array" ref="F41">INDEX('Keyword Master Database'!$E$2:$E$287,MATCH(E41,'Keyword Master Database'!$A$2:$A$287,0))</f>
        <v>Transactional</v>
      </c>
      <c r="G41" s="22" t="str">
        <f t="array" ref="G41">INDEX('Keyword Master Database'!$F$2:$F$287,MATCH(E41,'Keyword Master Database'!$A$2:$A$287,0))</f>
        <v>BOFU</v>
      </c>
      <c r="H41" s="20" t="s">
        <v>333</v>
      </c>
      <c r="I41" s="20" t="s">
        <v>1055</v>
      </c>
    </row>
    <row r="42" ht="15.75" customHeight="1">
      <c r="A42" s="8" t="s">
        <v>1074</v>
      </c>
      <c r="B42" s="13" t="str">
        <f t="array" ref="B42">INDEX('Keyword Master Database'!$W$2:$W$287,MATCH(E42,'Keyword Master Database'!$A$2:$A$287,0))</f>
        <v>Medium</v>
      </c>
      <c r="C42" s="8" t="s">
        <v>1082</v>
      </c>
      <c r="D42" s="32" t="s">
        <v>339</v>
      </c>
      <c r="E42" s="8" t="s">
        <v>340</v>
      </c>
      <c r="F42" s="13" t="str">
        <f t="array" ref="F42">INDEX('Keyword Master Database'!$E$2:$E$287,MATCH(E42,'Keyword Master Database'!$A$2:$A$287,0))</f>
        <v>Transactional</v>
      </c>
      <c r="G42" s="13" t="str">
        <f t="array" ref="G42">INDEX('Keyword Master Database'!$F$2:$F$287,MATCH(E42,'Keyword Master Database'!$A$2:$A$287,0))</f>
        <v>BOFU</v>
      </c>
      <c r="H42" s="8" t="s">
        <v>344</v>
      </c>
      <c r="I42" s="8" t="s">
        <v>1055</v>
      </c>
    </row>
    <row r="43" ht="15.75" customHeight="1">
      <c r="A43" s="20" t="s">
        <v>1074</v>
      </c>
      <c r="B43" s="22" t="str">
        <f t="array" ref="B43">INDEX('Keyword Master Database'!$W$2:$W$287,MATCH(E43,'Keyword Master Database'!$A$2:$A$287,0))</f>
        <v>High</v>
      </c>
      <c r="C43" s="20" t="s">
        <v>911</v>
      </c>
      <c r="D43" s="33" t="s">
        <v>497</v>
      </c>
      <c r="E43" s="20" t="s">
        <v>498</v>
      </c>
      <c r="F43" s="22" t="str">
        <f t="array" ref="F43">INDEX('Keyword Master Database'!$E$2:$E$287,MATCH(E43,'Keyword Master Database'!$A$2:$A$287,0))</f>
        <v>Transactional</v>
      </c>
      <c r="G43" s="22" t="str">
        <f t="array" ref="G43">INDEX('Keyword Master Database'!$F$2:$F$287,MATCH(E43,'Keyword Master Database'!$A$2:$A$287,0))</f>
        <v>BOFU</v>
      </c>
      <c r="H43" s="20" t="s">
        <v>504</v>
      </c>
      <c r="I43" s="20" t="s">
        <v>853</v>
      </c>
    </row>
    <row r="44" ht="15.75" customHeight="1">
      <c r="A44" s="8" t="s">
        <v>1074</v>
      </c>
      <c r="B44" s="13" t="str">
        <f t="array" ref="B44">INDEX('Keyword Master Database'!$W$2:$W$287,MATCH(E44,'Keyword Master Database'!$A$2:$A$287,0))</f>
        <v>Low</v>
      </c>
      <c r="C44" s="8" t="s">
        <v>1053</v>
      </c>
      <c r="D44" s="32" t="s">
        <v>1087</v>
      </c>
      <c r="E44" s="8" t="s">
        <v>277</v>
      </c>
      <c r="F44" s="13" t="str">
        <f t="array" ref="F44">INDEX('Keyword Master Database'!$E$2:$E$287,MATCH(E44,'Keyword Master Database'!$A$2:$A$287,0))</f>
        <v>Informational</v>
      </c>
      <c r="G44" s="13" t="str">
        <f t="array" ref="G44">INDEX('Keyword Master Database'!$F$2:$F$287,MATCH(E44,'Keyword Master Database'!$A$2:$A$287,0))</f>
        <v>TOFU</v>
      </c>
      <c r="H44" s="8" t="s">
        <v>283</v>
      </c>
      <c r="I44" s="8" t="s">
        <v>1055</v>
      </c>
    </row>
    <row r="45" ht="15.75" customHeight="1">
      <c r="A45" s="20" t="s">
        <v>1088</v>
      </c>
      <c r="B45" s="22" t="str">
        <f t="array" ref="B45">INDEX('Keyword Master Database'!$W$2:$W$287,MATCH(E45,'Keyword Master Database'!$A$2:$A$287,0))</f>
        <v>Low</v>
      </c>
      <c r="C45" s="20" t="s">
        <v>1053</v>
      </c>
      <c r="D45" s="33" t="s">
        <v>1089</v>
      </c>
      <c r="E45" s="20" t="s">
        <v>832</v>
      </c>
      <c r="F45" s="22" t="str">
        <f t="array" ref="F45">INDEX('Keyword Master Database'!$E$2:$E$287,MATCH(E45,'Keyword Master Database'!$A$2:$A$287,0))</f>
        <v>Informational</v>
      </c>
      <c r="G45" s="22" t="str">
        <f t="array" ref="G45">INDEX('Keyword Master Database'!$F$2:$F$287,MATCH(E45,'Keyword Master Database'!$A$2:$A$287,0))</f>
        <v>TOFU</v>
      </c>
      <c r="H45" s="20" t="s">
        <v>140</v>
      </c>
      <c r="I45" s="20" t="s">
        <v>1061</v>
      </c>
    </row>
    <row r="46" ht="15.75" customHeight="1">
      <c r="A46" s="8" t="s">
        <v>1088</v>
      </c>
      <c r="B46" s="13" t="str">
        <f t="array" ref="B46">INDEX('Keyword Master Database'!$W$2:$W$287,MATCH(E46,'Keyword Master Database'!$A$2:$A$287,0))</f>
        <v>Low</v>
      </c>
      <c r="C46" s="8" t="s">
        <v>1053</v>
      </c>
      <c r="D46" s="32" t="s">
        <v>1090</v>
      </c>
      <c r="E46" s="8" t="s">
        <v>573</v>
      </c>
      <c r="F46" s="13" t="str">
        <f t="array" ref="F46">INDEX('Keyword Master Database'!$E$2:$E$287,MATCH(E46,'Keyword Master Database'!$A$2:$A$287,0))</f>
        <v>Informational</v>
      </c>
      <c r="G46" s="13" t="str">
        <f t="array" ref="G46">INDEX('Keyword Master Database'!$F$2:$F$287,MATCH(E46,'Keyword Master Database'!$A$2:$A$287,0))</f>
        <v>TOFU</v>
      </c>
      <c r="H46" s="8" t="s">
        <v>308</v>
      </c>
      <c r="I46" s="8" t="s">
        <v>1055</v>
      </c>
    </row>
    <row r="47" ht="15.75" customHeight="1">
      <c r="A47" s="20" t="s">
        <v>1088</v>
      </c>
      <c r="B47" s="22" t="str">
        <f t="array" ref="B47">INDEX('Keyword Master Database'!$W$2:$W$287,MATCH(E47,'Keyword Master Database'!$A$2:$A$287,0))</f>
        <v>High</v>
      </c>
      <c r="C47" s="20" t="s">
        <v>911</v>
      </c>
      <c r="D47" s="33" t="s">
        <v>508</v>
      </c>
      <c r="E47" s="20" t="s">
        <v>509</v>
      </c>
      <c r="F47" s="22" t="str">
        <f t="array" ref="F47">INDEX('Keyword Master Database'!$E$2:$E$287,MATCH(E47,'Keyword Master Database'!$A$2:$A$287,0))</f>
        <v>Transactional</v>
      </c>
      <c r="G47" s="22" t="str">
        <f t="array" ref="G47">INDEX('Keyword Master Database'!$F$2:$F$287,MATCH(E47,'Keyword Master Database'!$A$2:$A$287,0))</f>
        <v>BOFU</v>
      </c>
      <c r="H47" s="20" t="s">
        <v>513</v>
      </c>
      <c r="I47" s="20" t="s">
        <v>853</v>
      </c>
    </row>
    <row r="48" ht="15.75" customHeight="1">
      <c r="A48" s="8" t="s">
        <v>1088</v>
      </c>
      <c r="B48" s="13" t="str">
        <f t="array" ref="B48">INDEX('Keyword Master Database'!$W$2:$W$287,MATCH(E48,'Keyword Master Database'!$A$2:$A$287,0))</f>
        <v>Low</v>
      </c>
      <c r="C48" s="8" t="s">
        <v>1093</v>
      </c>
      <c r="D48" s="32" t="s">
        <v>1094</v>
      </c>
      <c r="E48" s="8" t="s">
        <v>576</v>
      </c>
      <c r="F48" s="13" t="str">
        <f t="array" ref="F48">INDEX('Keyword Master Database'!$E$2:$E$287,MATCH(E48,'Keyword Master Database'!$A$2:$A$287,0))</f>
        <v>Informational</v>
      </c>
      <c r="G48" s="13" t="str">
        <f t="array" ref="G48">INDEX('Keyword Master Database'!$F$2:$F$287,MATCH(E48,'Keyword Master Database'!$A$2:$A$287,0))</f>
        <v>TOFU</v>
      </c>
      <c r="H48" s="8" t="s">
        <v>580</v>
      </c>
      <c r="I48" s="8" t="s">
        <v>1055</v>
      </c>
    </row>
    <row r="49" ht="15.75" customHeight="1">
      <c r="A49" s="20" t="s">
        <v>1088</v>
      </c>
      <c r="B49" s="22" t="str">
        <f t="array" ref="B49">INDEX('Keyword Master Database'!$W$2:$W$287,MATCH(E49,'Keyword Master Database'!$A$2:$A$287,0))</f>
        <v>Low</v>
      </c>
      <c r="C49" s="20" t="s">
        <v>1053</v>
      </c>
      <c r="D49" s="33" t="s">
        <v>1097</v>
      </c>
      <c r="E49" s="20" t="s">
        <v>400</v>
      </c>
      <c r="F49" s="22" t="str">
        <f t="array" ref="F49">INDEX('Keyword Master Database'!$E$2:$E$287,MATCH(E49,'Keyword Master Database'!$A$2:$A$287,0))</f>
        <v>Informational</v>
      </c>
      <c r="G49" s="22" t="str">
        <f t="array" ref="G49">INDEX('Keyword Master Database'!$F$2:$F$287,MATCH(E49,'Keyword Master Database'!$A$2:$A$287,0))</f>
        <v>TOFU</v>
      </c>
      <c r="H49" s="20" t="s">
        <v>402</v>
      </c>
      <c r="I49" s="20" t="s">
        <v>1055</v>
      </c>
    </row>
    <row r="50" ht="15.75" customHeight="1">
      <c r="A50" s="8" t="s">
        <v>1088</v>
      </c>
      <c r="B50" s="13" t="str">
        <f t="array" ref="B50">INDEX('Keyword Master Database'!$W$2:$W$287,MATCH(E50,'Keyword Master Database'!$A$2:$A$287,0))</f>
        <v>Low</v>
      </c>
      <c r="C50" s="8" t="s">
        <v>911</v>
      </c>
      <c r="D50" s="32" t="s">
        <v>1098</v>
      </c>
      <c r="E50" s="8" t="s">
        <v>477</v>
      </c>
      <c r="F50" s="13" t="str">
        <f t="array" ref="F50">INDEX('Keyword Master Database'!$E$2:$E$287,MATCH(E50,'Keyword Master Database'!$A$2:$A$287,0))</f>
        <v>Commercial</v>
      </c>
      <c r="G50" s="13" t="str">
        <f t="array" ref="G50">INDEX('Keyword Master Database'!$F$2:$F$287,MATCH(E50,'Keyword Master Database'!$A$2:$A$287,0))</f>
        <v>MOFU</v>
      </c>
      <c r="H50" s="8" t="s">
        <v>480</v>
      </c>
      <c r="I50" s="8" t="s">
        <v>853</v>
      </c>
    </row>
    <row r="51" ht="15.75" customHeight="1">
      <c r="A51" s="20" t="s">
        <v>1088</v>
      </c>
      <c r="B51" s="22" t="str">
        <f t="array" ref="B51">INDEX('Keyword Master Database'!$W$2:$W$287,MATCH(E51,'Keyword Master Database'!$A$2:$A$287,0))</f>
        <v>High</v>
      </c>
      <c r="C51" s="20" t="s">
        <v>911</v>
      </c>
      <c r="D51" s="33" t="s">
        <v>1099</v>
      </c>
      <c r="E51" s="20" t="s">
        <v>676</v>
      </c>
      <c r="F51" s="22" t="str">
        <f t="array" ref="F51">INDEX('Keyword Master Database'!$E$2:$E$287,MATCH(E51,'Keyword Master Database'!$A$2:$A$287,0))</f>
        <v>Navigational</v>
      </c>
      <c r="G51" s="22" t="str">
        <f t="array" ref="G51">INDEX('Keyword Master Database'!$F$2:$F$287,MATCH(E51,'Keyword Master Database'!$A$2:$A$287,0))</f>
        <v>BOFU</v>
      </c>
      <c r="H51" s="20" t="s">
        <v>674</v>
      </c>
      <c r="I51" s="20" t="s">
        <v>853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1">
    <cfRule type="cellIs" dxfId="0" priority="1" operator="equal">
      <formula>"Critical"</formula>
    </cfRule>
  </conditionalFormatting>
  <conditionalFormatting sqref="B2:B51">
    <cfRule type="cellIs" dxfId="1" priority="2" operator="equal">
      <formula>"High"</formula>
    </cfRule>
  </conditionalFormatting>
  <conditionalFormatting sqref="B2:B51">
    <cfRule type="cellIs" dxfId="2" priority="3" operator="equal">
      <formula>"Medium"</formula>
    </cfRule>
  </conditionalFormatting>
  <conditionalFormatting sqref="B2:B51">
    <cfRule type="cellIs" dxfId="3" priority="4" operator="equal">
      <formula>"Low"</formula>
    </cfRule>
  </conditionalFormatting>
  <conditionalFormatting sqref="B2:B51">
    <cfRule type="cellIs" dxfId="4" priority="5" operator="equal">
      <formula>"Optional"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2" width="15.0"/>
    <col customWidth="1" min="3" max="3" width="11.0"/>
    <col customWidth="1" min="4" max="4" width="44.0"/>
    <col customWidth="1" min="5" max="5" width="60.0"/>
    <col customWidth="1" min="6" max="6" width="70.0"/>
    <col customWidth="1" min="7" max="26" width="8.71"/>
  </cols>
  <sheetData>
    <row r="1" ht="30.0" customHeight="1">
      <c r="A1" s="1" t="s">
        <v>1</v>
      </c>
      <c r="B1" s="1" t="s">
        <v>17</v>
      </c>
      <c r="C1" s="1" t="s">
        <v>8</v>
      </c>
      <c r="D1" s="1" t="s">
        <v>208</v>
      </c>
      <c r="E1" s="1" t="s">
        <v>982</v>
      </c>
      <c r="F1" s="1" t="s">
        <v>40</v>
      </c>
    </row>
    <row r="2" ht="39.75" customHeight="1">
      <c r="A2" s="7" t="s">
        <v>685</v>
      </c>
      <c r="B2" s="13" t="str">
        <f t="array" ref="B2">INDEX('Keyword Master Database'!$E$2:$E$287,MATCH(A2,'Keyword Master Database'!$A$2:$A$287,0))</f>
        <v>Transactional</v>
      </c>
      <c r="C2" s="13" t="str">
        <f t="array" ref="C2">INDEX('Keyword Master Database'!$F$2:$F$287,MATCH(A2,'Keyword Master Database'!$A$2:$A$287,0))</f>
        <v>BOFU</v>
      </c>
      <c r="D2" s="32" t="str">
        <f t="array" ref="D2">"KD "&amp;INDEX('Keyword Master Database'!$J$2:$J$287,MATCH(A2,'Keyword Master Database'!$A$2:$A$287,0))&amp;" | ~"&amp;TEXT(INDEX('Keyword Master Database'!$H$2:$H$287,MATCH(A2,'Keyword Master Database'!$A$2:$A$287,0)),"#,##0")&amp;" searches/mo | Priority "&amp;INDEX('Keyword Master Database'!$V$2:$V$287,MATCH(A2,'Keyword Master Database'!$A$2:$A$287,0))</f>
        <v>KD 22 | ~210 searches/mo | Priority 92</v>
      </c>
      <c r="E2" s="32" t="s">
        <v>987</v>
      </c>
      <c r="F2" s="32" t="s">
        <v>988</v>
      </c>
    </row>
    <row r="3" ht="39.75" customHeight="1">
      <c r="A3" s="18" t="s">
        <v>989</v>
      </c>
      <c r="B3" s="22" t="str">
        <f t="array" ref="B3">INDEX('Keyword Master Database'!$E$2:$E$287,MATCH(A3,'Keyword Master Database'!$A$2:$A$287,0))</f>
        <v>Transactional</v>
      </c>
      <c r="C3" s="22" t="str">
        <f t="array" ref="C3">INDEX('Keyword Master Database'!$F$2:$F$287,MATCH(A3,'Keyword Master Database'!$A$2:$A$287,0))</f>
        <v>BOFU</v>
      </c>
      <c r="D3" s="33" t="str">
        <f t="array" ref="D3">"KD "&amp;INDEX('Keyword Master Database'!$J$2:$J$287,MATCH(A3,'Keyword Master Database'!$A$2:$A$287,0))&amp;" | ~"&amp;TEXT(INDEX('Keyword Master Database'!$H$2:$H$287,MATCH(A3,'Keyword Master Database'!$A$2:$A$287,0)),"#,##0")&amp;" searches/mo | Priority "&amp;INDEX('Keyword Master Database'!$V$2:$V$287,MATCH(A3,'Keyword Master Database'!$A$2:$A$287,0))</f>
        <v>KD 20 | ~170 searches/mo | Priority 92</v>
      </c>
      <c r="E3" s="33" t="s">
        <v>987</v>
      </c>
      <c r="F3" s="33" t="s">
        <v>988</v>
      </c>
    </row>
    <row r="4" ht="39.75" customHeight="1">
      <c r="A4" s="7" t="s">
        <v>541</v>
      </c>
      <c r="B4" s="13" t="str">
        <f t="array" ref="B4">INDEX('Keyword Master Database'!$E$2:$E$287,MATCH(A4,'Keyword Master Database'!$A$2:$A$287,0))</f>
        <v>Transactional</v>
      </c>
      <c r="C4" s="13" t="str">
        <f t="array" ref="C4">INDEX('Keyword Master Database'!$F$2:$F$287,MATCH(A4,'Keyword Master Database'!$A$2:$A$287,0))</f>
        <v>BOFU</v>
      </c>
      <c r="D4" s="32" t="str">
        <f t="array" ref="D4">"KD "&amp;INDEX('Keyword Master Database'!$J$2:$J$287,MATCH(A4,'Keyword Master Database'!$A$2:$A$287,0))&amp;" | ~"&amp;TEXT(INDEX('Keyword Master Database'!$H$2:$H$287,MATCH(A4,'Keyword Master Database'!$A$2:$A$287,0)),"#,##0")&amp;" searches/mo | Priority "&amp;INDEX('Keyword Master Database'!$V$2:$V$287,MATCH(A4,'Keyword Master Database'!$A$2:$A$287,0))</f>
        <v>KD 24 | ~140 searches/mo | Priority 89</v>
      </c>
      <c r="E4" s="32" t="s">
        <v>987</v>
      </c>
      <c r="F4" s="32" t="s">
        <v>998</v>
      </c>
    </row>
    <row r="5" ht="39.75" customHeight="1">
      <c r="A5" s="18" t="s">
        <v>553</v>
      </c>
      <c r="B5" s="22" t="str">
        <f t="array" ref="B5">INDEX('Keyword Master Database'!$E$2:$E$287,MATCH(A5,'Keyword Master Database'!$A$2:$A$287,0))</f>
        <v>Transactional</v>
      </c>
      <c r="C5" s="22" t="str">
        <f t="array" ref="C5">INDEX('Keyword Master Database'!$F$2:$F$287,MATCH(A5,'Keyword Master Database'!$A$2:$A$287,0))</f>
        <v>BOFU</v>
      </c>
      <c r="D5" s="33" t="str">
        <f t="array" ref="D5">"KD "&amp;INDEX('Keyword Master Database'!$J$2:$J$287,MATCH(A5,'Keyword Master Database'!$A$2:$A$287,0))&amp;" | ~"&amp;TEXT(INDEX('Keyword Master Database'!$H$2:$H$287,MATCH(A5,'Keyword Master Database'!$A$2:$A$287,0)),"#,##0")&amp;" searches/mo | Priority "&amp;INDEX('Keyword Master Database'!$V$2:$V$287,MATCH(A5,'Keyword Master Database'!$A$2:$A$287,0))</f>
        <v>KD 26 | ~170 searches/mo | Priority 88</v>
      </c>
      <c r="E5" s="33" t="s">
        <v>987</v>
      </c>
      <c r="F5" s="33" t="s">
        <v>1019</v>
      </c>
    </row>
    <row r="6" ht="39.75" customHeight="1">
      <c r="A6" s="7" t="s">
        <v>548</v>
      </c>
      <c r="B6" s="13" t="str">
        <f t="array" ref="B6">INDEX('Keyword Master Database'!$E$2:$E$287,MATCH(A6,'Keyword Master Database'!$A$2:$A$287,0))</f>
        <v>Transactional</v>
      </c>
      <c r="C6" s="13" t="str">
        <f t="array" ref="C6">INDEX('Keyword Master Database'!$F$2:$F$287,MATCH(A6,'Keyword Master Database'!$A$2:$A$287,0))</f>
        <v>BOFU</v>
      </c>
      <c r="D6" s="32" t="str">
        <f t="array" ref="D6">"KD "&amp;INDEX('Keyword Master Database'!$J$2:$J$287,MATCH(A6,'Keyword Master Database'!$A$2:$A$287,0))&amp;" | ~"&amp;TEXT(INDEX('Keyword Master Database'!$H$2:$H$287,MATCH(A6,'Keyword Master Database'!$A$2:$A$287,0)),"#,##0")&amp;" searches/mo | Priority "&amp;INDEX('Keyword Master Database'!$V$2:$V$287,MATCH(A6,'Keyword Master Database'!$A$2:$A$287,0))</f>
        <v>KD 29 | ~70 searches/mo | Priority 87</v>
      </c>
      <c r="E6" s="32" t="s">
        <v>1042</v>
      </c>
      <c r="F6" s="32" t="s">
        <v>1043</v>
      </c>
    </row>
    <row r="7" ht="39.75" customHeight="1">
      <c r="A7" s="18" t="s">
        <v>1044</v>
      </c>
      <c r="B7" s="22" t="str">
        <f t="array" ref="B7">INDEX('Keyword Master Database'!$E$2:$E$287,MATCH(A7,'Keyword Master Database'!$A$2:$A$287,0))</f>
        <v>Transactional</v>
      </c>
      <c r="C7" s="22" t="str">
        <f t="array" ref="C7">INDEX('Keyword Master Database'!$F$2:$F$287,MATCH(A7,'Keyword Master Database'!$A$2:$A$287,0))</f>
        <v>BOFU</v>
      </c>
      <c r="D7" s="33" t="str">
        <f t="array" ref="D7">"KD "&amp;INDEX('Keyword Master Database'!$J$2:$J$287,MATCH(A7,'Keyword Master Database'!$A$2:$A$287,0))&amp;" | ~"&amp;TEXT(INDEX('Keyword Master Database'!$H$2:$H$287,MATCH(A7,'Keyword Master Database'!$A$2:$A$287,0)),"#,##0")&amp;" searches/mo | Priority "&amp;INDEX('Keyword Master Database'!$V$2:$V$287,MATCH(A7,'Keyword Master Database'!$A$2:$A$287,0))</f>
        <v>KD 30 | ~70 searches/mo | Priority 87</v>
      </c>
      <c r="E7" s="33" t="s">
        <v>1042</v>
      </c>
      <c r="F7" s="33" t="s">
        <v>1048</v>
      </c>
    </row>
    <row r="8" ht="39.75" customHeight="1">
      <c r="A8" s="7" t="s">
        <v>1049</v>
      </c>
      <c r="B8" s="13" t="str">
        <f t="array" ref="B8">INDEX('Keyword Master Database'!$E$2:$E$287,MATCH(A8,'Keyword Master Database'!$A$2:$A$287,0))</f>
        <v>Transactional</v>
      </c>
      <c r="C8" s="13" t="str">
        <f t="array" ref="C8">INDEX('Keyword Master Database'!$F$2:$F$287,MATCH(A8,'Keyword Master Database'!$A$2:$A$287,0))</f>
        <v>BOFU</v>
      </c>
      <c r="D8" s="32" t="str">
        <f t="array" ref="D8">"KD "&amp;INDEX('Keyword Master Database'!$J$2:$J$287,MATCH(A8,'Keyword Master Database'!$A$2:$A$287,0))&amp;" | ~"&amp;TEXT(INDEX('Keyword Master Database'!$H$2:$H$287,MATCH(A8,'Keyword Master Database'!$A$2:$A$287,0)),"#,##0")&amp;" searches/mo | Priority "&amp;INDEX('Keyword Master Database'!$V$2:$V$287,MATCH(A8,'Keyword Master Database'!$A$2:$A$287,0))</f>
        <v>KD 26 | ~90 searches/mo | Priority 85</v>
      </c>
      <c r="E8" s="32" t="s">
        <v>987</v>
      </c>
      <c r="F8" s="32" t="s">
        <v>998</v>
      </c>
    </row>
    <row r="9" ht="39.75" customHeight="1">
      <c r="A9" s="18" t="s">
        <v>321</v>
      </c>
      <c r="B9" s="22" t="str">
        <f t="array" ref="B9">INDEX('Keyword Master Database'!$E$2:$E$287,MATCH(A9,'Keyword Master Database'!$A$2:$A$287,0))</f>
        <v>Transactional</v>
      </c>
      <c r="C9" s="22" t="str">
        <f t="array" ref="C9">INDEX('Keyword Master Database'!$F$2:$F$287,MATCH(A9,'Keyword Master Database'!$A$2:$A$287,0))</f>
        <v>BOFU</v>
      </c>
      <c r="D9" s="33" t="str">
        <f t="array" ref="D9">"KD "&amp;INDEX('Keyword Master Database'!$J$2:$J$287,MATCH(A9,'Keyword Master Database'!$A$2:$A$287,0))&amp;" | ~"&amp;TEXT(INDEX('Keyword Master Database'!$H$2:$H$287,MATCH(A9,'Keyword Master Database'!$A$2:$A$287,0)),"#,##0")&amp;" searches/mo | Priority "&amp;INDEX('Keyword Master Database'!$V$2:$V$287,MATCH(A9,'Keyword Master Database'!$A$2:$A$287,0))</f>
        <v>KD 24 | ~60 searches/mo | Priority 84</v>
      </c>
      <c r="E9" s="33" t="s">
        <v>1042</v>
      </c>
      <c r="F9" s="33" t="s">
        <v>1059</v>
      </c>
    </row>
    <row r="10" ht="39.75" customHeight="1">
      <c r="A10" s="7" t="s">
        <v>1060</v>
      </c>
      <c r="B10" s="13" t="str">
        <f t="array" ref="B10">INDEX('Keyword Master Database'!$E$2:$E$287,MATCH(A10,'Keyword Master Database'!$A$2:$A$287,0))</f>
        <v>Transactional</v>
      </c>
      <c r="C10" s="13" t="str">
        <f t="array" ref="C10">INDEX('Keyword Master Database'!$F$2:$F$287,MATCH(A10,'Keyword Master Database'!$A$2:$A$287,0))</f>
        <v>BOFU</v>
      </c>
      <c r="D10" s="32" t="str">
        <f t="array" ref="D10">"KD "&amp;INDEX('Keyword Master Database'!$J$2:$J$287,MATCH(A10,'Keyword Master Database'!$A$2:$A$287,0))&amp;" | ~"&amp;TEXT(INDEX('Keyword Master Database'!$H$2:$H$287,MATCH(A10,'Keyword Master Database'!$A$2:$A$287,0)),"#,##0")&amp;" searches/mo | Priority "&amp;INDEX('Keyword Master Database'!$V$2:$V$287,MATCH(A10,'Keyword Master Database'!$A$2:$A$287,0))</f>
        <v>KD 30 | ~110 searches/mo | Priority 83</v>
      </c>
      <c r="E10" s="32" t="s">
        <v>1042</v>
      </c>
      <c r="F10" s="32" t="s">
        <v>1063</v>
      </c>
    </row>
    <row r="11" ht="39.75" customHeight="1">
      <c r="A11" s="18" t="s">
        <v>1064</v>
      </c>
      <c r="B11" s="22" t="str">
        <f t="array" ref="B11">INDEX('Keyword Master Database'!$E$2:$E$287,MATCH(A11,'Keyword Master Database'!$A$2:$A$287,0))</f>
        <v>Transactional</v>
      </c>
      <c r="C11" s="22" t="str">
        <f t="array" ref="C11">INDEX('Keyword Master Database'!$F$2:$F$287,MATCH(A11,'Keyword Master Database'!$A$2:$A$287,0))</f>
        <v>BOFU</v>
      </c>
      <c r="D11" s="33" t="str">
        <f t="array" ref="D11">"KD "&amp;INDEX('Keyword Master Database'!$J$2:$J$287,MATCH(A11,'Keyword Master Database'!$A$2:$A$287,0))&amp;" | ~"&amp;TEXT(INDEX('Keyword Master Database'!$H$2:$H$287,MATCH(A11,'Keyword Master Database'!$A$2:$A$287,0)),"#,##0")&amp;" searches/mo | Priority "&amp;INDEX('Keyword Master Database'!$V$2:$V$287,MATCH(A11,'Keyword Master Database'!$A$2:$A$287,0))</f>
        <v>KD 30 | ~110 searches/mo | Priority 83</v>
      </c>
      <c r="E11" s="33" t="s">
        <v>1042</v>
      </c>
      <c r="F11" s="33" t="s">
        <v>1066</v>
      </c>
    </row>
    <row r="12" ht="39.75" customHeight="1">
      <c r="A12" s="7" t="s">
        <v>1067</v>
      </c>
      <c r="B12" s="13" t="str">
        <f t="array" ref="B12">INDEX('Keyword Master Database'!$E$2:$E$287,MATCH(A12,'Keyword Master Database'!$A$2:$A$287,0))</f>
        <v>Transactional</v>
      </c>
      <c r="C12" s="13" t="str">
        <f t="array" ref="C12">INDEX('Keyword Master Database'!$F$2:$F$287,MATCH(A12,'Keyword Master Database'!$A$2:$A$287,0))</f>
        <v>BOFU</v>
      </c>
      <c r="D12" s="32" t="str">
        <f t="array" ref="D12">"KD "&amp;INDEX('Keyword Master Database'!$J$2:$J$287,MATCH(A12,'Keyword Master Database'!$A$2:$A$287,0))&amp;" | ~"&amp;TEXT(INDEX('Keyword Master Database'!$H$2:$H$287,MATCH(A12,'Keyword Master Database'!$A$2:$A$287,0)),"#,##0")&amp;" searches/mo | Priority "&amp;INDEX('Keyword Master Database'!$V$2:$V$287,MATCH(A12,'Keyword Master Database'!$A$2:$A$287,0))</f>
        <v>KD 26 | ~60 searches/mo | Priority 83</v>
      </c>
      <c r="E12" s="32" t="s">
        <v>1042</v>
      </c>
      <c r="F12" s="32" t="s">
        <v>1063</v>
      </c>
    </row>
    <row r="13" ht="39.75" customHeight="1">
      <c r="A13" s="18" t="s">
        <v>665</v>
      </c>
      <c r="B13" s="22" t="str">
        <f t="array" ref="B13">INDEX('Keyword Master Database'!$E$2:$E$287,MATCH(A13,'Keyword Master Database'!$A$2:$A$287,0))</f>
        <v>Transactional</v>
      </c>
      <c r="C13" s="22" t="str">
        <f t="array" ref="C13">INDEX('Keyword Master Database'!$F$2:$F$287,MATCH(A13,'Keyword Master Database'!$A$2:$A$287,0))</f>
        <v>BOFU</v>
      </c>
      <c r="D13" s="33" t="str">
        <f t="array" ref="D13">"KD "&amp;INDEX('Keyword Master Database'!$J$2:$J$287,MATCH(A13,'Keyword Master Database'!$A$2:$A$287,0))&amp;" | ~"&amp;TEXT(INDEX('Keyword Master Database'!$H$2:$H$287,MATCH(A13,'Keyword Master Database'!$A$2:$A$287,0)),"#,##0")&amp;" searches/mo | Priority "&amp;INDEX('Keyword Master Database'!$V$2:$V$287,MATCH(A13,'Keyword Master Database'!$A$2:$A$287,0))</f>
        <v>KD 22 | ~140 searches/mo | Priority 82</v>
      </c>
      <c r="E13" s="33" t="s">
        <v>1075</v>
      </c>
      <c r="F13" s="33" t="s">
        <v>1076</v>
      </c>
    </row>
    <row r="14" ht="39.75" customHeight="1">
      <c r="A14" s="7" t="s">
        <v>696</v>
      </c>
      <c r="B14" s="13" t="str">
        <f t="array" ref="B14">INDEX('Keyword Master Database'!$E$2:$E$287,MATCH(A14,'Keyword Master Database'!$A$2:$A$287,0))</f>
        <v>Transactional</v>
      </c>
      <c r="C14" s="13" t="str">
        <f t="array" ref="C14">INDEX('Keyword Master Database'!$F$2:$F$287,MATCH(A14,'Keyword Master Database'!$A$2:$A$287,0))</f>
        <v>BOFU</v>
      </c>
      <c r="D14" s="32" t="str">
        <f t="array" ref="D14">"KD "&amp;INDEX('Keyword Master Database'!$J$2:$J$287,MATCH(A14,'Keyword Master Database'!$A$2:$A$287,0))&amp;" | ~"&amp;TEXT(INDEX('Keyword Master Database'!$H$2:$H$287,MATCH(A14,'Keyword Master Database'!$A$2:$A$287,0)),"#,##0")&amp;" searches/mo | Priority "&amp;INDEX('Keyword Master Database'!$V$2:$V$287,MATCH(A14,'Keyword Master Database'!$A$2:$A$287,0))</f>
        <v>KD 24 | ~110 searches/mo | Priority 82</v>
      </c>
      <c r="E14" s="32" t="s">
        <v>987</v>
      </c>
      <c r="F14" s="32" t="s">
        <v>1080</v>
      </c>
    </row>
    <row r="15" ht="39.75" customHeight="1">
      <c r="A15" s="18" t="s">
        <v>568</v>
      </c>
      <c r="B15" s="22" t="str">
        <f t="array" ref="B15">INDEX('Keyword Master Database'!$E$2:$E$287,MATCH(A15,'Keyword Master Database'!$A$2:$A$287,0))</f>
        <v>Transactional</v>
      </c>
      <c r="C15" s="22" t="str">
        <f t="array" ref="C15">INDEX('Keyword Master Database'!$F$2:$F$287,MATCH(A15,'Keyword Master Database'!$A$2:$A$287,0))</f>
        <v>BOFU</v>
      </c>
      <c r="D15" s="33" t="str">
        <f t="array" ref="D15">"KD "&amp;INDEX('Keyword Master Database'!$J$2:$J$287,MATCH(A15,'Keyword Master Database'!$A$2:$A$287,0))&amp;" | ~"&amp;TEXT(INDEX('Keyword Master Database'!$H$2:$H$287,MATCH(A15,'Keyword Master Database'!$A$2:$A$287,0)),"#,##0")&amp;" searches/mo | Priority "&amp;INDEX('Keyword Master Database'!$V$2:$V$287,MATCH(A15,'Keyword Master Database'!$A$2:$A$287,0))</f>
        <v>KD 22 | ~110 searches/mo | Priority 82</v>
      </c>
      <c r="E15" s="33" t="s">
        <v>987</v>
      </c>
      <c r="F15" s="33" t="s">
        <v>1083</v>
      </c>
    </row>
    <row r="16" ht="39.75" customHeight="1">
      <c r="A16" s="7" t="s">
        <v>561</v>
      </c>
      <c r="B16" s="13" t="str">
        <f t="array" ref="B16">INDEX('Keyword Master Database'!$E$2:$E$287,MATCH(A16,'Keyword Master Database'!$A$2:$A$287,0))</f>
        <v>Transactional</v>
      </c>
      <c r="C16" s="13" t="str">
        <f t="array" ref="C16">INDEX('Keyword Master Database'!$F$2:$F$287,MATCH(A16,'Keyword Master Database'!$A$2:$A$287,0))</f>
        <v>BOFU</v>
      </c>
      <c r="D16" s="32" t="str">
        <f t="array" ref="D16">"KD "&amp;INDEX('Keyword Master Database'!$J$2:$J$287,MATCH(A16,'Keyword Master Database'!$A$2:$A$287,0))&amp;" | ~"&amp;TEXT(INDEX('Keyword Master Database'!$H$2:$H$287,MATCH(A16,'Keyword Master Database'!$A$2:$A$287,0)),"#,##0")&amp;" searches/mo | Priority "&amp;INDEX('Keyword Master Database'!$V$2:$V$287,MATCH(A16,'Keyword Master Database'!$A$2:$A$287,0))</f>
        <v>KD 18 | ~90 searches/mo | Priority 82</v>
      </c>
      <c r="E16" s="32" t="s">
        <v>987</v>
      </c>
      <c r="F16" s="32" t="s">
        <v>1080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8CA3"/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3" width="16.0"/>
    <col customWidth="1" min="4" max="4" width="70.0"/>
    <col customWidth="1" min="5" max="5" width="40.0"/>
    <col customWidth="1" min="6" max="26" width="8.71"/>
  </cols>
  <sheetData>
    <row r="1" ht="30.0" customHeight="1">
      <c r="A1" s="2" t="s">
        <v>1001</v>
      </c>
      <c r="B1" s="37"/>
      <c r="C1" s="37"/>
      <c r="D1" s="37"/>
      <c r="E1" s="3"/>
    </row>
    <row r="3" ht="33.75" customHeight="1">
      <c r="A3" s="68" t="s">
        <v>1002</v>
      </c>
      <c r="B3" s="68" t="s">
        <v>1003</v>
      </c>
      <c r="C3" s="68" t="s">
        <v>1005</v>
      </c>
      <c r="D3" s="68" t="s">
        <v>1006</v>
      </c>
      <c r="E3" s="68" t="s">
        <v>42</v>
      </c>
    </row>
    <row r="4">
      <c r="A4" s="69" t="s">
        <v>27</v>
      </c>
      <c r="B4" s="70" t="s">
        <v>1007</v>
      </c>
      <c r="C4" s="71">
        <v>0.25</v>
      </c>
      <c r="D4" s="72" t="s">
        <v>1009</v>
      </c>
      <c r="E4" s="72" t="s">
        <v>1010</v>
      </c>
    </row>
    <row r="5">
      <c r="A5" s="69" t="s">
        <v>28</v>
      </c>
      <c r="B5" s="70" t="s">
        <v>1011</v>
      </c>
      <c r="C5" s="71">
        <v>0.15</v>
      </c>
      <c r="D5" s="72" t="s">
        <v>1012</v>
      </c>
      <c r="E5" s="72" t="s">
        <v>1013</v>
      </c>
    </row>
    <row r="6">
      <c r="A6" s="69" t="s">
        <v>29</v>
      </c>
      <c r="B6" s="70" t="s">
        <v>1014</v>
      </c>
      <c r="C6" s="71">
        <v>0.2</v>
      </c>
      <c r="D6" s="72" t="s">
        <v>1015</v>
      </c>
      <c r="E6" s="72" t="s">
        <v>1013</v>
      </c>
    </row>
    <row r="7">
      <c r="A7" s="69" t="s">
        <v>30</v>
      </c>
      <c r="B7" s="70" t="s">
        <v>1016</v>
      </c>
      <c r="C7" s="71">
        <v>0.15</v>
      </c>
      <c r="D7" s="72" t="s">
        <v>1017</v>
      </c>
      <c r="E7" s="72" t="s">
        <v>1018</v>
      </c>
    </row>
    <row r="8">
      <c r="A8" s="69" t="s">
        <v>32</v>
      </c>
      <c r="B8" s="70" t="s">
        <v>1020</v>
      </c>
      <c r="C8" s="71">
        <v>0.15</v>
      </c>
      <c r="D8" s="72" t="s">
        <v>1021</v>
      </c>
      <c r="E8" s="72" t="s">
        <v>1018</v>
      </c>
    </row>
    <row r="9">
      <c r="A9" s="69" t="s">
        <v>33</v>
      </c>
      <c r="B9" s="70" t="s">
        <v>1022</v>
      </c>
      <c r="C9" s="71">
        <v>0.1</v>
      </c>
      <c r="D9" s="72" t="s">
        <v>1023</v>
      </c>
      <c r="E9" s="72" t="s">
        <v>1018</v>
      </c>
    </row>
    <row r="10">
      <c r="B10" s="73" t="s">
        <v>1024</v>
      </c>
      <c r="C10" s="74">
        <f>SUM(C4:C9)</f>
        <v>1</v>
      </c>
    </row>
    <row r="12">
      <c r="A12" s="75" t="s">
        <v>1027</v>
      </c>
    </row>
    <row r="14" ht="24.0" customHeight="1">
      <c r="A14" s="68" t="s">
        <v>36</v>
      </c>
      <c r="B14" s="68" t="s">
        <v>1028</v>
      </c>
      <c r="C14" s="68"/>
      <c r="D14" s="68" t="s">
        <v>1029</v>
      </c>
      <c r="E14" s="68"/>
    </row>
    <row r="15">
      <c r="A15" s="70" t="s">
        <v>654</v>
      </c>
      <c r="B15" s="70" t="s">
        <v>1030</v>
      </c>
      <c r="C15" s="69"/>
      <c r="D15" s="72" t="s">
        <v>1031</v>
      </c>
      <c r="E15" s="69"/>
    </row>
    <row r="16">
      <c r="A16" s="70" t="s">
        <v>660</v>
      </c>
      <c r="B16" s="70" t="s">
        <v>1032</v>
      </c>
      <c r="C16" s="69"/>
      <c r="D16" s="72" t="s">
        <v>1033</v>
      </c>
      <c r="E16" s="69"/>
    </row>
    <row r="17">
      <c r="A17" s="70" t="s">
        <v>403</v>
      </c>
      <c r="B17" s="70" t="s">
        <v>1034</v>
      </c>
      <c r="C17" s="69"/>
      <c r="D17" s="72" t="s">
        <v>1035</v>
      </c>
      <c r="E17" s="69"/>
    </row>
    <row r="18">
      <c r="A18" s="70" t="s">
        <v>377</v>
      </c>
      <c r="B18" s="70" t="s">
        <v>1036</v>
      </c>
      <c r="C18" s="69"/>
      <c r="D18" s="72" t="s">
        <v>1037</v>
      </c>
      <c r="E18" s="69"/>
    </row>
    <row r="19">
      <c r="A19" s="70" t="s">
        <v>1038</v>
      </c>
      <c r="B19" s="70" t="s">
        <v>1039</v>
      </c>
      <c r="C19" s="69"/>
      <c r="D19" s="72" t="s">
        <v>1040</v>
      </c>
      <c r="E19" s="6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fitToHeight="0" orientation="landscape"/>
  <drawing r:id="rId1"/>
</worksheet>
</file>