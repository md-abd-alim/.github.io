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Business Analysis" sheetId="2" r:id="rId6"/>
    <sheet state="visible" name="Keyword Master Database" sheetId="3" r:id="rId7"/>
    <sheet state="visible" name="Keyword Clusters" sheetId="4" r:id="rId8"/>
    <sheet state="visible" name="Competitor Analysis" sheetId="5" r:id="rId9"/>
    <sheet state="visible" name="Keyword Mapping" sheetId="6" r:id="rId10"/>
    <sheet state="visible" name="Topical Authority Map" sheetId="7" r:id="rId11"/>
    <sheet state="visible" name="SEO Silo Architecture" sheetId="8" r:id="rId12"/>
    <sheet state="visible" name="Internal Linking Blueprint" sheetId="9" r:id="rId13"/>
    <sheet state="visible" name="Content Roadmap" sheetId="10" r:id="rId14"/>
    <sheet state="visible" name="Quick Win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Weighted average of the 6 scores (weights on Business Analysis sheet) / 5 x 100.</t>
      </text>
    </comment>
    <comment authorId="0" ref="H1">
      <text>
        <t xml:space="preserve">Estimated monthly searches (portfolio estimate, not tool data).</t>
      </text>
    </comment>
    <comment authorId="0" ref="J1">
      <text>
        <t xml:space="preserve">Estimated keyword difficulty 0-100 (portfolio estimate).</t>
      </text>
    </comment>
    <comment authorId="0" ref="L1">
      <text>
        <t xml:space="preserve">Estimated US CPC (portfolio estimate).</t>
      </text>
    </comment>
  </commentList>
</comments>
</file>

<file path=xl/sharedStrings.xml><?xml version="1.0" encoding="utf-8"?>
<sst xmlns="http://schemas.openxmlformats.org/spreadsheetml/2006/main" count="6427" uniqueCount="1103">
  <si>
    <t>BUSINESS ANALYSIS</t>
  </si>
  <si>
    <t>Cluster Name</t>
  </si>
  <si>
    <t>Keyword</t>
  </si>
  <si>
    <t>Primary Keyword</t>
  </si>
  <si>
    <t>Secondary Keywords</t>
  </si>
  <si>
    <t>Questions</t>
  </si>
  <si>
    <t>Entities</t>
  </si>
  <si>
    <t>Intent</t>
  </si>
  <si>
    <t>Field</t>
  </si>
  <si>
    <t>Funnel Stage</t>
  </si>
  <si>
    <t>Recommended Page</t>
  </si>
  <si>
    <t>Page Type</t>
  </si>
  <si>
    <t>Keyword Count</t>
  </si>
  <si>
    <t>Details</t>
  </si>
  <si>
    <t>Est. Total Volume</t>
  </si>
  <si>
    <t>Notes / Source</t>
  </si>
  <si>
    <t>Status</t>
  </si>
  <si>
    <t>Local Dentist - Gadsden (Core)</t>
  </si>
  <si>
    <t>Business Name</t>
  </si>
  <si>
    <t>Keyword Type</t>
  </si>
  <si>
    <t>Parent Topic</t>
  </si>
  <si>
    <t>dentist gadsden al</t>
  </si>
  <si>
    <t>gadsden dentist; dental office gadsden al; dentist in gadsden alabama; general dentist gadsden al; dentist accepting new patients gadsden al; dental clinic gadsden al</t>
  </si>
  <si>
    <t>Cluster</t>
  </si>
  <si>
    <t>Who is the best dentist in Gadsden, AL?; Is there a dentist accepting new patients near me?; What dental services are available in Etowah County?</t>
  </si>
  <si>
    <t>Southern Smiles Dental Center</t>
  </si>
  <si>
    <t>Etowah County; Gadsden AL 35901; Dr. Morrison; 315 N 3rd St; Google Business Profile</t>
  </si>
  <si>
    <t>Search Intent</t>
  </si>
  <si>
    <t>Provided</t>
  </si>
  <si>
    <t>Transactional</t>
  </si>
  <si>
    <t>Primary/Secondary</t>
  </si>
  <si>
    <t>BOFU</t>
  </si>
  <si>
    <t>Homepage</t>
  </si>
  <si>
    <t>Website</t>
  </si>
  <si>
    <t>Search Volume</t>
  </si>
  <si>
    <t>Volume Source</t>
  </si>
  <si>
    <t>https://www.southernsmilesgadsden.com/</t>
  </si>
  <si>
    <t>Estimated KD</t>
  </si>
  <si>
    <t>KD Source</t>
  </si>
  <si>
    <t>Estimated CPC</t>
  </si>
  <si>
    <t>Industry</t>
  </si>
  <si>
    <t>CPC Source</t>
  </si>
  <si>
    <t>Dental Clinic (general &amp; family dentistry, dentures)</t>
  </si>
  <si>
    <t>SERP Competition</t>
  </si>
  <si>
    <t>Ranking Competitors</t>
  </si>
  <si>
    <t>Country</t>
  </si>
  <si>
    <t>Business Value Score (1-5)</t>
  </si>
  <si>
    <t>United States</t>
  </si>
  <si>
    <t>Search Demand Score (1-5)</t>
  </si>
  <si>
    <t>Ranking Opportunity Score (1-5)</t>
  </si>
  <si>
    <t>Location</t>
  </si>
  <si>
    <t>315 N 3rd St, Gadsden, AL 35901, United States</t>
  </si>
  <si>
    <t>Intent Strength Score (1-5)</t>
  </si>
  <si>
    <t>Provided; phone (256) 459-5309 per website</t>
  </si>
  <si>
    <t>Conversion Potential Score (1-5)</t>
  </si>
  <si>
    <t>Services</t>
  </si>
  <si>
    <t>Topical Importance Score (1-5)</t>
  </si>
  <si>
    <t>Bridges; Clear Braces &amp; Clear Aligners; Crowns; Dental Surgery; Extractions; Partials; Root Canals; Routine Cleaning; Same Day Dentures; X-Ray &amp; Exams; and more (fillings and free denture adjustments also referenced on the website)</t>
  </si>
  <si>
    <t>Provided + website homepage</t>
  </si>
  <si>
    <t>SEO Priority Score</t>
  </si>
  <si>
    <t>Products</t>
  </si>
  <si>
    <t>Not provided - service-based practice. Dentures are fabricated in the on-site denture laboratory.</t>
  </si>
  <si>
    <t>Not supplied; website states dentures are made on-site</t>
  </si>
  <si>
    <t>Not provided</t>
  </si>
  <si>
    <t>Priority Level</t>
  </si>
  <si>
    <t>Goal</t>
  </si>
  <si>
    <t>Target URL</t>
  </si>
  <si>
    <t>1) Generate more local leads  2) Increase organic traffic  3) Improve service-page + commercial + transactional keyword rankings  4) Build topical authority</t>
  </si>
  <si>
    <t>Recommended Action</t>
  </si>
  <si>
    <t>Notes</t>
  </si>
  <si>
    <t>Primary SEO Focus</t>
  </si>
  <si>
    <t>Geo Scope</t>
  </si>
  <si>
    <t>Local SEO + AI SEO (AI Overviews / ChatGPT / Perplexity visibility)</t>
  </si>
  <si>
    <t>Service Area</t>
  </si>
  <si>
    <t>Etowah, St. Clair and Calhoun Counties, AL</t>
  </si>
  <si>
    <t>Website homepage</t>
  </si>
  <si>
    <t>Observed</t>
  </si>
  <si>
    <t>Office Hours</t>
  </si>
  <si>
    <t>Mon-Wed 8am-1pm &amp; 2pm-5pm; closed Thu-Sun</t>
  </si>
  <si>
    <t>Website homepage (observed Oct 2026) - verify against Google Business Profile</t>
  </si>
  <si>
    <t>WEBSITE ANALYSIS SNAPSHOT</t>
  </si>
  <si>
    <t>Area</t>
  </si>
  <si>
    <t>Finding (observed on southernsmilesgadsden.com)</t>
  </si>
  <si>
    <t>SEO Implication / Opportunity</t>
  </si>
  <si>
    <t>Priority</t>
  </si>
  <si>
    <t>Site architecture</t>
  </si>
  <si>
    <t>Navigation exposes only Home and Contact. Every service is described on a single homepage; there are no service, location, pricing, FAQ, about or blog pages.</t>
  </si>
  <si>
    <t>Core Service</t>
  </si>
  <si>
    <t>No dedicated URLs to rank for service + city queries. This is the single biggest ceiling on organic growth.</t>
  </si>
  <si>
    <t>Critical</t>
  </si>
  <si>
    <t>Dentist Gadsden AL</t>
  </si>
  <si>
    <t>Current keyword targeting</t>
  </si>
  <si>
    <t>Title tag: 'Southern Smiles Dental Center | Dental Office &amp; Dentures Gadsden'. H2 'Same Day Dentures Gadsden, AL'; H3s 'Affordable Dentist Near Gadsden' and 'Dentist Gadsden, AL'.</t>
  </si>
  <si>
    <t>Several intents compete on one URL and the H1 is brand-only. Split intents into dedicated pages and keep the homepage focused on 'dentist Gadsden AL'.</t>
  </si>
  <si>
    <t>High</t>
  </si>
  <si>
    <t>Existing strengths</t>
  </si>
  <si>
    <t>On-site denture lab; free denture adjustments; same-day dentures; 'almost any insurance'; click-to-call; consistent NAP; service-area list of 11 towns.</t>
  </si>
  <si>
    <t>Strong, citeable differentiators - expand into pages, FAQs and schema so AI search engines can quote them.</t>
  </si>
  <si>
    <t>Primary</t>
  </si>
  <si>
    <t>Leverage</t>
  </si>
  <si>
    <t>Pricing transparency</t>
  </si>
  <si>
    <t>No prices on the main site. The legacy domain publishes a full price sheet (crowns, root canals, extractions, cleaning, same-day dentures, partials, Six Month Smiles).</t>
  </si>
  <si>
    <t>Cost queries are high-converting. Publish a verified fee schedule (confirm current pricing with client before launch).</t>
  </si>
  <si>
    <t>Legacy domain</t>
  </si>
  <si>
    <t>southernsmilesdentalcenter.com is live with the same address and phone number.</t>
  </si>
  <si>
    <t>Split brand signals and duplicate NAP. 301-redirect to the main domain after migrating useful content.</t>
  </si>
  <si>
    <t>Trust / E-E-A-T</t>
  </si>
  <si>
    <t>SEO Market Estimate</t>
  </si>
  <si>
    <t>'Dr Morrison' is named without full name, credentials or photo. No reviews page. Meta description claims 'A+' without on-page proof.</t>
  </si>
  <si>
    <t>Add provider bio, credentials, patient reviews and verifiable trust signals.</t>
  </si>
  <si>
    <t>Image alt text</t>
  </si>
  <si>
    <t>Hero slider images carry alt/title text 'Drain Cleaning Plumber SL2/SL3' (template leftovers).</t>
  </si>
  <si>
    <t>SERP Competition Analysis</t>
  </si>
  <si>
    <t>Irrelevant on-page signals - replace with descriptive dental alt text.</t>
  </si>
  <si>
    <t>Medium</t>
  </si>
  <si>
    <t>Office hours</t>
  </si>
  <si>
    <t>Open Mon-Wed only; closed Thursday-Sunday.</t>
  </si>
  <si>
    <t>Limits emergency/walk-in/weekend capture. Set expectations in content and GBP before targeting emergency keywords.</t>
  </si>
  <si>
    <t>Commercial Intent Analysis</t>
  </si>
  <si>
    <t>Affordable &amp; No-Insurance Dentistry</t>
  </si>
  <si>
    <t>Content &amp; AI search</t>
  </si>
  <si>
    <t>No blog, FAQ or resource content.</t>
  </si>
  <si>
    <t>Missing TOFU/MOFU coverage and AI-citeable Q&amp;A. Build an FAQ page and supporting articles per silo.</t>
  </si>
  <si>
    <t>affordable dentist gadsden al</t>
  </si>
  <si>
    <t>dentist no insurance gadsden al; dental prices gadsden al; cheap dentist gadsden al; low cost dental care gadsden al; affordable dental care alabama; cheap dental work near me</t>
  </si>
  <si>
    <t>Technical / GBP</t>
  </si>
  <si>
    <t>How much is a dentist visit without insurance?; Where can I find an affordable dentist in Gadsden?; Is cheap dental care lower quality?</t>
  </si>
  <si>
    <t>Schema, Core Web Vitals and Google Business Profile were not audited in this deliverable.</t>
  </si>
  <si>
    <t>Recommend a separate technical + GBP audit alongside this keyword plan.</t>
  </si>
  <si>
    <t>Self-pay patients; fee schedule; dental insurance; affordable dentistry</t>
  </si>
  <si>
    <t>Commercial</t>
  </si>
  <si>
    <t>MOFU</t>
  </si>
  <si>
    <t>Affordable Dentist Gadsden AL (Hub)</t>
  </si>
  <si>
    <t>Hub Page</t>
  </si>
  <si>
    <t>SCORING METHODOLOGY</t>
  </si>
  <si>
    <t>Scoring Factor</t>
  </si>
  <si>
    <t>Weight (editable)</t>
  </si>
  <si>
    <t>Definition</t>
  </si>
  <si>
    <t>Revenue/lead/appointment value of the keyword</t>
  </si>
  <si>
    <t>Market-relative demand. Local/Regional: 1 &lt;20 | 2 20-49 | 3 50-119 | 4 120-249 | 5 250+ monthly searches. National: 1 &lt;300 | 2 300-999 | 3 1,000-2,999 | 4 3,000-9,999 | 5 10,000+</t>
  </si>
  <si>
    <t>Realistic ranking chance from KD (5: KD&lt;=15 | 4: &lt;=25 | 3: &lt;=35 | 2: &lt;=50 | 1: &gt;50)</t>
  </si>
  <si>
    <t>How close the searcher is to acting</t>
  </si>
  <si>
    <t>Gadsden Dental; Gadsden Family Dentistry; Aspen Dental</t>
  </si>
  <si>
    <t>Likelihood of producing a call, booking or lead</t>
  </si>
  <si>
    <t>Importance for building authority around dentistry/dentures in Gadsden</t>
  </si>
  <si>
    <t>Dentures - Core</t>
  </si>
  <si>
    <t>dentures gadsden al</t>
  </si>
  <si>
    <t>dentures near me gadsden al; denture dentist gadsden al; denture clinic gadsden al; full dentures gadsden al; custom dentures gadsden al; dentures alabama</t>
  </si>
  <si>
    <t>Where can I get dentures in Gadsden, AL?; What types of dentures are available?; Who makes dentures on-site?</t>
  </si>
  <si>
    <t>Weight check (must equal 100%)</t>
  </si>
  <si>
    <t>Full denture; acrylic; on-site denture lab; impressions; gum tissue</t>
  </si>
  <si>
    <t>Dentures Gadsden AL (Hub)</t>
  </si>
  <si>
    <t>Same-Day Dentures</t>
  </si>
  <si>
    <t>same day dentures gadsden al</t>
  </si>
  <si>
    <t>dentures in one day gadsden al; same day dentures alabama; one day dentures alabama; same day dentures near me; 1 day dentures near me; are same day dentures good</t>
  </si>
  <si>
    <t>Can you really get dentures in one day?; How does the same-day denture process work?; Are same-day dentures as good as traditional?</t>
  </si>
  <si>
    <t>On-site dental lab; impressions; shade &amp; mold; fitting appointment; follow-up adjustments</t>
  </si>
  <si>
    <t>SEO Priority Score = weighted average of the six scores / 5 x 100</t>
  </si>
  <si>
    <t>Same-Day Dentures Gadsden AL</t>
  </si>
  <si>
    <t>Service Page</t>
  </si>
  <si>
    <t>Score Range</t>
  </si>
  <si>
    <t>Meaning</t>
  </si>
  <si>
    <t>90-100</t>
  </si>
  <si>
    <t>Build/optimize first - highest revenue and ranking potential</t>
  </si>
  <si>
    <t>75-89</t>
  </si>
  <si>
    <t>Core targets for Months 1-3</t>
  </si>
  <si>
    <t>60-74</t>
  </si>
  <si>
    <t>Supporting pages and secondary targets</t>
  </si>
  <si>
    <t>Denture Cost &amp; Pricing</t>
  </si>
  <si>
    <t>denture cost gadsden al</t>
  </si>
  <si>
    <t>Low</t>
  </si>
  <si>
    <t>same day dentures cost alabama; cheap dentures gadsden al; affordable dentures gadsden al; full set of dentures cost; how much do dentures cost; cheapest place to get dentures near me</t>
  </si>
  <si>
    <t>40-59</t>
  </si>
  <si>
    <t>Topical-authority and long-tail support content</t>
  </si>
  <si>
    <t>How much do dentures cost in Alabama?; Do dentures cost less without insurance?; What is the difference between standard, deluxe and custom dentures?</t>
  </si>
  <si>
    <t>Standard / deluxe / custom dentures; price per arch; insurance; adjustments included</t>
  </si>
  <si>
    <t>Optional</t>
  </si>
  <si>
    <t>Below 40</t>
  </si>
  <si>
    <t>Monitor or pursue opportunistically</t>
  </si>
  <si>
    <t>Denture Cost &amp; Pricing Gadsden AL</t>
  </si>
  <si>
    <t>/</t>
  </si>
  <si>
    <t>Optimize</t>
  </si>
  <si>
    <t>Homepage primary - align title tag, H1 and intro copy</t>
  </si>
  <si>
    <t>Local</t>
  </si>
  <si>
    <t>Partial Dentures</t>
  </si>
  <si>
    <t>partial dentures gadsden al</t>
  </si>
  <si>
    <t>partials dentist gadsden al; partial dentures near me; cast metal partial denture; partial denture cost; flexible partial dentures; flipper tooth cost</t>
  </si>
  <si>
    <t>What is a partial denture?; Flexible vs. cast metal partials?; Are acrylic flipper partials temporary?</t>
  </si>
  <si>
    <t>dentist in gadsden alabama</t>
  </si>
  <si>
    <t>Cast metal partial; flexible partial; acrylic (flipper) partial; clasps; abutment teeth</t>
  </si>
  <si>
    <t>Partial Dentures Gadsden AL</t>
  </si>
  <si>
    <t>Secondary</t>
  </si>
  <si>
    <t>Immediate Dentures &amp; Extraction + Dentures</t>
  </si>
  <si>
    <t>immediate dentures gadsden al</t>
  </si>
  <si>
    <t>teeth extraction and dentures same day gadsden al; immediate dentures near me; full mouth extraction and dentures same day; full mouth extraction cost; immediate dentures cost; what to expect with immediate dentures</t>
  </si>
  <si>
    <t>What is an immediate denture?; Can I get dentures the same day my teeth are pulled?; How long does healing take?</t>
  </si>
  <si>
    <t>Extractions; immediate dentures; gum healing; reline; surgical extraction</t>
  </si>
  <si>
    <t>Immediate Dentures &amp; Extractions</t>
  </si>
  <si>
    <t>Denture Repair, Reline &amp; Adjustments</t>
  </si>
  <si>
    <t>denture repair gadsden al</t>
  </si>
  <si>
    <t>denture reline gadsden al; denture adjustment gadsden al; free denture adjustments gadsden al; same day denture repair near me; denture repair near me; denture reline cost</t>
  </si>
  <si>
    <t>Are denture adjustments free?; How do I fix loose or broken dentures?; How much does a reline cost?</t>
  </si>
  <si>
    <t>Reline; rebase; repair; adjustment; on-site lab</t>
  </si>
  <si>
    <t>Denture Repair, Reline &amp; Free Adjustments</t>
  </si>
  <si>
    <t>Denture Education &amp; Comparisons</t>
  </si>
  <si>
    <t>how long do dentures last</t>
  </si>
  <si>
    <t>dentures vs implants; do i need dentures; how long does it take to get used to dentures; foods to eat with new dentures; how to clean dentures</t>
  </si>
  <si>
    <t>How long do dentures last?; How do I clean dentures?; Dentures or implants?</t>
  </si>
  <si>
    <t>Denture adhesive; denture cleaner; implants; bone loss; sore spots</t>
  </si>
  <si>
    <t>Informational</t>
  </si>
  <si>
    <t>TOFU</t>
  </si>
  <si>
    <t>Supporting blog posts under /blog/ (linked to parent service pages)</t>
  </si>
  <si>
    <t>Blog Cluster</t>
  </si>
  <si>
    <t>High-intent local conversion keyword</t>
  </si>
  <si>
    <t>gadsden dentist</t>
  </si>
  <si>
    <t>Dental Crowns</t>
  </si>
  <si>
    <t>dental crowns gadsden al</t>
  </si>
  <si>
    <t>dental crown cost gadsden al; crown dentist gadsden al; restorative dentistry gadsden al; dental crown near me; crown vs filling; how much does a dental crown cost</t>
  </si>
  <si>
    <t>How much is a dental crown?; What if my crown falls off?; Porcelain vs. zirconia crowns?</t>
  </si>
  <si>
    <t>Porcelain; zirconia; metal; tooth preparation; impression; temporary crown</t>
  </si>
  <si>
    <t>Dental Crowns Gadsden AL</t>
  </si>
  <si>
    <t>Dental Bridges</t>
  </si>
  <si>
    <t>dental bridge gadsden al</t>
  </si>
  <si>
    <t>replace missing tooth gadsden al; dental bridges near me; dental bridge vs implant; dental bridge cost; how much does a dental bridge cost; bridge vs partial denture</t>
  </si>
  <si>
    <t>Bridge vs. implant vs. partial denture?; How long do bridges last?; How much does a bridge cost?</t>
  </si>
  <si>
    <t>Pontic; abutment teeth; missing tooth; fixed bridge</t>
  </si>
  <si>
    <t>Dental Bridges Gadsden AL</t>
  </si>
  <si>
    <t>dentists in gadsden al</t>
  </si>
  <si>
    <t>Root Canal Treatment</t>
  </si>
  <si>
    <t>root canal gadsden al</t>
  </si>
  <si>
    <t>root canal cost gadsden al; root canal dentist gadsden al; root canal near me; root canal vs extraction; root canal cost; root canal symptoms</t>
  </si>
  <si>
    <t>Is a root canal painful?; Root canal vs. extraction?; How long does a root canal take?</t>
  </si>
  <si>
    <t>Pulp; infection; abscess; endodontic treatment; crown after root canal</t>
  </si>
  <si>
    <t>Root Canal Treatment Gadsden AL</t>
  </si>
  <si>
    <t>Local research query - support with reviews and transparent pricing</t>
  </si>
  <si>
    <t>best dentist in gadsden al</t>
  </si>
  <si>
    <t>Fillings &amp; Cavities</t>
  </si>
  <si>
    <t>dental fillings gadsden al</t>
  </si>
  <si>
    <t>cavity filling gadsden al; cavity filling near me; tooth colored fillings vs silver; tooth filling cost; signs of a cavity</t>
  </si>
  <si>
    <t>How do I know if I have a cavity?; Tooth-colored vs. silver fillings?; What causes tooth decay?</t>
  </si>
  <si>
    <t>Composite; amalgam; decay; cavity; enamel</t>
  </si>
  <si>
    <t>Dental Fillings Gadsden AL</t>
  </si>
  <si>
    <t>Tooth Extractions &amp; Dental Surgery</t>
  </si>
  <si>
    <t>tooth extraction gadsden al</t>
  </si>
  <si>
    <t>oral surgery gadsden al; tooth pulled gadsden al; tooth extraction cost gadsden al; surgical tooth extraction gadsden al; dental surgery gadsden al; tooth extraction near me</t>
  </si>
  <si>
    <t>How much does a tooth extraction cost?; What should I eat after an extraction?; What is dry socket?</t>
  </si>
  <si>
    <t>Simple vs. surgical extraction; socket; gauze; sutures; dental surgery</t>
  </si>
  <si>
    <t>Tooth Extractions &amp; Dental Surgery (Hub)</t>
  </si>
  <si>
    <t>Support with reviews, provider bio and schema</t>
  </si>
  <si>
    <t>top rated dentist gadsden al</t>
  </si>
  <si>
    <t>SEO KEYWORD RESEARCH &amp; STRATEGY WORKBOOK</t>
  </si>
  <si>
    <t>Wisdom Teeth Removal</t>
  </si>
  <si>
    <t>wisdom teeth removal gadsden al</t>
  </si>
  <si>
    <t>wisdom teeth removal near me; wisdom tooth extraction cost; do wisdom teeth need to be removed; wisdom teeth removal recovery</t>
  </si>
  <si>
    <t>When should wisdom teeth come out?; What is the recovery time?; Are wisdom teeth always removed?</t>
  </si>
  <si>
    <t>Third molars; impaction; sedation; recovery</t>
  </si>
  <si>
    <t>Wisdom Teeth Removal Gadsden AL</t>
  </si>
  <si>
    <t>Southern Smiles Dental Center | Gadsden, AL, USA</t>
  </si>
  <si>
    <t>Emergency &amp; Walk-In Dentist</t>
  </si>
  <si>
    <t>emergency dentist gadsden al</t>
  </si>
  <si>
    <t>Prepared By: Md. Abdul Alim  |  Local SEO &amp; AI Search Optimization Consultant</t>
  </si>
  <si>
    <t>same day dentist appointment gadsden al; walk in dentist gadsden al; toothache dentist gadsden al; emergency dentist near me; broken tooth repair; toothache relief</t>
  </si>
  <si>
    <t>Is there an emergency dentist in Gadsden?; What should I do for a severe toothache?; Can I walk in without an appointment?</t>
  </si>
  <si>
    <t>Abscess; broken tooth; swelling; urgent care; office hours</t>
  </si>
  <si>
    <t>Emergency Dentist Gadsden AL</t>
  </si>
  <si>
    <t>dental office gadsden al</t>
  </si>
  <si>
    <t>Competitor</t>
  </si>
  <si>
    <t>URL</t>
  </si>
  <si>
    <t>Ranking Topics</t>
  </si>
  <si>
    <t>Strong Pages</t>
  </si>
  <si>
    <t>Clear Aligners &amp; Clear Braces</t>
  </si>
  <si>
    <t>Weakness</t>
  </si>
  <si>
    <t>clear aligners gadsden al</t>
  </si>
  <si>
    <t>Content Gap</t>
  </si>
  <si>
    <t>six month smiles gadsden al; clear braces gadsden al; invisible braces gadsden al; braces gadsden al; orthodontist gadsden al; invisalign gadsden al</t>
  </si>
  <si>
    <t>How much do clear aligners cost?; Aligners vs. braces?; What is Six Month Smiles?</t>
  </si>
  <si>
    <t>Opportunity</t>
  </si>
  <si>
    <t>Six Month Smiles; clear aligners; clear braces; retainers; alignment</t>
  </si>
  <si>
    <t>Clear Aligners &amp; Clear Braces Gadsden AL (Hub)</t>
  </si>
  <si>
    <t>Gadsden Dental - K. Clay Ellis Jr., DMD</t>
  </si>
  <si>
    <t>https://gadsdenaldentist.com/</t>
  </si>
  <si>
    <t>KEYWORD RESEARCH DASHBOARD</t>
  </si>
  <si>
    <t>General &amp; preventive dentistry; pediatric; fillings; crowns &amp; bridges; root canals; extractions/oral surgery; implants; bite guards; Botox; insurance acceptance</t>
  </si>
  <si>
    <t>Single long page with three dentist bios (UAB/Auburn credentials, community free-clinic service) and a 16-plan insurance list - strong trust and insurance signals.</t>
  </si>
  <si>
    <t>Single-URL site on a dated theme; no separate service or location pages; no pricing; no blog/FAQ; Facebook link points to a different practice name.</t>
  </si>
  <si>
    <t>No denture, same-day denture, denture repair, cost/pricing or clear-aligner content; no location or FAQ pages.</t>
  </si>
  <si>
    <t>Out-rank with dedicated service pages for dentures, crowns, root canals and extractions; copy the trust pattern (provider credentials + insurance list) and add transparent pricing.</t>
  </si>
  <si>
    <t xml:space="preserve">Gadsden Family Dentistry </t>
  </si>
  <si>
    <t>https://www.gadsdenfamilydentist.com/</t>
  </si>
  <si>
    <t>Family dentist Gadsden; teeth cleaning; dental implants; crowns; tooth extractions; emergency dental; cosmetic dentist; dentures (meta keywords). The parent Alabama Family Dentistry site has dedicated immediate-denture pages that mention Gadsden.</t>
  </si>
  <si>
    <t>Visible 5-star patient reviews on page, click-to-call, hours table; parent-brand denture pages give authority.</t>
  </si>
  <si>
    <t>Gadsden site is a one-page template with thin copy; no pricing; no location pages; limited unique local content.</t>
  </si>
  <si>
    <t>No same-day denture detail for Gadsden, no cost guides, no insurance page, no FAQs, no town pages.</t>
  </si>
  <si>
    <t>Create richer Gadsden-specific denture, extraction and emergency content; use local proof (on-site lab, free adjustments) that a network site cannot match.</t>
  </si>
  <si>
    <t>TOTAL KEYWORDS RESEARCHED</t>
  </si>
  <si>
    <t xml:space="preserve">Legacy Dental Alabama </t>
  </si>
  <si>
    <t>https://legacydentalalabama.com/</t>
  </si>
  <si>
    <t>General dentistry and orthodontic treatment for adolescents to seniors; new-patient forms</t>
  </si>
  <si>
    <t>Clear structure (About, Services, New Patients, Contact); mentions orthodontics.</t>
  </si>
  <si>
    <t>Homepage still displays an outdated COVID-19 limited-hours notice (through April 9th) - signals neglected content; thin copy; no pricing.</t>
  </si>
  <si>
    <t>No denture/same-day content, no cost or insurance pages, no blog/FAQ, no local-town pages visible.</t>
  </si>
  <si>
    <t>dental clinic gadsden al</t>
  </si>
  <si>
    <t>Very low content freshness - an easy competitor to out-rank with updated, specific local pages. Confirm its location relevance in a live SERP check.</t>
  </si>
  <si>
    <t xml:space="preserve">southernsmilesdentalcenter.com </t>
  </si>
  <si>
    <t>http://southernsmilesdentalcenter.com/</t>
  </si>
  <si>
    <t>Brand name; price sheet: crowns, root canals from, extractions, surgical extractions, routine cleaning incl. X-ray &amp; exam, Six Month Smiles clear braces/aligners, same-day dentures (standard/deluxe/custom), partials, no-charge adjustments, insurance filing</t>
  </si>
  <si>
    <t>KEYWORD CLUSTERS</t>
  </si>
  <si>
    <t>Teeth Cleaning &amp; Preventive Care</t>
  </si>
  <si>
    <t>Transparent price list and insurance carriers (Humana, Delta Dental, Cigna, BCBS) - the kind of BOFU content the main site lacks.</t>
  </si>
  <si>
    <t>teeth cleaning gadsden al</t>
  </si>
  <si>
    <t>Same address and phone as the client (duplicate NAP); one page built with a site-builder tool; splits brand authority between two domains.</t>
  </si>
  <si>
    <t>dental cleaning gadsden al; dental cleaning near me; deep cleaning teeth cost; teeth cleaning cost; dental cleaning without insurance; how often should you get your teeth cleaned</t>
  </si>
  <si>
    <t>Not a competitor - overlaps the client entirely.</t>
  </si>
  <si>
    <t>How often should I get a cleaning?; How much is a cleaning without insurance?; What happens during a cleaning?</t>
  </si>
  <si>
    <t>301-redirect to southernsmilesgadsden.com after migrating verified pricing/insurance content into new pages (confirm current prices first).</t>
  </si>
  <si>
    <t>Prophylaxis; plaque; tartar; deep cleaning; scaling</t>
  </si>
  <si>
    <t>EST. MONTHLY SEARCH VOLUME</t>
  </si>
  <si>
    <t xml:space="preserve">Aspen Dental - Gadsden </t>
  </si>
  <si>
    <t>https://www.aspendental.com/dentist/al/gadsden/508-e-meighan-blvd-ste-b2/</t>
  </si>
  <si>
    <t>Teeth Cleaning Gadsden AL</t>
  </si>
  <si>
    <t>Dentures (full, partial, implant dentures), same-day denture starts, denture repair/reline, immediate dentures, general dentistry, periodontal care, walk-ins and same-day appointments</t>
  </si>
  <si>
    <t>LOCAL / REGIONAL / NATIONAL</t>
  </si>
  <si>
    <t>Dedicated location + service URLs (dentures, implant dentures, etc.); FAQ blocks; ~1,100 listed reviews (per search snippet); extended availability.</t>
  </si>
  <si>
    <t>Corporate template with little local or provider-specific storytelling; walk-in language is conditional; cost details appear generic.</t>
  </si>
  <si>
    <t>No Gadsden-specific price transparency or on-site-lab/free-adjustment story visible in reviewed pages; limited small-town (Rainbow City, Attalla, etc.) coverage.</t>
  </si>
  <si>
    <t>Compete on local trust, price transparency and speed: same-day dentures made on-site, free adjustments, town pages, reviews and FAQ answers.</t>
  </si>
  <si>
    <t>Coosa Family Dentistry &amp; Same Day Dentures</t>
  </si>
  <si>
    <t>https://coosadentistry.com/</t>
  </si>
  <si>
    <t>General dentistry and same-day dentures in Gadsden (104 Cherry St) - direct overlap with the client's core money keywords</t>
  </si>
  <si>
    <t>Brand name includes 'Same Day Dentures'; directory listings show financing and a 4.5 rating (8 reviews, third-party data).</t>
  </si>
  <si>
    <t>Few reviews per directory data; very limited published hours per directory listings; site not audited directly.</t>
  </si>
  <si>
    <t>Likely light on denture education, cost guides, FAQs and town pages (to be verified).</t>
  </si>
  <si>
    <t>Build the strongest same-day denture page and supporting guide cluster in Gadsden; accumulate reviews faster; use pricing + free adjustments as proof points.</t>
  </si>
  <si>
    <t>Dental Exams &amp; X-Rays</t>
  </si>
  <si>
    <t>dental exam and x-rays gadsden al</t>
  </si>
  <si>
    <t>dental checkup gadsden al; new patient dental exam cost; full mouth x-ray cost; what to expect at first dentist visit; are dental x-rays safe; dental x-rays how often</t>
  </si>
  <si>
    <t>Are dental x-rays safe?; What happens at a new patient exam?; How often do I need x-rays?</t>
  </si>
  <si>
    <t>Bitewing; panoramic; digital x-ray; oral exam</t>
  </si>
  <si>
    <t>Dental Exams &amp; X-Rays Gadsden AL</t>
  </si>
  <si>
    <t>general dentist gadsden al</t>
  </si>
  <si>
    <t>Family Dentistry</t>
  </si>
  <si>
    <t>family dentist gadsden al</t>
  </si>
  <si>
    <t>family dentistry gadsden al; affordable family dentist gadsden al; kids dentist gadsden al; family dentist near me</t>
  </si>
  <si>
    <t>Do you see both kids and adults?; Is there a family dentist near me?; Can the whole family be seen at one office?</t>
  </si>
  <si>
    <t>Pediatric; adult; family care; preventive care</t>
  </si>
  <si>
    <t>Family Dentist Gadsden AL (Hub)</t>
  </si>
  <si>
    <t>Insurance &amp; Payment</t>
  </si>
  <si>
    <t>dentist that accepts insurance gadsden al</t>
  </si>
  <si>
    <t>blue cross blue shield dentist gadsden al; dentist that takes medicare gadsden al; humana dental dentist gadsden al; cigna dental dentist gadsden al; delta dental dentist gadsden al; medicaid dentist gadsden al</t>
  </si>
  <si>
    <t>Which dental insurance do you accept?; Does insurance cover dentures?; Can I be seen without insurance?</t>
  </si>
  <si>
    <t>Delta Dental; Humana; Cigna; Blue Cross Blue Shield; Medicaid; Medicare; claims filing</t>
  </si>
  <si>
    <t>Dental Insurance Accepted Gadsden AL</t>
  </si>
  <si>
    <t>dentist near me gadsden al</t>
  </si>
  <si>
    <t>Service Areas - Location Pages</t>
  </si>
  <si>
    <t>dentist rainbow city al</t>
  </si>
  <si>
    <t>dentist boaz al; dentist oxford al; dentist hokes bluff al; dentist glencoe al; dentist ohatchee al; dentures oxford al</t>
  </si>
  <si>
    <t>Is there a dentist near Rainbow City?; How far is the office from Attalla?; Do you serve Calhoun and St. Clair County?</t>
  </si>
  <si>
    <t>Rainbow City; Southside; Attalla; Hokes Bluff; Glencoe; Ohatchee; Boaz; Ashville; Oxford; Centre; Springville</t>
  </si>
  <si>
    <t>/service-areas/ hub + 11 town pages</t>
  </si>
  <si>
    <t>Location Hub + Pages</t>
  </si>
  <si>
    <t>Brand &amp; Navigational</t>
  </si>
  <si>
    <t>southern smiles dental center</t>
  </si>
  <si>
    <t>southern smiles dental gadsden al; southern smiles dentist gadsden; southern smiles dental center gadsden al reviews; southern smiles dental center phone number; southern smiles dental center hours; southern smiles dental center prices</t>
  </si>
  <si>
    <t>What are Southern Smiles' hours?; Where is Southern Smiles located?; What is the phone number?</t>
  </si>
  <si>
    <t>315 N 3rd St; (256) 459-5309; Rural King shopping center; Gadsden AL</t>
  </si>
  <si>
    <t>Navigational</t>
  </si>
  <si>
    <t>/ , /contact/ , /reviews/ , /dr-morrison/</t>
  </si>
  <si>
    <t>Core / Trust Pages</t>
  </si>
  <si>
    <t>keywords in master database</t>
  </si>
  <si>
    <t>Pair with Google Business Profile optimization</t>
  </si>
  <si>
    <t>dentist accepting new patients gadsden al</t>
  </si>
  <si>
    <t>grouped by intent &amp; SERP</t>
  </si>
  <si>
    <t>Competitor Brand (Monitor Only)</t>
  </si>
  <si>
    <t>aspen dental gadsden al</t>
  </si>
  <si>
    <t>alabama family dentistry gadsden; gadsden family dentistry; legacy dental alabama; coosa family dentistry gadsden al; clay ellis dds gadsden al</t>
  </si>
  <si>
    <t>n/a - monitor competitor brand SERPs only</t>
  </si>
  <si>
    <t>Aspen Dental; Alabama Family Dentistry; Gadsden Family Dentistry; Coosa Family Dentistry; Legacy Dental; Clay Ellis DMD</t>
  </si>
  <si>
    <t>No dedicated page (monitor only)</t>
  </si>
  <si>
    <t>N/A</t>
  </si>
  <si>
    <t>keyword counts by geo scope</t>
  </si>
  <si>
    <t>AI Search - Conversational Queries</t>
  </si>
  <si>
    <t>best affordable dentist in gadsden alabama</t>
  </si>
  <si>
    <t>who makes same day dentures near gadsden al; which dentist near me can pull teeth and fit dentures same day; is there a dentist in gadsden that makes dentures on site; dentist in gadsden al that takes insurance and offers dentures; where can i get dentures in one day in alabama; how much do same day dentures cost in alabama</t>
  </si>
  <si>
    <t>AVERAGE KEYWORD DIFFICULTY</t>
  </si>
  <si>
    <t>Where can I get dentures in one day in Alabama?; Which Gadsden dentist makes dentures on site?; Who accepts insurance and offers dentures?</t>
  </si>
  <si>
    <t>CRITICAL + HIGH PRIORITY</t>
  </si>
  <si>
    <t>/new-patients/</t>
  </si>
  <si>
    <t>AI Overviews; ChatGPT; Perplexity; FAQ schema; entity consistency; NAP</t>
  </si>
  <si>
    <t>Create</t>
  </si>
  <si>
    <t>PAGES MAPPED</t>
  </si>
  <si>
    <t>/faq/ + answer blocks on service pages (FAQPage schema)</t>
  </si>
  <si>
    <t>FAQ / AI Answer Layer</t>
  </si>
  <si>
    <t>new patient dentist gadsden al</t>
  </si>
  <si>
    <t>NEW PAGES RECOMMENDED</t>
  </si>
  <si>
    <t>Dental Health Education (TOFU)</t>
  </si>
  <si>
    <t>how often should you go to the dentist</t>
  </si>
  <si>
    <t>how to prepare for a tooth extraction; how to sleep with new dentures; what causes tooth decay</t>
  </si>
  <si>
    <t>How often should I go to the dentist?; What causes tooth decay?; How do I prepare for an extraction?</t>
  </si>
  <si>
    <t>Tooth decay; plaque; extraction; recovery</t>
  </si>
  <si>
    <t>dentist open today gadsden al</t>
  </si>
  <si>
    <t>Page Name</t>
  </si>
  <si>
    <t>estimated KD, 0-100</t>
  </si>
  <si>
    <t>Existing/New</t>
  </si>
  <si>
    <t>keywords to target first</t>
  </si>
  <si>
    <t>Action</t>
  </si>
  <si>
    <t>Cannibalization Risk</t>
  </si>
  <si>
    <t>URLs with a primary keyword</t>
  </si>
  <si>
    <t>Est. Page Volume</t>
  </si>
  <si>
    <t>/contact/</t>
  </si>
  <si>
    <t>Clinic is open Mon-Wed only - state hours clearly</t>
  </si>
  <si>
    <t>net-new URLs to create</t>
  </si>
  <si>
    <t>dentist etowah county al</t>
  </si>
  <si>
    <t>gadsden dentist; dental office gadsden al; dentist in gadsden alabama; general dentist gadsden al; dental clinic gadsden al</t>
  </si>
  <si>
    <t>INTERNAL LINKS PLANNED</t>
  </si>
  <si>
    <t>CONTENT OPPORTUNITIES</t>
  </si>
  <si>
    <t>AVG. SEO PRIORITY SCORE</t>
  </si>
  <si>
    <t>QUICK WINS IDENTIFIED</t>
  </si>
  <si>
    <t>/service-areas/</t>
  </si>
  <si>
    <t>dentist near me</t>
  </si>
  <si>
    <t>Existing</t>
  </si>
  <si>
    <t>Aspen Dental; Healthline; Delta Dental; Colgate</t>
  </si>
  <si>
    <t>Medium - homepage currently mixes same-day dentures + affordable dentist; move depth to dedicated pages and keep homepage on 'dentist gadsden al'</t>
  </si>
  <si>
    <t>contextual + structural links</t>
  </si>
  <si>
    <t>roadmap items (6 months)</t>
  </si>
  <si>
    <t>weighted score, 0-100</t>
  </si>
  <si>
    <t>actions for first 30-60 days</t>
  </si>
  <si>
    <t>Contact / Book Appointment</t>
  </si>
  <si>
    <t>southern smiles dental center phone number</t>
  </si>
  <si>
    <t>High national volume, low local conversion - capture via GBP and local pages</t>
  </si>
  <si>
    <t>dentist open today gadsden al; southern smiles dental center hours; 315 n 3rd st gadsden al dentist</t>
  </si>
  <si>
    <t>National</t>
  </si>
  <si>
    <t>Affordable Dentistry</t>
  </si>
  <si>
    <t>DISTRIBUTION SUMMARY</t>
  </si>
  <si>
    <t>Keywords</t>
  </si>
  <si>
    <t>Share</t>
  </si>
  <si>
    <t>Remarks</t>
  </si>
  <si>
    <t>/affordable-dentist-gadsden-al/</t>
  </si>
  <si>
    <t>Mirrors homepage H3 'Affordable Dentist Near Gadsden'</t>
  </si>
  <si>
    <t>cheap dentist gadsden al</t>
  </si>
  <si>
    <t>/dentures-gadsden-al/</t>
  </si>
  <si>
    <t>dentures near me gadsden al; denture dentist gadsden al; denture clinic gadsden al; full dentures gadsden al; custom dentures gadsden al</t>
  </si>
  <si>
    <t>New</t>
  </si>
  <si>
    <t>Medium - hub vs. same-day page; hub = overview + links, same-day page = process, pricing teaser</t>
  </si>
  <si>
    <t>low cost dental care gadsden al</t>
  </si>
  <si>
    <t>/same-day-dentures-gadsden-al/</t>
  </si>
  <si>
    <t>dentures in one day gadsden al; same day dentures alabama; one day dentures alabama; who makes same day dentures near gadsden al; where can i get dentures in one day in alabama</t>
  </si>
  <si>
    <t>Medium - overlaps /dentures-gadsden-al/ and /immediate-dentures-gadsden-al/; keep hub generic, this page process/benefits</t>
  </si>
  <si>
    <t>dentist no insurance gadsden al</t>
  </si>
  <si>
    <t>/denture-cost-gadsden-al/</t>
  </si>
  <si>
    <t>same day dentures cost alabama; cheap dentures gadsden al; affordable dentures gadsden al; how much do same day dentures cost in alabama; cheapest place to get dentures near me</t>
  </si>
  <si>
    <t>dental prices gadsden al</t>
  </si>
  <si>
    <t>Medium - overlaps /dental-prices-gadsden-al/; denture page = denture price tiers only</t>
  </si>
  <si>
    <t>/partial-dentures-gadsden-al/</t>
  </si>
  <si>
    <t>partials dentist gadsden al; partial dentures near me; cast metal partial denture; partial denture cost; flexible partial dentures</t>
  </si>
  <si>
    <t>Main Topic</t>
  </si>
  <si>
    <t>Sub Topics</t>
  </si>
  <si>
    <t>Supporting Content</t>
  </si>
  <si>
    <t>Commercial Connection</t>
  </si>
  <si>
    <t>Dentures &amp; Same-Day Dentures</t>
  </si>
  <si>
    <t>/dental-prices-gadsden-al/</t>
  </si>
  <si>
    <t>Publish verified fee schedule (confirm current prices with client)</t>
  </si>
  <si>
    <t>Full dentures; same-day dentures; immediate dentures; partial dentures; denture repair, reline &amp; free adjustments; denture cost; denture care; dentures vs. implants</t>
  </si>
  <si>
    <t>affordable dental care alabama</t>
  </si>
  <si>
    <t>How Do Same-Day Dentures Work? The Step-by-Step Process; Same-Day Dentures vs. Traditional Dentures: Which Is Right for You?; How Much Do Dentures Cost in Alabama? A Price Guide; How Long Does It Take to Get Used to New Dentures?; How to Clean Dentures the Right Way; How Long Do Dentures Last?; Dentures vs. Dental Implants: Cost, Comfort &amp; Longevity; Full Mouth Extraction &amp; Immediate Dentures: What to Expect; Partial vs. Full Dentures: How to Choose; Types of Partial Dentures: Cast Metal, Flexible &amp; Acrylic; How to Choose a Dentist for Dentures: 10 Questions to Ask; Signs You May Need Dentures</t>
  </si>
  <si>
    <t>On-site denture lab; impressions; acrylic; cast metal &amp; flexible partials; extractions; gum healing; reline; adhesive</t>
  </si>
  <si>
    <t>/dentures-gadsden-al/ and /same-day-dentures-gadsden-al/ -&gt; Book a denture consultation; /denture-cost-gadsden-al/ -&gt; price-transparency conversions</t>
  </si>
  <si>
    <t>Restorative Dentistry</t>
  </si>
  <si>
    <t>Crowns; bridges; root canals; fillings; missing-tooth replacement options</t>
  </si>
  <si>
    <t>Dental Crown Types &amp; Costs: Porcelain, Zirconia &amp; Metal; My Crown Fell Off - What Should I Do?; Dental Bridge vs. Implant vs. Partial Denture; Is a Root Canal Painful? Symptoms, Procedure &amp; Recovery; Root Canal vs. Extraction: Which Should You Choose?; Signs of a Cavity &amp; How Fillings Fix Them</t>
  </si>
  <si>
    <t>Porcelain; zirconia; pulp; abscess; pontic; abutment teeth; composite fillings</t>
  </si>
  <si>
    <t>/restorative-dentistry-gadsden-al/ hub -&gt; crown, bridge, root canal and filling service pages -&gt; Contact</t>
  </si>
  <si>
    <t>Extractions, Oral Surgery &amp; Urgent Care</t>
  </si>
  <si>
    <t>Tooth extractions; surgical extractions; wisdom teeth; dry socket; toothache and emergencies</t>
  </si>
  <si>
    <t>Tooth Extraction Aftercare: What to Eat &amp; What to Avoid; Dry Socket: Symptoms, Prevention &amp; When to Call; Wisdom Teeth Removal Recovery Timeline; Toothache Relief: When to See a Dentist Right Away</t>
  </si>
  <si>
    <t>Simple vs. surgical extraction; socket; swelling; infection; recovery</t>
  </si>
  <si>
    <t>/tooth-extractions-gadsden-al/ and /emergency-dentist-gadsden-al/ -&gt; Call now / book (set expectation on Mon-Wed hours)</t>
  </si>
  <si>
    <t>Clear aligners; clear braces; Six Month Smiles; adult braces alternatives; aligners vs. braces</t>
  </si>
  <si>
    <t>Clear Aligners vs. Braces: Cost, Time &amp; Results</t>
  </si>
  <si>
    <t>Six Month Smiles; clear aligners; retainers; alignment; treatment time</t>
  </si>
  <si>
    <t>/clear-aligners-braces-gadsden-al/ and /six-month-smiles-gadsden-al/ -&gt; Free consultation</t>
  </si>
  <si>
    <t>Preventive &amp; Family Dentistry</t>
  </si>
  <si>
    <t>Routine cleaning; exams and X-rays; family dentistry; new-patient visits</t>
  </si>
  <si>
    <t>How Often Should You Get Your Teeth Cleaned?; Are Dental X-Rays Safe? How Often Do You Need Them?; What to Expect at Your First Dentist Visit</t>
  </si>
  <si>
    <t>Prophylaxis; plaque; tartar; digital X-ray; oral exam</t>
  </si>
  <si>
    <t>/family-dentist-gadsden-al/ hub -&gt; cleaning + exam pages -&gt; New Patients -&gt; Contact</t>
  </si>
  <si>
    <t>Affordable Dentistry, Pricing &amp; Insurance</t>
  </si>
  <si>
    <t>Affordable dentist; dental prices; no-insurance care; insurance accepted; what insurance covers</t>
  </si>
  <si>
    <t>Dental Care Without Insurance: Affordable Options in Gadsden; Does Dental Insurance Cover Dentures &amp; Crowns?</t>
  </si>
  <si>
    <t>Self-pay; fee schedule; Delta Dental; Humana; Cigna; BCBS; claims filing</t>
  </si>
  <si>
    <t>/affordable-dentist-gadsden-al/ -&gt; /dental-prices-gadsden-al/ and /dental-insurance-accepted-gadsden-al/ -&gt; Contact</t>
  </si>
  <si>
    <t>Local Entity &amp; Service Areas</t>
  </si>
  <si>
    <t>Gadsden; Etowah County; Rainbow City; Southside; Attalla; Hokes Bluff; Glencoe; Ohatchee; Boaz; Ashville; Oxford; Centre; Springville</t>
  </si>
  <si>
    <t>11 unique town pages (drive time, landmarks, services most requested by that community) + /service-areas/ hub</t>
  </si>
  <si>
    <t>/immediate-dentures-gadsden-al/</t>
  </si>
  <si>
    <t>Etowah / St. Clair / Calhoun Counties; 315 N 3rd St; Rural King shopping center; GBP; local citations</t>
  </si>
  <si>
    <t>Town pages -&gt; /same-day-dentures-gadsden-al/ and /contact/ (local lead capture)</t>
  </si>
  <si>
    <t>Trust &amp; E-E-A-T</t>
  </si>
  <si>
    <t>teeth extraction and dentures same day gadsden al; which dentist near me can pull teeth and fit dentures same day; immediate dentures near me; immediate dentures cost</t>
  </si>
  <si>
    <t>Provider credentials; patient reviews; on-site lab story; new-patient process; hours and policies</t>
  </si>
  <si>
    <t>Meet Dr. Morrison (full name, credentials, photo); verified patient reviews page; About page with on-site denture lab story</t>
  </si>
  <si>
    <t>Dr. Morrison; Southern Smiles Dental Center; reviews; credentials; BBB/A+ proof (verify)</t>
  </si>
  <si>
    <t>All money pages link to /dr-morrison/, /reviews/ and /contact/</t>
  </si>
  <si>
    <t>AI Search / Answer Layer (GEO)</t>
  </si>
  <si>
    <t>Conversational queries; FAQ answers; fact-rich summaries about same-day dentures, pricing, insurance, hours</t>
  </si>
  <si>
    <t>/faq/ with FAQPage schema; 40-60 word answer blocks at the top of every service page; consistent NAP and entity data</t>
  </si>
  <si>
    <t>AI Overviews; ChatGPT; Perplexity; FAQPage / Dentist / LocalBusiness schema; entity consistency</t>
  </si>
  <si>
    <t>FAQ and answer blocks -&gt; service pages -&gt; Contact (brand citations drive calls and direction requests)</t>
  </si>
  <si>
    <t>Cost/comparison research - answer with Gadsden-specific pricing context</t>
  </si>
  <si>
    <t>Regional</t>
  </si>
  <si>
    <t>affordable dentist near me</t>
  </si>
  <si>
    <t>Medium - differentiate by extraction + denture-same-day scenario</t>
  </si>
  <si>
    <t>/denture-repair-adjustments-gadsden-al/</t>
  </si>
  <si>
    <t>denture reline gadsden al; denture adjustment gadsden al; free denture adjustments gadsden al; same day denture repair near me; denture repair near me</t>
  </si>
  <si>
    <t>dentist without insurance near me</t>
  </si>
  <si>
    <t>/restorative-dentistry-gadsden-al/</t>
  </si>
  <si>
    <t>Restorative Dentistry Gadsden AL (Hub)</t>
  </si>
  <si>
    <t>restorative dentistry gadsden al</t>
  </si>
  <si>
    <t>-</t>
  </si>
  <si>
    <t>cheap dental work near me</t>
  </si>
  <si>
    <t>VISUAL DASHBOARD</t>
  </si>
  <si>
    <t>/dental-crowns-gadsden-al/</t>
  </si>
  <si>
    <t>dental crown cost gadsden al; crown dentist gadsden al; dental crown near me</t>
  </si>
  <si>
    <t>dental care without insurance</t>
  </si>
  <si>
    <t>Healthline; WebMD; Cleveland Clinic; Colgate</t>
  </si>
  <si>
    <t>WORKBOOK CONTENTS</t>
  </si>
  <si>
    <t>Sheet Name</t>
  </si>
  <si>
    <t>Purpose</t>
  </si>
  <si>
    <t>/blog/dental-care-without-insurance/</t>
  </si>
  <si>
    <t>Educational query - supporting content for topical authority and AI citations</t>
  </si>
  <si>
    <t>how to afford dental work without insurance</t>
  </si>
  <si>
    <t>Problem-Based</t>
  </si>
  <si>
    <t>/dental-bridges-gadsden-al/</t>
  </si>
  <si>
    <t>Business Analysis</t>
  </si>
  <si>
    <t>replace missing tooth gadsden al; dental bridges near me; dental bridge cost; how much does a dental bridge cost; how long do dental bridges last</t>
  </si>
  <si>
    <t>Dentures</t>
  </si>
  <si>
    <t>/root-canal-treatment-gadsden-al/</t>
  </si>
  <si>
    <t>root canal cost gadsden al; root canal dentist gadsden al; root canal near me; root canal cost</t>
  </si>
  <si>
    <t>Aspen Dental; Coosa Family Dentistry; Alabama Family Dentistry</t>
  </si>
  <si>
    <t>Business information, website analysis and SEO goals</t>
  </si>
  <si>
    <t>Keyword Master Database</t>
  </si>
  <si>
    <t>Complete keyword research database with metrics and strategy</t>
  </si>
  <si>
    <t>Keyword Clusters</t>
  </si>
  <si>
    <t>Silo</t>
  </si>
  <si>
    <t>denture clinic gadsden al</t>
  </si>
  <si>
    <t>Parent Page</t>
  </si>
  <si>
    <t>Child Pages</t>
  </si>
  <si>
    <t>Keyword grouping and semantic organization</t>
  </si>
  <si>
    <t>/dental-fillings-gadsden-al/</t>
  </si>
  <si>
    <t>Internal Linking Flow</t>
  </si>
  <si>
    <t>cavity filling gadsden al; cavity filling near me; tooth filling cost</t>
  </si>
  <si>
    <t>Core / Homepage</t>
  </si>
  <si>
    <t>/  (Homepage)</t>
  </si>
  <si>
    <t>/contact/; all silo hubs</t>
  </si>
  <si>
    <t>Pass authority to silo hubs and the highest-value money pages; focus on 'dentist gadsden al'</t>
  </si>
  <si>
    <t>Homepage links to each hub + same-day dentures + contact; every page links back via header/footer/breadcrumb</t>
  </si>
  <si>
    <t>Competitor Analysis</t>
  </si>
  <si>
    <t>/dentures-gadsden-al/  (Dentures Gadsden AL</t>
  </si>
  <si>
    <t>/same-day-dentures-gadsden-al/; /denture-cost-gadsden-al/; /partial-dentures-gadsden-al/; /immediate-dentures-gadsden-al/; /denture-repair-adjustments-gadsden-al/  |  Blogs: /blog/how-do-same-day-dentures-work/; /blog/same-day-dentures-vs-traditional-dentures/; /blog/how-much-do-dentures-cost-alabama/; /blog/how-to-get-used-to-new-dentures/; /blog/how-to-clean-dentures/; /blog/how-long-do-dentures-last/; /blog/dentures-vs-dental-implants/; /blog/full-mouth-extraction-and-immediate-dentures/; /blog/partial-vs-full-dentures/; /blog/types-of-partial-dentures/; /blog/how-to-choose-a-denture-dentist/; /blog/signs-you-may-need-dentures/</t>
  </si>
  <si>
    <t>Win the highest-value query set: same-day dentures, partials, repair and price in Gadsden/Alabama</t>
  </si>
  <si>
    <t>Home -&gt; hub -&gt; child pages; child pages link back to hub (breadcrumb + contextual); child pages &lt;-&gt; siblings; blog posts -&gt; parent service page; all pages -&gt; /contact/</t>
  </si>
  <si>
    <t>Competitor keyword insights and opportunities</t>
  </si>
  <si>
    <t>Restorative</t>
  </si>
  <si>
    <t>/restorative-dentistry-gadsden-al/  (Restorative Dentistry Gadsden AL</t>
  </si>
  <si>
    <t>/dental-crowns-gadsden-al/; /dental-bridges-gadsden-al/; /root-canal-treatment-gadsden-al/; /dental-fillings-gadsden-al/  |  Blogs: /blog/dental-crown-types-and-costs/; /blog/crown-fell-off-what-to-do/; /blog/dental-bridge-vs-implant-vs-partial-denture/; /blog/root-canal-pain-symptoms-recovery/; /blog/root-canal-vs-extraction/; /blog/signs-of-a-cavity-and-treatment/</t>
  </si>
  <si>
    <t>Capture crowns/bridges/root-canal demand and prove clinical depth</t>
  </si>
  <si>
    <t>Oral Surgery &amp; Emergency</t>
  </si>
  <si>
    <t>/tooth-extractions-gadsden-al/  (Tooth Extractions &amp; Dental Surgery</t>
  </si>
  <si>
    <t>/wisdom-teeth-removal-gadsden-al/; /emergency-dentist-gadsden-al/  |  Blogs: /blog/tooth-extraction-aftercare/; /blog/dry-socket-symptoms-and-prevention/; /blog/wisdom-teeth-removal-recovery/; /blog/toothache-relief-when-to-see-dentist/</t>
  </si>
  <si>
    <t>Keyword Mapping</t>
  </si>
  <si>
    <t>Capture extraction, wisdom-tooth and urgent-care searches (and feed the immediate-denture path)</t>
  </si>
  <si>
    <t>Clear Aligners &amp; Braces</t>
  </si>
  <si>
    <t>/clear-aligners-braces-gadsden-al/  (Clear Aligners &amp; Clear Braces Gadsden AL</t>
  </si>
  <si>
    <t>/six-month-smiles-gadsden-al/  |  Blogs: /blog/clear-aligners-vs-braces/</t>
  </si>
  <si>
    <t>Support an affordable clear-braces offer without competing with orthodontist terms</t>
  </si>
  <si>
    <t>Preventive &amp; Family Care</t>
  </si>
  <si>
    <t xml:space="preserve">/family-dentist-gadsden-al/  (Family Dentist Gadsden AL </t>
  </si>
  <si>
    <t>/teeth-cleaning-gadsden-al/; /dental-exams-x-rays-gadsden-al/  |  Blogs: /blog/how-often-should-you-get-dental-cleaning/; /blog/are-dental-x-rays-safe/; /blog/what-to-expect-first-dentist-visit/</t>
  </si>
  <si>
    <t>New-patient acquisition and recurring-visit searches</t>
  </si>
  <si>
    <t>Cost &amp; Insurance</t>
  </si>
  <si>
    <t>/affordable-dentist-gadsden-al/  (Affordable Dentist Gadsden AL</t>
  </si>
  <si>
    <t>/dental-prices-gadsden-al/; /dental-insurance-accepted-gadsden-al/  |  Blogs: /blog/dental-care-without-insurance/; /blog/does-dental-insurance-cover-dentures-crowns/</t>
  </si>
  <si>
    <t>Convert price-sensitive searchers; own 'affordable dentist Gadsden'</t>
  </si>
  <si>
    <t>Service Areas</t>
  </si>
  <si>
    <t>/service-areas/  (Service Areas - Etowah, St. Clair &amp; Calhoun Counties</t>
  </si>
  <si>
    <t>/dentist-rainbow-city-al/; /dentist-southside-al/; /dentist-attalla-al/; /dentist-hokes-bluff-al/; /dentist-glencoe-al/; /dentist-ohatchee-al/; /dentist-boaz-al/; /dentist-ashville-al/; /dentist-oxford-al/; /dentist-centre-al/; /dentist-springville-al/</t>
  </si>
  <si>
    <t>Local expansion beyond Gadsden city into nearby towns</t>
  </si>
  <si>
    <t>Keyword to page targeting strategy</t>
  </si>
  <si>
    <t>Home/footer -&gt; /service-areas/ -&gt; town pages; town pages -&gt; service pages (same-day dentures, family dentist) + /contact/; service pages -&gt; relevant town pages</t>
  </si>
  <si>
    <t>Trust &amp; Resources</t>
  </si>
  <si>
    <t>/about/  (About Southern Smiles Dental Center)</t>
  </si>
  <si>
    <t>/about/; /dr-morrison/; /reviews/; /new-patients/; /faq/</t>
  </si>
  <si>
    <t>E-E-A-T, AI-search answers and conversion support</t>
  </si>
  <si>
    <t>Home/footer -&gt; trust pages; service pages -&gt; /dr-morrison/, /reviews/, /faq/; /faq/ -&gt; service pages; trust pages -&gt; /contact/</t>
  </si>
  <si>
    <t>dentures near me gadsden al</t>
  </si>
  <si>
    <t>Topical Authority Map</t>
  </si>
  <si>
    <t>/tooth-extractions-gadsden-al/</t>
  </si>
  <si>
    <t>Content authority planning</t>
  </si>
  <si>
    <t>oral surgery gadsden al; tooth pulled gadsden al; tooth extraction cost gadsden al; surgical tooth extraction gadsden al; dental surgery gadsden al</t>
  </si>
  <si>
    <t>SEO Silo Architecture</t>
  </si>
  <si>
    <t>Website structure planning</t>
  </si>
  <si>
    <t>Internal Linking Blueprint</t>
  </si>
  <si>
    <t>Low-Medium - hub for extractions; wisdom teeth have own page</t>
  </si>
  <si>
    <t>Internal authority flow strategy</t>
  </si>
  <si>
    <t>Content Roadmap</t>
  </si>
  <si>
    <t>denture dentist gadsden al</t>
  </si>
  <si>
    <t>Future content creation strategy</t>
  </si>
  <si>
    <t>Quick Wins</t>
  </si>
  <si>
    <t>Immediate SEO opportunities</t>
  </si>
  <si>
    <t>/wisdom-teeth-removal-gadsden-al/</t>
  </si>
  <si>
    <t>wisdom teeth removal near me; wisdom tooth extraction cost</t>
  </si>
  <si>
    <t>custom dentures gadsden al</t>
  </si>
  <si>
    <t>/emergency-dentist-gadsden-al/</t>
  </si>
  <si>
    <t>same day dentist appointment gadsden al; walk in dentist gadsden al; toothache dentist gadsden al; emergency dentist near me; broken tooth repair</t>
  </si>
  <si>
    <t>full dentures gadsden al</t>
  </si>
  <si>
    <t>Low - ensure hours are accurate</t>
  </si>
  <si>
    <t>/clear-aligners-braces-gadsden-al/</t>
  </si>
  <si>
    <t>clear braces gadsden al; invisible braces gadsden al; braces gadsden al; orthodontist gadsden al; invisalign gadsden al</t>
  </si>
  <si>
    <t>on-site denture lab gadsden al</t>
  </si>
  <si>
    <t>Semantic</t>
  </si>
  <si>
    <t>/six-month-smiles-gadsden-al/</t>
  </si>
  <si>
    <t>Six Month Smiles Gadsden AL</t>
  </si>
  <si>
    <t>six month smiles gadsden al</t>
  </si>
  <si>
    <t>six month smiles cost</t>
  </si>
  <si>
    <t>Key differentiator: dentures made in-house</t>
  </si>
  <si>
    <t>dentures alabama</t>
  </si>
  <si>
    <t>/family-dentist-gadsden-al/</t>
  </si>
  <si>
    <t>Regional high-intent term - supports same-day denture positioning</t>
  </si>
  <si>
    <t>dentures near me</t>
  </si>
  <si>
    <t>Source Page</t>
  </si>
  <si>
    <t>Target Page</t>
  </si>
  <si>
    <t>Anchor Concept</t>
  </si>
  <si>
    <t>Pass homepage authority to silo hub</t>
  </si>
  <si>
    <t>Medium - overlaps homepage 'dentist gadsden al'; focus on family/all-ages angle</t>
  </si>
  <si>
    <t>/teeth-cleaning-gadsden-al/</t>
  </si>
  <si>
    <t>dental cleaning gadsden al; dental cleaning near me; deep cleaning teeth cost; teeth cleaning cost; dental cleaning without insurance</t>
  </si>
  <si>
    <t>denture dentist near me</t>
  </si>
  <si>
    <t>Surface money/trust page from homepage</t>
  </si>
  <si>
    <t>/dental-insurance-accepted-gadsden-al/</t>
  </si>
  <si>
    <t>/reviews/</t>
  </si>
  <si>
    <t>southern smiles dental center gadsden al reviews</t>
  </si>
  <si>
    <t>/about/</t>
  </si>
  <si>
    <t>dental office with on-site lab</t>
  </si>
  <si>
    <t>/faq/</t>
  </si>
  <si>
    <t>gadsden dentist faq</t>
  </si>
  <si>
    <t>Distribute authority from parent to child page</t>
  </si>
  <si>
    <t>Reinforce silo parent (breadcrumb + contextual link)</t>
  </si>
  <si>
    <t>/dental-exams-x-rays-gadsden-al/</t>
  </si>
  <si>
    <t>dental checkup gadsden al; new patient dental exam cost; full mouth x-ray cost</t>
  </si>
  <si>
    <t>Highest-value money page - currently only a homepage section</t>
  </si>
  <si>
    <t>same day dentures alabama</t>
  </si>
  <si>
    <t>dentist no insurance gadsden al; cheap dentist gadsden al; low cost dental care gadsden al; best affordable dentist in gadsden alabama; affordable dental care alabama</t>
  </si>
  <si>
    <t>one day dentures alabama</t>
  </si>
  <si>
    <t>/dentist-rainbow-city-al/</t>
  </si>
  <si>
    <t>Medium - overlaps /dental-prices-gadsden-al/; hub = positioning + links</t>
  </si>
  <si>
    <t>/dentist-southside-al/</t>
  </si>
  <si>
    <t>dentist southside al</t>
  </si>
  <si>
    <t>/dentist-attalla-al/</t>
  </si>
  <si>
    <t>dentist attalla al</t>
  </si>
  <si>
    <t>/dentist-hokes-bluff-al/</t>
  </si>
  <si>
    <t>dentist hokes bluff al</t>
  </si>
  <si>
    <t>Dental Prices &amp; Fee Schedule</t>
  </si>
  <si>
    <t>/dentist-glencoe-al/</t>
  </si>
  <si>
    <t>dentist glencoe al</t>
  </si>
  <si>
    <t>southern smiles dental center prices</t>
  </si>
  <si>
    <t>dentures in one day gadsden al</t>
  </si>
  <si>
    <t>/dentist-ohatchee-al/</t>
  </si>
  <si>
    <t>dentist ohatchee al</t>
  </si>
  <si>
    <t>/dentist-boaz-al/</t>
  </si>
  <si>
    <t>dentist boaz al</t>
  </si>
  <si>
    <t>/dentist-ashville-al/</t>
  </si>
  <si>
    <t>dentist ashville al</t>
  </si>
  <si>
    <t>/dentist-oxford-al/</t>
  </si>
  <si>
    <t>dentist oxford al</t>
  </si>
  <si>
    <t>Medium - general fee schedule; link to denture cost for detail</t>
  </si>
  <si>
    <t>/dentist-centre-al/</t>
  </si>
  <si>
    <t>dentist centre al</t>
  </si>
  <si>
    <t>/dentist-springville-al/</t>
  </si>
  <si>
    <t>dentist springville al</t>
  </si>
  <si>
    <t>/dr-morrison/</t>
  </si>
  <si>
    <t>same day dentures near me</t>
  </si>
  <si>
    <t>dr morrison dentist gadsden al</t>
  </si>
  <si>
    <t>blue cross blue shield dentist gadsden al; dentist that takes medicare gadsden al; humana dental dentist gadsden al; cigna dental dentist gadsden al; delta dental dentist gadsden al</t>
  </si>
  <si>
    <t>Book an appointment / call (256) 459-5309</t>
  </si>
  <si>
    <t>Conversion path (CTA)</t>
  </si>
  <si>
    <t>1 day dentures near me</t>
  </si>
  <si>
    <t>Service Areas - Etowah, St. Clair &amp; Calhoun Counties (Hub)</t>
  </si>
  <si>
    <t>see our dental prices</t>
  </si>
  <si>
    <t>Price transparency for BOFU conversion</t>
  </si>
  <si>
    <t>insurance we accept</t>
  </si>
  <si>
    <t>Remove insurance objection</t>
  </si>
  <si>
    <t>how do same day dentures work</t>
  </si>
  <si>
    <t>Dentist Rainbow City AL</t>
  </si>
  <si>
    <t>dentures rainbow city al</t>
  </si>
  <si>
    <t>Sibling/related-service link for topical relevance and cross-sell</t>
  </si>
  <si>
    <t>/blog/how-do-same-day-dentures-work/</t>
  </si>
  <si>
    <t>same day denture process</t>
  </si>
  <si>
    <t>Dentist Southside AL</t>
  </si>
  <si>
    <t>Pass topical relevance to the money page</t>
  </si>
  <si>
    <t>Surface supporting guide from service page ('learn more')</t>
  </si>
  <si>
    <t>schedule a consultation</t>
  </si>
  <si>
    <t>Convert informational traffic</t>
  </si>
  <si>
    <t>/blog/same-day-dentures-vs-traditional-dentures/</t>
  </si>
  <si>
    <t>same day dentures vs traditional dentures</t>
  </si>
  <si>
    <t>/blog/how-much-do-dentures-cost-alabama/</t>
  </si>
  <si>
    <t>how much do dentures cost</t>
  </si>
  <si>
    <t>are same day dentures good</t>
  </si>
  <si>
    <t>/blog/how-to-get-used-to-new-dentures/</t>
  </si>
  <si>
    <t>Dentist Attalla AL</t>
  </si>
  <si>
    <t>dentures attalla al</t>
  </si>
  <si>
    <t>how long does it take to get used to dentures</t>
  </si>
  <si>
    <t>/blog/how-to-clean-dentures/</t>
  </si>
  <si>
    <t>how to clean dentures</t>
  </si>
  <si>
    <t>/blog/how-long-do-dentures-last/</t>
  </si>
  <si>
    <t>/blog/dentures-vs-dental-implants/</t>
  </si>
  <si>
    <t>Comparison</t>
  </si>
  <si>
    <t>dentures vs implants</t>
  </si>
  <si>
    <t>/blog/full-mouth-extraction-and-immediate-dentures/</t>
  </si>
  <si>
    <t>how long to get dentures after tooth extraction</t>
  </si>
  <si>
    <t>/blog/partial-vs-full-dentures/</t>
  </si>
  <si>
    <t>Dentist Hokes Bluff AL</t>
  </si>
  <si>
    <t>partial denture vs full denture</t>
  </si>
  <si>
    <t>/blog/types-of-partial-dentures/</t>
  </si>
  <si>
    <t>types of partial dentures</t>
  </si>
  <si>
    <t>/blog/dental-crown-types-and-costs/</t>
  </si>
  <si>
    <t>how much does a dental crown cost</t>
  </si>
  <si>
    <t>/blog/crown-fell-off-what-to-do/</t>
  </si>
  <si>
    <t>crown fell off what to do</t>
  </si>
  <si>
    <t>/blog/dental-bridge-vs-implant-vs-partial-denture/</t>
  </si>
  <si>
    <t>dental bridge vs implant</t>
  </si>
  <si>
    <t>/blog/root-canal-pain-symptoms-recovery/</t>
  </si>
  <si>
    <t>is a root canal painful</t>
  </si>
  <si>
    <t>/blog/root-canal-vs-extraction/</t>
  </si>
  <si>
    <t>Dentist Glencoe AL</t>
  </si>
  <si>
    <t>root canal vs extraction</t>
  </si>
  <si>
    <t>/blog/signs-of-a-cavity-and-treatment/</t>
  </si>
  <si>
    <t>signs of a cavity</t>
  </si>
  <si>
    <t>affordable dentures gadsden al</t>
  </si>
  <si>
    <t>/blog/tooth-extraction-aftercare/</t>
  </si>
  <si>
    <t>tooth extraction aftercare</t>
  </si>
  <si>
    <t>/blog/dry-socket-symptoms-and-prevention/</t>
  </si>
  <si>
    <t>dry socket symptoms</t>
  </si>
  <si>
    <t>/blog/wisdom-teeth-removal-recovery/</t>
  </si>
  <si>
    <t>wisdom teeth removal recovery</t>
  </si>
  <si>
    <t>/blog/toothache-relief-when-to-see-dentist/</t>
  </si>
  <si>
    <t>cheap dentures gadsden al</t>
  </si>
  <si>
    <t>toothache relief</t>
  </si>
  <si>
    <t>Dentist Ohatchee AL</t>
  </si>
  <si>
    <t>/blog/clear-aligners-vs-braces/</t>
  </si>
  <si>
    <t>clear aligners vs braces</t>
  </si>
  <si>
    <t>/blog/how-often-should-you-get-dental-cleaning/</t>
  </si>
  <si>
    <t>how often should you get your teeth cleaned</t>
  </si>
  <si>
    <t>/blog/are-dental-x-rays-safe/</t>
  </si>
  <si>
    <t>are dental x-rays safe</t>
  </si>
  <si>
    <t>/blog/what-to-expect-first-dentist-visit/</t>
  </si>
  <si>
    <t>what to expect at first dentist visit</t>
  </si>
  <si>
    <t>same day dentures cost alabama</t>
  </si>
  <si>
    <t>/blog/does-dental-insurance-cover-dentures-crowns/</t>
  </si>
  <si>
    <t>does dental insurance cover dentures</t>
  </si>
  <si>
    <t>Dentist Boaz AL</t>
  </si>
  <si>
    <t>dentures boaz al</t>
  </si>
  <si>
    <t>/blog/how-to-choose-a-denture-dentist/</t>
  </si>
  <si>
    <t>how to choose a dentist for dentures</t>
  </si>
  <si>
    <t>/blog/signs-you-may-need-dentures/</t>
  </si>
  <si>
    <t>do i need dentures</t>
  </si>
  <si>
    <t>Link local page to top services for that community</t>
  </si>
  <si>
    <t>get directions / call the office</t>
  </si>
  <si>
    <t>affordable dentures near me</t>
  </si>
  <si>
    <t>Local lead capture</t>
  </si>
  <si>
    <t>Link service pages to relevant nearby town pages</t>
  </si>
  <si>
    <t>Dentist Ashville AL</t>
  </si>
  <si>
    <t>Dentist Oxford AL</t>
  </si>
  <si>
    <t>dentures oxford al</t>
  </si>
  <si>
    <t>cheap dentures near me</t>
  </si>
  <si>
    <t>Dentist Centre AL</t>
  </si>
  <si>
    <t>cheapest place to get dentures near me</t>
  </si>
  <si>
    <t>book with Dr. Morrison</t>
  </si>
  <si>
    <t>Convert trust traffic</t>
  </si>
  <si>
    <t>book your visit</t>
  </si>
  <si>
    <t>insurance accepted</t>
  </si>
  <si>
    <t>Reduce objections for new patients</t>
  </si>
  <si>
    <t>Dentist Springville AL</t>
  </si>
  <si>
    <t>our prices</t>
  </si>
  <si>
    <t>new patient information</t>
  </si>
  <si>
    <t>Guide first-time visitors</t>
  </si>
  <si>
    <t>Send AI/answer-engine traffic from FAQ answers to the cited service page</t>
  </si>
  <si>
    <t>frequently asked questions</t>
  </si>
  <si>
    <t>Reinforce FAQ entity layer</t>
  </si>
  <si>
    <t>our dentist, Dr. Morrison</t>
  </si>
  <si>
    <t>E-E-A-T support for money pages</t>
  </si>
  <si>
    <t>what patients say</t>
  </si>
  <si>
    <t>Social proof on money pages</t>
  </si>
  <si>
    <t>About Southern Smiles Dental Center</t>
  </si>
  <si>
    <t>full set of dentures cost</t>
  </si>
  <si>
    <t>Meet Dr. Morrison</t>
  </si>
  <si>
    <t>dentures without insurance</t>
  </si>
  <si>
    <t>Patient Reviews</t>
  </si>
  <si>
    <t>New Patients</t>
  </si>
  <si>
    <t>partials dentist gadsden al</t>
  </si>
  <si>
    <t>Timeline</t>
  </si>
  <si>
    <t>Content Type</t>
  </si>
  <si>
    <t>Title</t>
  </si>
  <si>
    <t>Target Keyword</t>
  </si>
  <si>
    <t>Business Goal</t>
  </si>
  <si>
    <t>Dental FAQ - Gadsden, AL</t>
  </si>
  <si>
    <t>what dental services are available in gadsden al</t>
  </si>
  <si>
    <t>partial dentures near me</t>
  </si>
  <si>
    <t>Month 1 (Weeks 1-4)</t>
  </si>
  <si>
    <t>Homepage Optimization</t>
  </si>
  <si>
    <t>Optimize homepage: title, H1, intro copy, alt text and internal links for 'dentist gadsden al'</t>
  </si>
  <si>
    <t>How Do Same-Day Dentures Work? The Step-by-Step Process</t>
  </si>
  <si>
    <t>partial denture cost</t>
  </si>
  <si>
    <t>Generate local leads</t>
  </si>
  <si>
    <t>flexible partial dentures</t>
  </si>
  <si>
    <t>Same-Day Dentures vs. Traditional Dentures: Which Is Right for You?</t>
  </si>
  <si>
    <t>Dentures Gadsden AL | Southern Smiles Dental Center</t>
  </si>
  <si>
    <t>cast metal partial denture</t>
  </si>
  <si>
    <t>How Much Do Dentures Cost in Alabama? A Price Guide</t>
  </si>
  <si>
    <t>full set of dentures cost; dentures without insurance</t>
  </si>
  <si>
    <t>Build topical authority</t>
  </si>
  <si>
    <t>Same-Day Dentures Gadsden AL | Southern Smiles Dental Center</t>
  </si>
  <si>
    <t>flipper tooth cost</t>
  </si>
  <si>
    <t>Dental Care Without Insurance: Affordable Options in Gadsden</t>
  </si>
  <si>
    <t>Capture high-intent denture searches</t>
  </si>
  <si>
    <t>Trust Page</t>
  </si>
  <si>
    <t>New Patients | Southern Smiles Dental Center</t>
  </si>
  <si>
    <t>acrylic partial denture</t>
  </si>
  <si>
    <t>How Long Does It Take to Get Used to New Dentures?</t>
  </si>
  <si>
    <t>dentures hurt my gums; how to sleep with new dentures; foods to eat with new dentures</t>
  </si>
  <si>
    <t>Pricing Page</t>
  </si>
  <si>
    <t>Denture Cost &amp; Pricing Gadsden AL | Southern Smiles Dental Center</t>
  </si>
  <si>
    <t>How to Clean Dentures the Right Way</t>
  </si>
  <si>
    <t>Technical - 301 Redirect</t>
  </si>
  <si>
    <t>Migrate pricing/insurance content, then 301-redirect southernsmilesdentalcenter.com to the main domain</t>
  </si>
  <si>
    <t>southernsmilesdentalcenter.com -&gt; https://www.southernsmilesgadsden.com/</t>
  </si>
  <si>
    <t>Consolidate brand signals</t>
  </si>
  <si>
    <t>How Long Do Dentures Last?</t>
  </si>
  <si>
    <t>Dental Prices &amp; Fee Schedule | Southern Smiles Dental Center</t>
  </si>
  <si>
    <t>Reason</t>
  </si>
  <si>
    <t>Improve commercial/transactional rankings</t>
  </si>
  <si>
    <t>Dentures vs. Dental Implants: Cost, Comfort &amp; Longevity</t>
  </si>
  <si>
    <t>is it better to get dentures or implants</t>
  </si>
  <si>
    <t>Page Optimization</t>
  </si>
  <si>
    <t>Optimize contact page: hours, map, click-to-call, appointment form, NAP and brand keywords</t>
  </si>
  <si>
    <t>teeth extraction and dentures same day gadsden al</t>
  </si>
  <si>
    <t>Solution-Based</t>
  </si>
  <si>
    <t>Very High</t>
  </si>
  <si>
    <t>Content currently exists only as a homepage section; competitors with dedicated denture URLs (Aspen Dental, Coosa) are the main threat.</t>
  </si>
  <si>
    <t>Build the dedicated same-day dentures page (process, on-site lab, pricing tiers, free adjustments, FAQs); leave a short summary + link on the homepage.</t>
  </si>
  <si>
    <t>Dental Insurance Accepted Gadsden AL | Southern Smiles Dental Center</t>
  </si>
  <si>
    <t>Full Mouth Extraction &amp; Immediate Dentures: What to Expect</t>
  </si>
  <si>
    <t>full mouth extraction and dentures same day; full mouth extraction cost; what to expect with immediate dentures</t>
  </si>
  <si>
    <t>immediate dentures near me</t>
  </si>
  <si>
    <t>Title tag lacks the exact phrase 'dentist Gadsden AL' and the H1 is brand-only; hero images carry irrelevant alt text ('Drain Cleaning Plumber').</t>
  </si>
  <si>
    <t>Rewrite title/H1/meta, add intro copy and internal links to hubs, replace image alt text with descriptive dental text.</t>
  </si>
  <si>
    <t>Meet Dr. Morrison | Southern Smiles Dental Center</t>
  </si>
  <si>
    <t>Partial vs. Full Dentures: How to Choose</t>
  </si>
  <si>
    <t>immediate dentures cost</t>
  </si>
  <si>
    <t>Legacy domain southernsmilesdentalcenter.com duplicates the brand, address and phone number.</t>
  </si>
  <si>
    <t>Migrate verified pricing/insurance content, then 301-redirect the legacy domain; align GBP and citations to the main domain.</t>
  </si>
  <si>
    <t>Build E-E-A-T</t>
  </si>
  <si>
    <t>Patient Reviews | Southern Smiles Dental Center</t>
  </si>
  <si>
    <t>Price sheet exists only on the legacy domain; main site shows no prices for a price-sensitive audience.</t>
  </si>
  <si>
    <t>Publish a denture pricing page with tiers (confirm current prices first) and link from same-day dentures and homepage.</t>
  </si>
  <si>
    <t>free denture adjustments gadsden al</t>
  </si>
  <si>
    <t>full mouth extraction and dentures same day</t>
  </si>
  <si>
    <t>Types of Partial Dentures: Cast Metal, Flexible &amp; Acrylic</t>
  </si>
  <si>
    <t>Stated differentiator on the homepage, yet no dedicated page and almost no competition.</t>
  </si>
  <si>
    <t>Create the denture repair/reline/adjustments page highlighting free adjustments on dentures made in-house.</t>
  </si>
  <si>
    <t>About Southern Smiles Dental Center | Southern Smiles Dental Center</t>
  </si>
  <si>
    <t>full mouth extraction cost</t>
  </si>
  <si>
    <t>Dental Crown Types &amp; Costs: Porcelain, Zirconia &amp; Metal</t>
  </si>
  <si>
    <t>Homepage says 'Almost Any Insurance' but names no carriers; Gadsden Dental lists 16 plans.</t>
  </si>
  <si>
    <t>crown vs filling; zirconia vs porcelain crown; how long do dental crowns last; types of dental crowns</t>
  </si>
  <si>
    <t>Create an insurance page listing verified carriers (legacy site lists Humana, Delta Dental, Cigna, BCBS) with claim-filing explanation.</t>
  </si>
  <si>
    <t>FAQ Page</t>
  </si>
  <si>
    <t>Dental FAQ - Gadsden, AL | Southern Smiles Dental Center</t>
  </si>
  <si>
    <t>Affordability is core positioning but appears only as an H3 on the homepage.</t>
  </si>
  <si>
    <t>Build the affordable-dentist hub and link to prices and insurance pages.</t>
  </si>
  <si>
    <t>Improve AI search visibility</t>
  </si>
  <si>
    <t>My Crown Fell Off - What Should I Do?</t>
  </si>
  <si>
    <t>Month 2 (Weeks 5-8)</t>
  </si>
  <si>
    <t>Searchers comparing costs find no local fee schedule.</t>
  </si>
  <si>
    <t>Publish a general fee schedule (routine cleaning, crowns, root canals, extractions) after client verification.</t>
  </si>
  <si>
    <t>Immediate Dentures &amp; Extractions | Southern Smiles Dental Center</t>
  </si>
  <si>
    <t>what to expect with immediate dentures</t>
  </si>
  <si>
    <t>Town is only mentioned in a paragraph; local searches have low competition (KD ~19).</t>
  </si>
  <si>
    <t>Create a unique Rainbow City page with drive-time, directions and most-requested services.</t>
  </si>
  <si>
    <t>Dental Bridge vs. Implant vs. Partial Denture</t>
  </si>
  <si>
    <t>bridge vs partial denture; missing tooth replacement options</t>
  </si>
  <si>
    <t>Restorative Dentistry Gadsden AL | Southern Smiles Dental Center</t>
  </si>
  <si>
    <t>Same as above - lightly competed town query.</t>
  </si>
  <si>
    <t>Create a unique Southside page; link from service areas hub and same-day dentures page.</t>
  </si>
  <si>
    <t>Root canals are listed in services but have no landing page.</t>
  </si>
  <si>
    <t>Is a Root Canal Painful? Symptoms, Procedure &amp; Recovery</t>
  </si>
  <si>
    <t>Create root canal service page with symptoms, process, cost context and FAQ schema.</t>
  </si>
  <si>
    <t>root canal symptoms; how long does a root canal take; do i need a root canal</t>
  </si>
  <si>
    <t>denture adjustment gadsden al</t>
  </si>
  <si>
    <t>Partial Dentures Gadsden AL | Southern Smiles Dental Center</t>
  </si>
  <si>
    <t>Crowns are a core service with no URL; competitor Gadsden Dental mentions ceramic crowns only on a single page.</t>
  </si>
  <si>
    <t>Create crown service page with materials, process, pricing context and internal links.</t>
  </si>
  <si>
    <t>Extractions/dental surgery drive the immediate-denture path but have no page.</t>
  </si>
  <si>
    <t>Create extraction hub; link to immediate dentures and aftercare content.</t>
  </si>
  <si>
    <t>Denture Repair, Reline &amp; Free Adjustments | Southern Smiles Dental Center</t>
  </si>
  <si>
    <t>No FAQ content for AI Overviews/ChatGPT/Perplexity to cite.</t>
  </si>
  <si>
    <t>Launch FAQ page (hours, insurance, same-day dentures, pricing, free adjustments) with FAQPage schema and concise answer blocks.</t>
  </si>
  <si>
    <t>Provider is named without full name, credentials or photo - weak E-E-A-T.</t>
  </si>
  <si>
    <t>Create a provider bio page with credentials, experience, photo and Person/Dentist schema (client to supply details).</t>
  </si>
  <si>
    <t>Dental Crowns Gadsden AL | Southern Smiles Dental Center</t>
  </si>
  <si>
    <t>Root Canal vs. Extraction: Which Should You Choose?</t>
  </si>
  <si>
    <t>Homepage differentiator: no charge for adjustments on dentures made in-house</t>
  </si>
  <si>
    <t>denture reline gadsden al</t>
  </si>
  <si>
    <t>Improve service-page rankings</t>
  </si>
  <si>
    <t>No reviews page; review proof supports local pack and AI summaries.</t>
  </si>
  <si>
    <t>Create reviews page using real verified patient reviews; start a steady review-request process.</t>
  </si>
  <si>
    <t>Dental Bridges Gadsden AL | Southern Smiles Dental Center</t>
  </si>
  <si>
    <t>denture repair near me</t>
  </si>
  <si>
    <t>Signs of a Cavity &amp; How Fillings Fix Them</t>
  </si>
  <si>
    <t>Proximity-based queries are won through the local pack more than organic pages.</t>
  </si>
  <si>
    <t>Optimize Google Business Profile (categories, services, photos, hours, Q&amp;A, posts) and align NAP across citations.</t>
  </si>
  <si>
    <t>tooth colored fillings vs silver; what causes tooth decay</t>
  </si>
  <si>
    <t>Root Canal Treatment Gadsden AL | Southern Smiles Dental Center</t>
  </si>
  <si>
    <t>High CPC and demand, but the office is closed Thursday-Sunday.</t>
  </si>
  <si>
    <t>Decide on an urgent-visit/walk-in policy first; publish accurate hours; avoid promising availability that cannot be met.</t>
  </si>
  <si>
    <t>same day denture repair near me</t>
  </si>
  <si>
    <t>Tooth Extractions &amp; Dental Surgery | Southern Smiles Dental Center</t>
  </si>
  <si>
    <t>Tooth Extraction Aftercare: What to Eat &amp; What to Avoid</t>
  </si>
  <si>
    <t>what to eat after tooth extraction; how to prepare for a tooth extraction</t>
  </si>
  <si>
    <t>broken denture repair</t>
  </si>
  <si>
    <t>Dental Fillings Gadsden AL | Southern Smiles Dental Center</t>
  </si>
  <si>
    <t>Blog Post</t>
  </si>
  <si>
    <t>denture reline cost</t>
  </si>
  <si>
    <t>Dry Socket: Symptoms, Prevention &amp; When to Call</t>
  </si>
  <si>
    <t>loose dentures fix</t>
  </si>
  <si>
    <t>Month 3 (Weeks 9-12)</t>
  </si>
  <si>
    <t>Wisdom Teeth Removal Recovery Timeline</t>
  </si>
  <si>
    <t>do wisdom teeth need to be removed</t>
  </si>
  <si>
    <t>Location Hub</t>
  </si>
  <si>
    <t>Service Areas - Etowah, St. Clair &amp; Calhoun Counties | Southern Smiles Dental Center</t>
  </si>
  <si>
    <t>dentures hurt my gums</t>
  </si>
  <si>
    <t>Toothache Relief: When to See a Dentist Right Away</t>
  </si>
  <si>
    <t>tooth abscess treatment</t>
  </si>
  <si>
    <t>Expand local reach</t>
  </si>
  <si>
    <t>Family Dentist Gadsden AL | Southern Smiles Dental Center</t>
  </si>
  <si>
    <t>Affordable Dentist Gadsden AL | Southern Smiles Dental Center</t>
  </si>
  <si>
    <t>Improve commercial rankings</t>
  </si>
  <si>
    <t>How Often Should You Get Your Teeth Cleaned?</t>
  </si>
  <si>
    <t>how often should you go to the dentist; what happens during a dental cleaning</t>
  </si>
  <si>
    <t>Location Page</t>
  </si>
  <si>
    <t>Dentist Rainbow City AL | Southern Smiles Dental Center</t>
  </si>
  <si>
    <t>Dentist Southside AL | Southern Smiles Dental Center</t>
  </si>
  <si>
    <t>Are Dental X-Rays Safe? How Often Do You Need Them?</t>
  </si>
  <si>
    <t>dental x-rays how often</t>
  </si>
  <si>
    <t>foods to eat with new dentures</t>
  </si>
  <si>
    <t>Dentist Attalla AL | Southern Smiles Dental Center</t>
  </si>
  <si>
    <t>What to Expect at Your First Dentist Visit</t>
  </si>
  <si>
    <t>Teeth Cleaning Gadsden AL | Southern Smiles Dental Center</t>
  </si>
  <si>
    <t>Does Dental Insurance Cover Dentures &amp; Crowns?</t>
  </si>
  <si>
    <t>does insurance cover crowns</t>
  </si>
  <si>
    <t>Six Month Smiles Gadsden AL | Southern Smiles Dental Center</t>
  </si>
  <si>
    <t>How to Choose a Dentist for Dentures: 10 Questions to Ask</t>
  </si>
  <si>
    <t>best dentist for dentures near me; what questions to ask a dentist before getting dentures</t>
  </si>
  <si>
    <t>Signs You May Need Dentures</t>
  </si>
  <si>
    <t>Dental Exams &amp; X-Rays Gadsden AL | Southern Smiles Dental Center</t>
  </si>
  <si>
    <t>crown dentist gadsden al</t>
  </si>
  <si>
    <t>Wisdom Teeth Removal Gadsden AL | Southern Smiles Dental Center</t>
  </si>
  <si>
    <t>southernsmilesdentalcenter.com (legacy domain)</t>
  </si>
  <si>
    <t>Legacy domain - duplicate NAP / brand</t>
  </si>
  <si>
    <t>Clear Aligners &amp; Clear Braces Gadsden AL | Southern Smiles Dental Center</t>
  </si>
  <si>
    <t>dental crown cost gadsden al</t>
  </si>
  <si>
    <t>Redirect</t>
  </si>
  <si>
    <t>High - duplicate brand/NAP; 301 all URLs to https://www.southernsmilesgadsden.com/ after migrating content</t>
  </si>
  <si>
    <t>Emergency Dentist Gadsden AL | Southern Smiles Dental Center</t>
  </si>
  <si>
    <t>Generate local leads (align hours first)</t>
  </si>
  <si>
    <t>dental crown near me</t>
  </si>
  <si>
    <t>Month 4 (Weeks 13-16)</t>
  </si>
  <si>
    <t>Dentist Boaz AL | Southern Smiles Dental Center</t>
  </si>
  <si>
    <t>types of dental crowns</t>
  </si>
  <si>
    <t>Dentist Oxford AL | Southern Smiles Dental Center</t>
  </si>
  <si>
    <t>how long do dental crowns last</t>
  </si>
  <si>
    <t>Dentist Hokes Bluff AL | Southern Smiles Dental Center</t>
  </si>
  <si>
    <t>Dentist Glencoe AL | Southern Smiles Dental Center</t>
  </si>
  <si>
    <t>crown vs filling</t>
  </si>
  <si>
    <t>Dentist Ohatchee AL | Southern Smiles Dental Center</t>
  </si>
  <si>
    <t>zirconia vs porcelain crown</t>
  </si>
  <si>
    <t>Dentist Springville AL | Southern Smiles Dental Center</t>
  </si>
  <si>
    <t>Dentist Ashville AL | Southern Smiles Dental Center</t>
  </si>
  <si>
    <t>replace missing tooth gadsden al</t>
  </si>
  <si>
    <t>Dentist Centre AL | Southern Smiles Dental Center</t>
  </si>
  <si>
    <t>dental bridges near me</t>
  </si>
  <si>
    <t>dental bridge cost</t>
  </si>
  <si>
    <t>how much does a dental bridge cost</t>
  </si>
  <si>
    <t>how long do dental bridges last</t>
  </si>
  <si>
    <t>Month 5 (Weeks 17-20)</t>
  </si>
  <si>
    <t>bridge vs partial denture</t>
  </si>
  <si>
    <t>missing tooth replacement options</t>
  </si>
  <si>
    <t>root canal dentist gadsden al</t>
  </si>
  <si>
    <t>root canal cost gadsden al</t>
  </si>
  <si>
    <t>root canal near me</t>
  </si>
  <si>
    <t>root canal cost</t>
  </si>
  <si>
    <t>how long does a root canal take</t>
  </si>
  <si>
    <t>root canal symptoms</t>
  </si>
  <si>
    <t>Month 6 (Weeks 21-24)</t>
  </si>
  <si>
    <t>do i need a root canal</t>
  </si>
  <si>
    <t>cavity filling gadsden al</t>
  </si>
  <si>
    <t>cavity filling near me</t>
  </si>
  <si>
    <t>Increase organic traffic</t>
  </si>
  <si>
    <t>tooth filling cost</t>
  </si>
  <si>
    <t>tooth colored fillings vs silver</t>
  </si>
  <si>
    <t>Oral Surgery</t>
  </si>
  <si>
    <t>tooth pulled gadsden al</t>
  </si>
  <si>
    <t>surgical tooth extraction gadsden al</t>
  </si>
  <si>
    <t>dental surgery gadsden al</t>
  </si>
  <si>
    <t>oral surgery gadsden al</t>
  </si>
  <si>
    <t>Competes with oral surgeons - position as general-dentist extractions/surgery</t>
  </si>
  <si>
    <t>tooth extraction cost gadsden al</t>
  </si>
  <si>
    <t>tooth extraction near me</t>
  </si>
  <si>
    <t>tooth extraction cost</t>
  </si>
  <si>
    <t>how much does a tooth extraction cost without insurance</t>
  </si>
  <si>
    <t>what to eat after tooth extraction</t>
  </si>
  <si>
    <t>Confirm wisdom-tooth coverage with client before publishing</t>
  </si>
  <si>
    <t>wisdom teeth removal near me</t>
  </si>
  <si>
    <t>wisdom tooth extraction cost</t>
  </si>
  <si>
    <t>Emergency Dentistry</t>
  </si>
  <si>
    <t>Clinic is open Mon-Wed only - align hours/walk-in policy before targeting</t>
  </si>
  <si>
    <t>walk in dentist gadsden al</t>
  </si>
  <si>
    <t>toothache dentist gadsden al</t>
  </si>
  <si>
    <t>same day dentist appointment gadsden al</t>
  </si>
  <si>
    <t>emergency dentist near me</t>
  </si>
  <si>
    <t>broken tooth repair</t>
  </si>
  <si>
    <t>clear braces gadsden al</t>
  </si>
  <si>
    <t>invisible braces gadsden al</t>
  </si>
  <si>
    <t>Verify availability - legacy price sheet lists Six Month Smiles</t>
  </si>
  <si>
    <t>braces gadsden al</t>
  </si>
  <si>
    <t>Competes with orthodontists - position as clear-braces alternative</t>
  </si>
  <si>
    <t>invisalign gadsden al</t>
  </si>
  <si>
    <t>Brand term - target only if provider is certified; otherwise use alternative phrasing</t>
  </si>
  <si>
    <t>orthodontist gadsden al</t>
  </si>
  <si>
    <t>Low fit: general dentist vs. specialist orthodontists</t>
  </si>
  <si>
    <t>clear aligners cost</t>
  </si>
  <si>
    <t>adult braces near me</t>
  </si>
  <si>
    <t>cheap clear aligners near me</t>
  </si>
  <si>
    <t>Preventive Dentistry</t>
  </si>
  <si>
    <t>dental cleaning gadsden al</t>
  </si>
  <si>
    <t>dental cleaning near me</t>
  </si>
  <si>
    <t>teeth cleaning cost</t>
  </si>
  <si>
    <t>dental cleaning without insurance</t>
  </si>
  <si>
    <t>deep cleaning teeth cost</t>
  </si>
  <si>
    <t>what happens during a dental cleaning</t>
  </si>
  <si>
    <t>dental checkup gadsden al</t>
  </si>
  <si>
    <t>new patient dental exam cost</t>
  </si>
  <si>
    <t>full mouth x-ray cost</t>
  </si>
  <si>
    <t>family dentistry gadsden al</t>
  </si>
  <si>
    <t>affordable family dentist gadsden al</t>
  </si>
  <si>
    <t>kids dentist gadsden al</t>
  </si>
  <si>
    <t>Confirm pediatric services before targeting</t>
  </si>
  <si>
    <t>family dentist near me</t>
  </si>
  <si>
    <t>Dental Insurance</t>
  </si>
  <si>
    <t>delta dental dentist gadsden al</t>
  </si>
  <si>
    <t>humana dental dentist gadsden al</t>
  </si>
  <si>
    <t>cigna dental dentist gadsden al</t>
  </si>
  <si>
    <t>blue cross blue shield dentist gadsden al</t>
  </si>
  <si>
    <t>medicaid dentist gadsden al</t>
  </si>
  <si>
    <t>Verify Medicaid participation before targeting</t>
  </si>
  <si>
    <t>dentist that takes medicare gadsden al</t>
  </si>
  <si>
    <t>Verify before targeting</t>
  </si>
  <si>
    <t>Service Area Dentistry</t>
  </si>
  <si>
    <t>Gadsden Dental; Gadsden Family Dentistry; Aspen Dental; local-town dentists</t>
  </si>
  <si>
    <t>Higher competition (Calhoun County) - lead with same-day dentures + price angle</t>
  </si>
  <si>
    <t>Brand</t>
  </si>
  <si>
    <t>Southern Smiles Brand</t>
  </si>
  <si>
    <t>Own site; Facebook; Yelp; Google Business Profile</t>
  </si>
  <si>
    <t>Brand name is shared by other practices - always pair with Gadsden</t>
  </si>
  <si>
    <t>southern smiles dental gadsden al</t>
  </si>
  <si>
    <t>Brand query - protect SERP and keep GBP/NAP consistent</t>
  </si>
  <si>
    <t>southern smiles dentist gadsden</t>
  </si>
  <si>
    <t>southern smiles dental center hours</t>
  </si>
  <si>
    <t>Add full name, credentials and photo for E-E-A-T</t>
  </si>
  <si>
    <t>315 n 3rd st gadsden al dentist</t>
  </si>
  <si>
    <t>Competitor Brand</t>
  </si>
  <si>
    <t>Competitor Brands</t>
  </si>
  <si>
    <t>Competitor's own site; Facebook; Yelp</t>
  </si>
  <si>
    <t>Monitor</t>
  </si>
  <si>
    <t>Competitor brand - monitor only; no dedicated page</t>
  </si>
  <si>
    <t>alabama family dentistry gadsden</t>
  </si>
  <si>
    <t>gadsden family dentistry</t>
  </si>
  <si>
    <t>coosa family dentistry gadsden al</t>
  </si>
  <si>
    <t>legacy dental alabama</t>
  </si>
  <si>
    <t>clay ellis dds gadsden al</t>
  </si>
  <si>
    <t>AI Search (Conversational)</t>
  </si>
  <si>
    <t>AI Search Visibility</t>
  </si>
  <si>
    <t>where can i get dentures in one day in alabama</t>
  </si>
  <si>
    <t>who makes same day dentures near gadsden al</t>
  </si>
  <si>
    <t>how much do same day dentures cost in alabama</t>
  </si>
  <si>
    <t>is there a dentist in gadsden that makes dentures on site</t>
  </si>
  <si>
    <t>dentist in gadsden al that takes insurance and offers dentures</t>
  </si>
  <si>
    <t>which dentist near me can pull teeth and fit dentures same day</t>
  </si>
  <si>
    <t>are denture adjustments free</t>
  </si>
  <si>
    <t>best dentist for dentures near me</t>
  </si>
  <si>
    <t>what questions to ask a dentist before getting dentures</t>
  </si>
  <si>
    <t>Dental Education</t>
  </si>
  <si>
    <t>what causes tooth decay</t>
  </si>
  <si>
    <t>how to prepare for a tooth extraction</t>
  </si>
  <si>
    <t>how to sleep with new dentures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</si>
</sst>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0.00"/>
    <numFmt numFmtId="165" formatCode="0.0"/>
    <numFmt numFmtId="166" formatCode="0.0%"/>
  </numFmts>
  <fonts count="2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5.0"/>
      <color rgb="FFFFFFFF"/>
      <name val="Arial"/>
    </font>
    <font/>
    <font>
      <sz val="9.0"/>
      <color rgb="FF000000"/>
      <name val="Arial"/>
    </font>
    <font>
      <b/>
      <sz val="12.0"/>
      <color rgb="FF0B1F3A"/>
      <name val="Arial"/>
    </font>
    <font>
      <sz val="9.0"/>
      <color rgb="FF0000FF"/>
      <name val="Arial"/>
    </font>
    <font>
      <b/>
      <sz val="9.0"/>
      <color rgb="FF000000"/>
      <name val="Arial"/>
    </font>
    <font>
      <i/>
      <sz val="9.0"/>
      <color rgb="FF000000"/>
      <name val="Arial"/>
    </font>
    <font>
      <sz val="11.0"/>
      <color theme="1"/>
      <name val="Calibri"/>
    </font>
    <font>
      <b/>
      <sz val="22.0"/>
      <color rgb="FFFFFFFF"/>
      <name val="Arial"/>
    </font>
    <font>
      <b/>
      <sz val="12.0"/>
      <color rgb="FFEEECE1"/>
      <name val="Arial"/>
    </font>
    <font>
      <b/>
      <sz val="10.0"/>
      <color rgb="FFEEECE1"/>
      <name val="Arial"/>
    </font>
    <font>
      <b/>
      <sz val="8.0"/>
      <color rgb="FF2E5C9A"/>
      <name val="Arial"/>
    </font>
    <font>
      <b/>
      <sz val="22.0"/>
      <color rgb="FF0B1F3A"/>
      <name val="Arial"/>
    </font>
    <font>
      <b/>
      <sz val="16.0"/>
      <color rgb="FF0B1F3A"/>
      <name val="Arial"/>
    </font>
    <font>
      <i/>
      <sz val="8.0"/>
      <color rgb="FF5A6B84"/>
      <name val="Arial"/>
    </font>
    <font>
      <b/>
      <sz val="9.0"/>
      <color rgb="FFFFFFFF"/>
      <name val="Arial"/>
    </font>
    <font>
      <b/>
      <sz val="11.0"/>
      <color rgb="FF0F243E"/>
      <name val="Arial"/>
    </font>
    <font>
      <b/>
      <u/>
      <sz val="10.0"/>
      <color rgb="FF2E5C9A"/>
      <name val="Arial"/>
    </font>
    <font>
      <sz val="10.0"/>
      <color rgb="FF000000"/>
      <name val="Arial"/>
    </font>
    <font>
      <b/>
      <u/>
      <sz val="10.0"/>
      <color rgb="FF2E5C9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F3F6FA"/>
        <bgColor rgb="FFF3F6FA"/>
      </patternFill>
    </fill>
    <fill>
      <patternFill patternType="solid">
        <fgColor theme="0"/>
        <bgColor theme="0"/>
      </patternFill>
    </fill>
    <fill>
      <patternFill patternType="solid">
        <fgColor rgb="FF0F243E"/>
        <bgColor rgb="FF0F243E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5DBE5"/>
      </left>
      <right style="thin">
        <color rgb="FFD5DBE5"/>
      </right>
      <top style="thin">
        <color rgb="FFD5DBE5"/>
      </top>
      <bottom/>
    </border>
    <border>
      <left/>
      <right/>
      <top/>
      <bottom/>
    </border>
    <border>
      <bottom style="medium">
        <color rgb="FFC9A227"/>
      </bottom>
    </border>
    <border>
      <left style="thin">
        <color rgb="FFD5DBE5"/>
      </left>
      <top style="medium">
        <color rgb="FFC9A227"/>
      </top>
      <bottom/>
    </border>
    <border>
      <top style="medium">
        <color rgb="FFC9A227"/>
      </top>
      <bottom/>
    </border>
    <border>
      <right style="thin">
        <color rgb="FFD5DBE5"/>
      </right>
      <top style="medium">
        <color rgb="FFC9A227"/>
      </top>
      <bottom/>
    </border>
    <border>
      <left style="thin">
        <color rgb="FFD5DBE5"/>
      </left>
      <top/>
      <bottom/>
    </border>
    <border>
      <right style="thin">
        <color rgb="FFD5DBE5"/>
      </right>
      <top/>
      <bottom/>
    </border>
    <border>
      <left style="thin">
        <color rgb="FFD5DBE5"/>
      </left>
      <top/>
      <bottom style="thin">
        <color rgb="FFD5DBE5"/>
      </bottom>
    </border>
    <border>
      <top/>
      <bottom style="thin">
        <color rgb="FFD5DBE5"/>
      </bottom>
    </border>
    <border>
      <right style="thin">
        <color rgb="FFD5DBE5"/>
      </right>
      <top/>
      <bottom style="thin">
        <color rgb="FFD5DBE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center" vertical="center"/>
    </xf>
    <xf borderId="1" fillId="0" fontId="6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6" fillId="3" fontId="4" numFmtId="0" xfId="0" applyAlignment="1" applyBorder="1" applyFill="1" applyFont="1">
      <alignment horizontal="left" shrinkToFit="0" vertical="center" wrapText="1"/>
    </xf>
    <xf borderId="6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center" vertical="center"/>
    </xf>
    <xf borderId="1" fillId="0" fontId="6" numFmtId="9" xfId="0" applyAlignment="1" applyBorder="1" applyFont="1" applyNumberFormat="1">
      <alignment horizontal="left" shrinkToFit="0" vertical="top" wrapText="1"/>
    </xf>
    <xf borderId="1" fillId="3" fontId="4" numFmtId="3" xfId="0" applyAlignment="1" applyBorder="1" applyFill="1" applyFont="1" applyNumberFormat="1">
      <alignment horizontal="center" vertical="center"/>
    </xf>
    <xf borderId="1" fillId="0" fontId="7" numFmtId="0" xfId="0" applyBorder="1" applyFont="1"/>
    <xf borderId="1" fillId="0" fontId="7" numFmtId="9" xfId="0" applyBorder="1" applyFont="1" applyNumberFormat="1"/>
    <xf borderId="1" fillId="0" fontId="8" numFmtId="0" xfId="0" applyBorder="1" applyFont="1"/>
    <xf borderId="1" fillId="0" fontId="4" numFmtId="0" xfId="0" applyAlignment="1" applyBorder="1" applyFont="1">
      <alignment horizontal="center" shrinkToFit="0" vertical="top" wrapText="1"/>
    </xf>
    <xf borderId="1" fillId="0" fontId="9" numFmtId="0" xfId="0" applyBorder="1" applyFont="1"/>
    <xf borderId="1" fillId="3" fontId="4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left" vertical="center"/>
    </xf>
    <xf borderId="1" fillId="3" fontId="6" numFmtId="3" xfId="0" applyAlignment="1" applyBorder="1" applyFill="1" applyFont="1" applyNumberForma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3" fontId="6" numFmtId="164" xfId="0" applyAlignment="1" applyBorder="1" applyFill="1" applyFont="1" applyNumberFormat="1">
      <alignment horizontal="center" vertical="center"/>
    </xf>
    <xf borderId="6" fillId="4" fontId="9" numFmtId="0" xfId="0" applyBorder="1" applyFill="1" applyFont="1"/>
    <xf borderId="6" fillId="5" fontId="9" numFmtId="0" xfId="0" applyBorder="1" applyFill="1" applyFont="1"/>
    <xf borderId="2" fillId="2" fontId="10" numFmtId="0" xfId="0" applyAlignment="1" applyBorder="1" applyFill="1" applyFont="1">
      <alignment horizontal="center" vertical="center"/>
    </xf>
    <xf borderId="2" fillId="2" fontId="11" numFmtId="0" xfId="0" applyAlignment="1" applyBorder="1" applyFill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3" numFmtId="0" xfId="0" applyBorder="1" applyFont="1"/>
    <xf borderId="8" fillId="3" fontId="13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3" fontId="14" numFmtId="1" xfId="0" applyAlignment="1" applyBorder="1" applyFill="1" applyFont="1" applyNumberFormat="1">
      <alignment horizontal="center" vertical="center"/>
    </xf>
    <xf borderId="12" fillId="0" fontId="3" numFmtId="0" xfId="0" applyBorder="1" applyFont="1"/>
    <xf borderId="11" fillId="3" fontId="14" numFmtId="3" xfId="0" applyAlignment="1" applyBorder="1" applyFill="1" applyFont="1" applyNumberFormat="1">
      <alignment horizontal="center" vertical="center"/>
    </xf>
    <xf borderId="11" fillId="3" fontId="15" numFmtId="49" xfId="0" applyAlignment="1" applyBorder="1" applyFill="1" applyFont="1" applyNumberFormat="1">
      <alignment horizontal="center" vertical="center"/>
    </xf>
    <xf borderId="13" fillId="3" fontId="16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1" fillId="3" fontId="14" numFmtId="165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17" numFmtId="0" xfId="0" applyAlignment="1" applyBorder="1" applyFill="1" applyFont="1">
      <alignment horizontal="center" vertical="center"/>
    </xf>
    <xf borderId="16" fillId="2" fontId="17" numFmtId="0" xfId="0" applyAlignment="1" applyBorder="1" applyFill="1" applyFont="1">
      <alignment horizontal="center" vertical="center"/>
    </xf>
    <xf borderId="17" fillId="0" fontId="3" numFmtId="0" xfId="0" applyBorder="1" applyFont="1"/>
    <xf borderId="1" fillId="0" fontId="4" numFmtId="166" xfId="0" applyAlignment="1" applyBorder="1" applyFont="1" applyNumberFormat="1">
      <alignment horizontal="center" vertical="center"/>
    </xf>
    <xf borderId="16" fillId="0" fontId="4" numFmtId="166" xfId="0" applyAlignment="1" applyBorder="1" applyFont="1" applyNumberFormat="1">
      <alignment horizontal="center" vertical="center"/>
    </xf>
    <xf borderId="16" fillId="0" fontId="4" numFmtId="0" xfId="0" applyAlignment="1" applyBorder="1" applyFont="1">
      <alignment horizontal="center" vertical="center"/>
    </xf>
    <xf borderId="1" fillId="3" fontId="4" numFmtId="166" xfId="0" applyAlignment="1" applyBorder="1" applyFill="1" applyFont="1" applyNumberFormat="1">
      <alignment horizontal="center" vertical="center"/>
    </xf>
    <xf borderId="16" fillId="3" fontId="4" numFmtId="166" xfId="0" applyAlignment="1" applyBorder="1" applyFill="1" applyFont="1" applyNumberFormat="1">
      <alignment horizontal="center" vertical="center"/>
    </xf>
    <xf borderId="16" fillId="3" fontId="4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 vertical="center"/>
    </xf>
    <xf borderId="18" fillId="0" fontId="3" numFmtId="0" xfId="0" applyBorder="1" applyFont="1"/>
    <xf borderId="16" fillId="0" fontId="19" numFmtId="0" xfId="0" applyAlignment="1" applyBorder="1" applyFont="1">
      <alignment vertical="center"/>
    </xf>
    <xf borderId="16" fillId="0" fontId="20" numFmtId="0" xfId="0" applyAlignment="1" applyBorder="1" applyFont="1">
      <alignment vertical="center"/>
    </xf>
    <xf borderId="16" fillId="3" fontId="21" numFmtId="0" xfId="0" applyAlignment="1" applyBorder="1" applyFill="1" applyFont="1">
      <alignment vertical="center"/>
    </xf>
    <xf borderId="16" fillId="3" fontId="20" numFmtId="0" xfId="0" applyAlignment="1" applyBorder="1" applyFill="1" applyFont="1">
      <alignment vertic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5">
    <dxf>
      <font>
        <b/>
        <sz val="9.0"/>
        <color rgb="FFFFFFFF"/>
        <name val="Arial"/>
      </font>
      <fill>
        <patternFill patternType="solid">
          <fgColor rgb="FFB03A2E"/>
          <bgColor rgb="FFB03A2E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E08E2B"/>
          <bgColor rgb="FFE08E2B"/>
        </patternFill>
      </fill>
      <border/>
    </dxf>
    <dxf>
      <font>
        <b/>
        <sz val="9.0"/>
        <color rgb="FF000000"/>
        <name val="Arial"/>
      </font>
      <fill>
        <patternFill patternType="solid">
          <fgColor rgb="FFF2D16B"/>
          <bgColor rgb="FFF2D16B"/>
        </patternFill>
      </fill>
      <border/>
    </dxf>
    <dxf>
      <font>
        <b/>
        <sz val="9.0"/>
        <color rgb="FF000000"/>
        <name val="Arial"/>
      </font>
      <fill>
        <patternFill patternType="solid">
          <fgColor rgb="FFA9CCE3"/>
          <bgColor rgb="FFA9CCE3"/>
        </patternFill>
      </fill>
      <border/>
    </dxf>
    <dxf>
      <font>
        <b/>
        <sz val="9.0"/>
        <color rgb="FF000000"/>
        <name val="Arial"/>
      </font>
      <fill>
        <patternFill patternType="solid">
          <fgColor rgb="FFD5D8DC"/>
          <bgColor rgb="FFD5D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 Intent Distribution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Keywords</c:v>
          </c:tx>
          <c:spPr>
            <a:solidFill>
              <a:srgbClr val="0B1F3A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8FA9CC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A6ACB5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2E5C9A"/>
              </a:solidFill>
              <a:ln cmpd="sng">
                <a:noFill/>
              </a:ln>
            </c:spPr>
          </c:dPt>
          <c:dPt>
            <c:idx val="3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Cover!$B$26:$B$29</c:f>
            </c:strRef>
          </c:cat>
          <c:val>
            <c:numRef>
              <c:f>Cover!$C$26:$C$29</c:f>
              <c:numCache/>
            </c:numRef>
          </c:val>
        </c:ser>
        <c:axId val="1263101890"/>
        <c:axId val="1682310097"/>
      </c:barChart>
      <c:catAx>
        <c:axId val="12631018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2310097"/>
      </c:catAx>
      <c:valAx>
        <c:axId val="1682310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3101890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 Priority Distribution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Keywords</c:v>
          </c:tx>
          <c:spPr>
            <a:solidFill>
              <a:srgbClr val="0B1F3A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B03A2E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08E2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2D1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A9CCE3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5D8DC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Cover!$E$26:$E$29</c:f>
            </c:strRef>
          </c:cat>
          <c:val>
            <c:numRef>
              <c:f>Cover!$F$26:$F$29</c:f>
              <c:numCache/>
            </c:numRef>
          </c:val>
        </c:ser>
        <c:axId val="464540789"/>
        <c:axId val="248332515"/>
      </c:barChart>
      <c:catAx>
        <c:axId val="464540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8332515"/>
      </c:catAx>
      <c:valAx>
        <c:axId val="2483325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454078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Funnel Stage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Cover!$K$25</c:f>
            </c:strRef>
          </c:tx>
          <c:dPt>
            <c:idx val="0"/>
            <c:spPr>
              <a:solidFill>
                <a:srgbClr val="8FA9CC"/>
              </a:solidFill>
            </c:spPr>
          </c:dPt>
          <c:dPt>
            <c:idx val="1"/>
            <c:spPr>
              <a:solidFill>
                <a:srgbClr val="2E5C9A"/>
              </a:solidFill>
            </c:spPr>
          </c:dPt>
          <c:dPt>
            <c:idx val="2"/>
            <c:spPr>
              <a:solidFill>
                <a:srgbClr val="0B1F3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Cover!$J$26:$J$28</c:f>
            </c:strRef>
          </c:cat>
          <c:val>
            <c:numRef>
              <c:f>Cover!$K$26:$K$28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0</xdr:rowOff>
    </xdr:from>
    <xdr:ext cx="3467100" cy="2590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34</xdr:row>
      <xdr:rowOff>0</xdr:rowOff>
    </xdr:from>
    <xdr:ext cx="3467100" cy="25908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34</xdr:row>
      <xdr:rowOff>0</xdr:rowOff>
    </xdr:from>
    <xdr:ext cx="3467100" cy="25908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uthern_smiles_dental_gadsden_seo_keyword_research_workbook.xlsx" TargetMode="External"/><Relationship Id="rId2" Type="http://schemas.openxmlformats.org/officeDocument/2006/relationships/hyperlink" Target="http://southern_smiles_dental_gadsden_seo_keyword_research_workbook.xlsx" TargetMode="External"/><Relationship Id="rId3" Type="http://schemas.openxmlformats.org/officeDocument/2006/relationships/hyperlink" Target="http://southern_smiles_dental_gadsden_seo_keyword_research_workbook.xlsx" TargetMode="External"/><Relationship Id="rId4" Type="http://schemas.openxmlformats.org/officeDocument/2006/relationships/hyperlink" Target="http://southern_smiles_dental_gadsden_seo_keyword_research_workbook.xlsx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southern_smiles_dental_gadsden_seo_keyword_research_workbook.xlsx" TargetMode="External"/><Relationship Id="rId9" Type="http://schemas.openxmlformats.org/officeDocument/2006/relationships/hyperlink" Target="http://southern_smiles_dental_gadsden_seo_keyword_research_workbook.xlsx" TargetMode="External"/><Relationship Id="rId5" Type="http://schemas.openxmlformats.org/officeDocument/2006/relationships/hyperlink" Target="http://southern_smiles_dental_gadsden_seo_keyword_research_workbook.xlsx" TargetMode="External"/><Relationship Id="rId6" Type="http://schemas.openxmlformats.org/officeDocument/2006/relationships/hyperlink" Target="http://southern_smiles_dental_gadsden_seo_keyword_research_workbook.xlsx" TargetMode="External"/><Relationship Id="rId7" Type="http://schemas.openxmlformats.org/officeDocument/2006/relationships/hyperlink" Target="http://southern_smiles_dental_gadsden_seo_keyword_research_workbook.xlsx" TargetMode="External"/><Relationship Id="rId8" Type="http://schemas.openxmlformats.org/officeDocument/2006/relationships/hyperlink" Target="http://southern_smiles_dental_gadsden_seo_keyword_research_workbook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3" width="13.0"/>
    <col customWidth="1" min="14" max="14" width="2.0"/>
    <col customWidth="1" min="15" max="26" width="8.71"/>
  </cols>
  <sheetData>
    <row r="1" ht="6.0" customHeight="1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4"/>
    </row>
    <row r="2" ht="33.75" customHeight="1">
      <c r="A2" s="34"/>
      <c r="B2" s="36" t="s">
        <v>250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4"/>
    </row>
    <row r="3" ht="27.75" customHeight="1">
      <c r="A3" s="34"/>
      <c r="B3" s="37" t="s">
        <v>257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4"/>
    </row>
    <row r="4" ht="21.75" customHeight="1">
      <c r="A4" s="34"/>
      <c r="B4" s="38" t="s">
        <v>260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4"/>
    </row>
    <row r="5" ht="6.0" customHeight="1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4"/>
    </row>
    <row r="6">
      <c r="A6" s="34"/>
      <c r="N6" s="34"/>
    </row>
    <row r="7">
      <c r="A7" s="34"/>
      <c r="N7" s="34"/>
    </row>
    <row r="8" ht="6.0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1.75" customHeight="1">
      <c r="A9" s="34"/>
      <c r="B9" s="39" t="s">
        <v>281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34"/>
    </row>
    <row r="10" ht="18.0" customHeight="1">
      <c r="A10" s="34"/>
      <c r="B10" s="41" t="s">
        <v>294</v>
      </c>
      <c r="C10" s="42"/>
      <c r="D10" s="43"/>
      <c r="E10" s="41" t="s">
        <v>306</v>
      </c>
      <c r="F10" s="42"/>
      <c r="G10" s="43"/>
      <c r="H10" s="41" t="s">
        <v>316</v>
      </c>
      <c r="I10" s="42"/>
      <c r="J10" s="43"/>
      <c r="K10" s="41" t="s">
        <v>321</v>
      </c>
      <c r="L10" s="42"/>
      <c r="M10" s="43"/>
      <c r="N10" s="34"/>
    </row>
    <row r="11" ht="33.75" customHeight="1">
      <c r="A11" s="34"/>
      <c r="B11" s="44">
        <f>COUNTA('Keyword Master Database'!$A$2:$A$242)</f>
        <v>241</v>
      </c>
      <c r="C11" s="3"/>
      <c r="D11" s="45"/>
      <c r="E11" s="44">
        <f>COUNTA('Keyword Clusters'!A2:A27)</f>
        <v>26</v>
      </c>
      <c r="F11" s="3"/>
      <c r="G11" s="45"/>
      <c r="H11" s="46">
        <f>SUMIF('Keyword Master Database'!$AA$2:$AA$242,"&lt;&gt;National",'Keyword Master Database'!$H$2:$H$242)</f>
        <v>12550</v>
      </c>
      <c r="I11" s="3"/>
      <c r="J11" s="45"/>
      <c r="K11" s="47" t="str">
        <f>COUNTIF('Keyword Master Database'!$AA$2:$AA$242,"Local")&amp;" / "&amp;COUNTIF('Keyword Master Database'!$AA$2:$AA$242,"Regional")&amp;" / "&amp;COUNTIF('Keyword Master Database'!$AA$2:$AA$242,"National")</f>
        <v>119 / 8 / 114</v>
      </c>
      <c r="L11" s="3"/>
      <c r="M11" s="45"/>
      <c r="N11" s="34"/>
    </row>
    <row r="12" ht="15.75" customHeight="1">
      <c r="A12" s="34"/>
      <c r="B12" s="48" t="s">
        <v>368</v>
      </c>
      <c r="C12" s="49"/>
      <c r="D12" s="50"/>
      <c r="E12" s="48" t="s">
        <v>371</v>
      </c>
      <c r="F12" s="49"/>
      <c r="G12" s="50"/>
      <c r="H12" s="48" t="str">
        <f>"Local + Regional | incl. national: "&amp;TEXT(SUM('Keyword Master Database'!$H$2:$H$242),"#,##0")</f>
        <v>Local + Regional | incl. national: 3,196,210</v>
      </c>
      <c r="I12" s="49"/>
      <c r="J12" s="50"/>
      <c r="K12" s="48" t="s">
        <v>379</v>
      </c>
      <c r="L12" s="49"/>
      <c r="M12" s="50"/>
      <c r="N12" s="34"/>
    </row>
    <row r="13" ht="7.5" customHeight="1">
      <c r="A13" s="34"/>
      <c r="N13" s="34"/>
    </row>
    <row r="14" ht="18.0" customHeight="1">
      <c r="A14" s="34"/>
      <c r="B14" s="41" t="s">
        <v>383</v>
      </c>
      <c r="C14" s="42"/>
      <c r="D14" s="43"/>
      <c r="E14" s="41" t="s">
        <v>385</v>
      </c>
      <c r="F14" s="42"/>
      <c r="G14" s="43"/>
      <c r="H14" s="41" t="s">
        <v>389</v>
      </c>
      <c r="I14" s="42"/>
      <c r="J14" s="43"/>
      <c r="K14" s="41" t="s">
        <v>393</v>
      </c>
      <c r="L14" s="42"/>
      <c r="M14" s="43"/>
      <c r="N14" s="34"/>
    </row>
    <row r="15" ht="33.75" customHeight="1">
      <c r="A15" s="34"/>
      <c r="B15" s="51">
        <f>ROUND(AVERAGE('Keyword Master Database'!$J$2:$J$242),1)</f>
        <v>30.5</v>
      </c>
      <c r="C15" s="3"/>
      <c r="D15" s="45"/>
      <c r="E15" s="44">
        <f>COUNTIF('Keyword Master Database'!$W$2:$W$242,"Critical")+COUNTIF('Keyword Master Database'!$W$2:$W$242,"High")</f>
        <v>102</v>
      </c>
      <c r="F15" s="3"/>
      <c r="G15" s="45"/>
      <c r="H15" s="44">
        <f>COUNTA('Keyword Mapping'!A2:A71)</f>
        <v>70</v>
      </c>
      <c r="I15" s="3"/>
      <c r="J15" s="45"/>
      <c r="K15" s="44">
        <f>COUNTIF('Keyword Mapping'!G2:G71,"New")</f>
        <v>67</v>
      </c>
      <c r="L15" s="3"/>
      <c r="M15" s="45"/>
      <c r="N15" s="34"/>
    </row>
    <row r="16" ht="15.75" customHeight="1">
      <c r="A16" s="34"/>
      <c r="B16" s="48" t="s">
        <v>401</v>
      </c>
      <c r="C16" s="49"/>
      <c r="D16" s="50"/>
      <c r="E16" s="48" t="s">
        <v>403</v>
      </c>
      <c r="F16" s="49"/>
      <c r="G16" s="50"/>
      <c r="H16" s="48" t="s">
        <v>406</v>
      </c>
      <c r="I16" s="49"/>
      <c r="J16" s="50"/>
      <c r="K16" s="48" t="s">
        <v>410</v>
      </c>
      <c r="L16" s="49"/>
      <c r="M16" s="50"/>
      <c r="N16" s="34"/>
    </row>
    <row r="17" ht="7.5" customHeight="1">
      <c r="A17" s="34"/>
      <c r="N17" s="34"/>
    </row>
    <row r="18" ht="18.0" customHeight="1">
      <c r="A18" s="34"/>
      <c r="B18" s="41" t="s">
        <v>413</v>
      </c>
      <c r="C18" s="42"/>
      <c r="D18" s="43"/>
      <c r="E18" s="41" t="s">
        <v>414</v>
      </c>
      <c r="F18" s="42"/>
      <c r="G18" s="43"/>
      <c r="H18" s="41" t="s">
        <v>415</v>
      </c>
      <c r="I18" s="42"/>
      <c r="J18" s="43"/>
      <c r="K18" s="41" t="s">
        <v>416</v>
      </c>
      <c r="L18" s="42"/>
      <c r="M18" s="43"/>
      <c r="N18" s="34"/>
    </row>
    <row r="19" ht="33.75" customHeight="1">
      <c r="A19" s="34"/>
      <c r="B19" s="44">
        <f>COUNTA('Internal Linking Blueprint'!A2:A296)</f>
        <v>295</v>
      </c>
      <c r="C19" s="3"/>
      <c r="D19" s="45"/>
      <c r="E19" s="44">
        <f>COUNTA('Content Roadmap'!D2:D71)</f>
        <v>70</v>
      </c>
      <c r="F19" s="3"/>
      <c r="G19" s="45"/>
      <c r="H19" s="44">
        <f>ROUND(AVERAGE('Keyword Master Database'!$V$2:$V$242),0)</f>
        <v>65</v>
      </c>
      <c r="I19" s="3"/>
      <c r="J19" s="45"/>
      <c r="K19" s="44">
        <f>COUNTA('Quick Wins'!A2:A19)</f>
        <v>18</v>
      </c>
      <c r="L19" s="3"/>
      <c r="M19" s="45"/>
      <c r="N19" s="34"/>
    </row>
    <row r="20" ht="15.75" customHeight="1">
      <c r="A20" s="34"/>
      <c r="B20" s="48" t="s">
        <v>422</v>
      </c>
      <c r="C20" s="49"/>
      <c r="D20" s="50"/>
      <c r="E20" s="48" t="s">
        <v>423</v>
      </c>
      <c r="F20" s="49"/>
      <c r="G20" s="50"/>
      <c r="H20" s="48" t="s">
        <v>424</v>
      </c>
      <c r="I20" s="49"/>
      <c r="J20" s="50"/>
      <c r="K20" s="48" t="s">
        <v>425</v>
      </c>
      <c r="L20" s="49"/>
      <c r="M20" s="50"/>
      <c r="N20" s="34"/>
    </row>
    <row r="21" ht="7.5" customHeight="1">
      <c r="A21" s="34"/>
      <c r="N21" s="34"/>
    </row>
    <row r="22" ht="15.75" customHeight="1">
      <c r="A22" s="34"/>
      <c r="N22" s="34"/>
    </row>
    <row r="23" ht="15.75" customHeight="1">
      <c r="A23" s="34"/>
      <c r="N23" s="34"/>
    </row>
    <row r="24" ht="21.75" customHeight="1">
      <c r="A24" s="34"/>
      <c r="B24" s="52" t="s">
        <v>432</v>
      </c>
      <c r="N24" s="34"/>
    </row>
    <row r="25" ht="19.5" customHeight="1">
      <c r="A25" s="34"/>
      <c r="B25" s="53" t="s">
        <v>27</v>
      </c>
      <c r="C25" s="53" t="s">
        <v>433</v>
      </c>
      <c r="D25" s="53" t="s">
        <v>434</v>
      </c>
      <c r="E25" s="53" t="s">
        <v>64</v>
      </c>
      <c r="F25" s="53" t="s">
        <v>433</v>
      </c>
      <c r="G25" s="54" t="s">
        <v>434</v>
      </c>
      <c r="H25" s="55"/>
      <c r="I25" s="54" t="s">
        <v>9</v>
      </c>
      <c r="J25" s="55"/>
      <c r="K25" s="53" t="s">
        <v>433</v>
      </c>
      <c r="L25" s="53" t="s">
        <v>434</v>
      </c>
      <c r="M25" s="53" t="s">
        <v>435</v>
      </c>
      <c r="N25" s="34"/>
    </row>
    <row r="26" ht="15.75" customHeight="1">
      <c r="A26" s="34"/>
      <c r="B26" s="12" t="s">
        <v>209</v>
      </c>
      <c r="C26" s="11">
        <f>COUNTIF('Keyword Master Database'!$E$2:$E$242,B26)</f>
        <v>47</v>
      </c>
      <c r="D26" s="56">
        <f>IF(SUM(C26:C29)=0,0,C26/SUM(C26:C29))</f>
        <v>0.1950207469</v>
      </c>
      <c r="E26" s="12" t="s">
        <v>89</v>
      </c>
      <c r="F26" s="11">
        <f>COUNTIF('Keyword Master Database'!$W$2:$W$242,E26)</f>
        <v>13</v>
      </c>
      <c r="G26" s="57">
        <f>IF(SUM(F26:F29)=0,0,F26/SUM(F26:F29))</f>
        <v>0.06018518519</v>
      </c>
      <c r="H26" s="55"/>
      <c r="I26" s="58" t="s">
        <v>210</v>
      </c>
      <c r="J26" s="55"/>
      <c r="K26" s="11">
        <f>COUNTIF('Keyword Master Database'!$F$2:$F$242,I26)</f>
        <v>43</v>
      </c>
      <c r="L26" s="56">
        <f>IF(SUM(K26:K28)=0,0,K26/SUM(K26:K28))</f>
        <v>0.1784232365</v>
      </c>
      <c r="M26" s="27"/>
      <c r="N26" s="34"/>
    </row>
    <row r="27" ht="15.75" customHeight="1">
      <c r="A27" s="34"/>
      <c r="B27" s="30" t="s">
        <v>365</v>
      </c>
      <c r="C27" s="20">
        <f>COUNTIF('Keyword Master Database'!$E$2:$E$242,B27)</f>
        <v>15</v>
      </c>
      <c r="D27" s="59">
        <f>IF(SUM(C26:C29)=0,0,C27/SUM(C26:C29))</f>
        <v>0.0622406639</v>
      </c>
      <c r="E27" s="30" t="s">
        <v>94</v>
      </c>
      <c r="F27" s="20">
        <f>COUNTIF('Keyword Master Database'!$W$2:$W$242,E27)</f>
        <v>89</v>
      </c>
      <c r="G27" s="60">
        <f>IF(SUM(F26:F29)=0,0,F27/SUM(F26:F29))</f>
        <v>0.412037037</v>
      </c>
      <c r="H27" s="55"/>
      <c r="I27" s="61" t="s">
        <v>131</v>
      </c>
      <c r="J27" s="55"/>
      <c r="K27" s="20">
        <f>COUNTIF('Keyword Master Database'!$F$2:$F$242,I27)</f>
        <v>75</v>
      </c>
      <c r="L27" s="59">
        <f>IF(SUM(K26:K28)=0,0,K27/SUM(K26:K28))</f>
        <v>0.3112033195</v>
      </c>
      <c r="M27" s="27"/>
      <c r="N27" s="34"/>
    </row>
    <row r="28" ht="15.75" customHeight="1">
      <c r="A28" s="34"/>
      <c r="B28" s="12" t="s">
        <v>130</v>
      </c>
      <c r="C28" s="11">
        <f>COUNTIF('Keyword Master Database'!$E$2:$E$242,B28)</f>
        <v>69</v>
      </c>
      <c r="D28" s="56">
        <f>IF(SUM(C26:C29)=0,0,C28/SUM(C26:C29))</f>
        <v>0.2863070539</v>
      </c>
      <c r="E28" s="12" t="s">
        <v>114</v>
      </c>
      <c r="F28" s="11">
        <f>COUNTIF('Keyword Master Database'!$W$2:$W$242,E28)</f>
        <v>30</v>
      </c>
      <c r="G28" s="57">
        <f>IF(SUM(F26:F29)=0,0,F28/SUM(F26:F29))</f>
        <v>0.1388888889</v>
      </c>
      <c r="H28" s="55"/>
      <c r="I28" s="58" t="s">
        <v>31</v>
      </c>
      <c r="J28" s="55"/>
      <c r="K28" s="11">
        <f>COUNTIF('Keyword Master Database'!$F$2:$F$242,I28)</f>
        <v>123</v>
      </c>
      <c r="L28" s="56">
        <f>IF(SUM(K26:K28)=0,0,K28/SUM(K26:K28))</f>
        <v>0.510373444</v>
      </c>
      <c r="M28" s="27"/>
      <c r="N28" s="34"/>
    </row>
    <row r="29" ht="15.75" customHeight="1">
      <c r="A29" s="34"/>
      <c r="B29" s="30" t="s">
        <v>29</v>
      </c>
      <c r="C29" s="20">
        <f>COUNTIF('Keyword Master Database'!$E$2:$E$242,B29)</f>
        <v>110</v>
      </c>
      <c r="D29" s="59">
        <f>IF(SUM(C26:C29)=0,0,C29/SUM(C26:C29))</f>
        <v>0.4564315353</v>
      </c>
      <c r="E29" s="30" t="s">
        <v>170</v>
      </c>
      <c r="F29" s="20">
        <f>COUNTIF('Keyword Master Database'!$W$2:$W$242,E29)</f>
        <v>84</v>
      </c>
      <c r="G29" s="60">
        <f>IF(SUM(F26:F29)=0,0,F29/SUM(F26:F29))</f>
        <v>0.3888888889</v>
      </c>
      <c r="H29" s="55"/>
      <c r="I29" s="27"/>
      <c r="J29" s="27"/>
      <c r="K29" s="27"/>
      <c r="L29" s="27"/>
      <c r="M29" s="27"/>
      <c r="N29" s="34"/>
    </row>
    <row r="30" ht="15.75" customHeight="1">
      <c r="A30" s="34"/>
      <c r="N30" s="34"/>
    </row>
    <row r="31" ht="15.75" customHeight="1">
      <c r="A31" s="34"/>
      <c r="N31" s="34"/>
    </row>
    <row r="32" ht="15.75" customHeight="1">
      <c r="A32" s="34"/>
      <c r="N32" s="34"/>
    </row>
    <row r="33" ht="15.75" customHeight="1">
      <c r="A33" s="34"/>
      <c r="B33" s="62" t="s">
        <v>519</v>
      </c>
      <c r="N33" s="34"/>
    </row>
    <row r="34" ht="6.0" customHeight="1">
      <c r="A34" s="34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34"/>
    </row>
    <row r="35" ht="15.0" customHeight="1">
      <c r="A35" s="34"/>
      <c r="N35" s="34"/>
    </row>
    <row r="36" ht="15.0" customHeight="1">
      <c r="A36" s="34"/>
      <c r="N36" s="34"/>
    </row>
    <row r="37" ht="15.0" customHeight="1">
      <c r="A37" s="34"/>
      <c r="N37" s="34"/>
    </row>
    <row r="38" ht="15.0" customHeight="1">
      <c r="A38" s="34"/>
      <c r="N38" s="34"/>
    </row>
    <row r="39" ht="15.0" customHeight="1">
      <c r="A39" s="34"/>
      <c r="N39" s="34"/>
    </row>
    <row r="40" ht="15.0" customHeight="1">
      <c r="A40" s="34"/>
      <c r="N40" s="34"/>
    </row>
    <row r="41" ht="15.0" customHeight="1">
      <c r="A41" s="34"/>
      <c r="N41" s="34"/>
    </row>
    <row r="42" ht="15.0" customHeight="1">
      <c r="A42" s="34"/>
      <c r="N42" s="34"/>
    </row>
    <row r="43" ht="15.0" customHeight="1">
      <c r="A43" s="34"/>
      <c r="N43" s="34"/>
    </row>
    <row r="44" ht="15.0" customHeight="1">
      <c r="A44" s="34"/>
      <c r="N44" s="34"/>
    </row>
    <row r="45" ht="15.0" customHeight="1">
      <c r="A45" s="34"/>
      <c r="N45" s="34"/>
    </row>
    <row r="46" ht="15.0" customHeight="1">
      <c r="A46" s="34"/>
      <c r="N46" s="34"/>
    </row>
    <row r="47" ht="15.0" customHeight="1">
      <c r="A47" s="34"/>
      <c r="N47" s="34"/>
    </row>
    <row r="48" ht="15.0" customHeight="1">
      <c r="A48" s="34"/>
      <c r="N48" s="34"/>
    </row>
    <row r="49" ht="15.0" customHeight="1">
      <c r="A49" s="34"/>
      <c r="N49" s="34"/>
    </row>
    <row r="50" ht="15.0" customHeight="1">
      <c r="A50" s="34"/>
      <c r="N50" s="34"/>
    </row>
    <row r="51" ht="15.75" customHeight="1">
      <c r="A51" s="34"/>
      <c r="N51" s="34"/>
    </row>
    <row r="52" ht="21.75" customHeight="1">
      <c r="A52" s="34"/>
      <c r="B52" s="52" t="s">
        <v>524</v>
      </c>
      <c r="N52" s="34"/>
    </row>
    <row r="53" ht="15.75" customHeight="1">
      <c r="A53" s="34"/>
      <c r="B53" s="54" t="s">
        <v>525</v>
      </c>
      <c r="C53" s="63"/>
      <c r="D53" s="63"/>
      <c r="E53" s="55"/>
      <c r="F53" s="54" t="s">
        <v>526</v>
      </c>
      <c r="G53" s="63"/>
      <c r="H53" s="63"/>
      <c r="I53" s="63"/>
      <c r="J53" s="63"/>
      <c r="K53" s="63"/>
      <c r="L53" s="63"/>
      <c r="M53" s="55"/>
      <c r="N53" s="34"/>
    </row>
    <row r="54" ht="19.5" customHeight="1">
      <c r="A54" s="34"/>
      <c r="B54" s="64" t="s">
        <v>532</v>
      </c>
      <c r="C54" s="63"/>
      <c r="D54" s="63"/>
      <c r="E54" s="55"/>
      <c r="F54" s="65" t="s">
        <v>538</v>
      </c>
      <c r="G54" s="63"/>
      <c r="H54" s="63"/>
      <c r="I54" s="63"/>
      <c r="J54" s="63"/>
      <c r="K54" s="63"/>
      <c r="L54" s="63"/>
      <c r="M54" s="55"/>
      <c r="N54" s="34"/>
    </row>
    <row r="55" ht="19.5" customHeight="1">
      <c r="A55" s="34"/>
      <c r="B55" s="66" t="s">
        <v>539</v>
      </c>
      <c r="C55" s="63"/>
      <c r="D55" s="63"/>
      <c r="E55" s="55"/>
      <c r="F55" s="67" t="s">
        <v>540</v>
      </c>
      <c r="G55" s="63"/>
      <c r="H55" s="63"/>
      <c r="I55" s="63"/>
      <c r="J55" s="63"/>
      <c r="K55" s="63"/>
      <c r="L55" s="63"/>
      <c r="M55" s="55"/>
      <c r="N55" s="34"/>
    </row>
    <row r="56" ht="19.5" customHeight="1">
      <c r="A56" s="34"/>
      <c r="B56" s="64" t="s">
        <v>541</v>
      </c>
      <c r="C56" s="63"/>
      <c r="D56" s="63"/>
      <c r="E56" s="55"/>
      <c r="F56" s="65" t="s">
        <v>546</v>
      </c>
      <c r="G56" s="63"/>
      <c r="H56" s="63"/>
      <c r="I56" s="63"/>
      <c r="J56" s="63"/>
      <c r="K56" s="63"/>
      <c r="L56" s="63"/>
      <c r="M56" s="55"/>
      <c r="N56" s="34"/>
    </row>
    <row r="57" ht="19.5" customHeight="1">
      <c r="A57" s="34"/>
      <c r="B57" s="66" t="s">
        <v>555</v>
      </c>
      <c r="C57" s="63"/>
      <c r="D57" s="63"/>
      <c r="E57" s="55"/>
      <c r="F57" s="67" t="s">
        <v>560</v>
      </c>
      <c r="G57" s="63"/>
      <c r="H57" s="63"/>
      <c r="I57" s="63"/>
      <c r="J57" s="63"/>
      <c r="K57" s="63"/>
      <c r="L57" s="63"/>
      <c r="M57" s="55"/>
      <c r="N57" s="34"/>
    </row>
    <row r="58" ht="19.5" customHeight="1">
      <c r="A58" s="34"/>
      <c r="B58" s="64" t="s">
        <v>568</v>
      </c>
      <c r="C58" s="63"/>
      <c r="D58" s="63"/>
      <c r="E58" s="55"/>
      <c r="F58" s="65" t="s">
        <v>586</v>
      </c>
      <c r="G58" s="63"/>
      <c r="H58" s="63"/>
      <c r="I58" s="63"/>
      <c r="J58" s="63"/>
      <c r="K58" s="63"/>
      <c r="L58" s="63"/>
      <c r="M58" s="55"/>
      <c r="N58" s="34"/>
    </row>
    <row r="59" ht="19.5" customHeight="1">
      <c r="A59" s="34"/>
      <c r="B59" s="66" t="s">
        <v>594</v>
      </c>
      <c r="C59" s="63"/>
      <c r="D59" s="63"/>
      <c r="E59" s="55"/>
      <c r="F59" s="67" t="s">
        <v>596</v>
      </c>
      <c r="G59" s="63"/>
      <c r="H59" s="63"/>
      <c r="I59" s="63"/>
      <c r="J59" s="63"/>
      <c r="K59" s="63"/>
      <c r="L59" s="63"/>
      <c r="M59" s="55"/>
      <c r="N59" s="34"/>
    </row>
    <row r="60" ht="19.5" customHeight="1">
      <c r="A60" s="34"/>
      <c r="B60" s="64" t="s">
        <v>598</v>
      </c>
      <c r="C60" s="63"/>
      <c r="D60" s="63"/>
      <c r="E60" s="55"/>
      <c r="F60" s="65" t="s">
        <v>599</v>
      </c>
      <c r="G60" s="63"/>
      <c r="H60" s="63"/>
      <c r="I60" s="63"/>
      <c r="J60" s="63"/>
      <c r="K60" s="63"/>
      <c r="L60" s="63"/>
      <c r="M60" s="55"/>
      <c r="N60" s="34"/>
    </row>
    <row r="61" ht="19.5" customHeight="1">
      <c r="A61" s="34"/>
      <c r="B61" s="66" t="s">
        <v>600</v>
      </c>
      <c r="C61" s="63"/>
      <c r="D61" s="63"/>
      <c r="E61" s="55"/>
      <c r="F61" s="67" t="s">
        <v>602</v>
      </c>
      <c r="G61" s="63"/>
      <c r="H61" s="63"/>
      <c r="I61" s="63"/>
      <c r="J61" s="63"/>
      <c r="K61" s="63"/>
      <c r="L61" s="63"/>
      <c r="M61" s="55"/>
      <c r="N61" s="34"/>
    </row>
    <row r="62" ht="19.5" customHeight="1">
      <c r="A62" s="34"/>
      <c r="B62" s="64" t="s">
        <v>603</v>
      </c>
      <c r="C62" s="63"/>
      <c r="D62" s="63"/>
      <c r="E62" s="55"/>
      <c r="F62" s="65" t="s">
        <v>605</v>
      </c>
      <c r="G62" s="63"/>
      <c r="H62" s="63"/>
      <c r="I62" s="63"/>
      <c r="J62" s="63"/>
      <c r="K62" s="63"/>
      <c r="L62" s="63"/>
      <c r="M62" s="55"/>
      <c r="N62" s="34"/>
    </row>
    <row r="63" ht="19.5" customHeight="1">
      <c r="A63" s="34"/>
      <c r="B63" s="66" t="s">
        <v>606</v>
      </c>
      <c r="C63" s="63"/>
      <c r="D63" s="63"/>
      <c r="E63" s="55"/>
      <c r="F63" s="67" t="s">
        <v>607</v>
      </c>
      <c r="G63" s="63"/>
      <c r="H63" s="63"/>
      <c r="I63" s="63"/>
      <c r="J63" s="63"/>
      <c r="K63" s="63"/>
      <c r="L63" s="63"/>
      <c r="M63" s="55"/>
      <c r="N63" s="34"/>
    </row>
    <row r="64" ht="15.75" customHeight="1">
      <c r="A64" s="34"/>
      <c r="N64" s="34"/>
    </row>
    <row r="65" ht="15.75" customHeight="1">
      <c r="A65" s="34"/>
      <c r="N65" s="34"/>
    </row>
    <row r="66" ht="15.75" customHeight="1">
      <c r="A66" s="34"/>
      <c r="N66" s="34"/>
    </row>
    <row r="67" ht="15.75" customHeight="1">
      <c r="A67" s="34"/>
      <c r="N67" s="34"/>
    </row>
    <row r="68" ht="15.75" customHeight="1">
      <c r="A68" s="34"/>
      <c r="N68" s="34"/>
    </row>
    <row r="69" ht="15.75" customHeight="1">
      <c r="A69" s="34"/>
      <c r="N69" s="34"/>
    </row>
    <row r="70" ht="15.75" customHeight="1">
      <c r="A70" s="34"/>
      <c r="N70" s="34"/>
    </row>
    <row r="71" ht="15.75" customHeight="1">
      <c r="A71" s="34"/>
      <c r="N71" s="34"/>
    </row>
    <row r="72" ht="15.75" customHeight="1">
      <c r="A72" s="34"/>
      <c r="N72" s="34"/>
    </row>
    <row r="73" ht="15.75" customHeight="1">
      <c r="A73" s="34"/>
      <c r="N73" s="34"/>
    </row>
    <row r="74" ht="15.75" customHeight="1">
      <c r="A74" s="34"/>
      <c r="N74" s="34"/>
    </row>
    <row r="75" ht="15.75" customHeight="1">
      <c r="A75" s="34"/>
      <c r="N75" s="34"/>
    </row>
    <row r="76" ht="15.75" customHeight="1">
      <c r="A76" s="34"/>
      <c r="N76" s="34"/>
    </row>
    <row r="77" ht="15.75" customHeight="1">
      <c r="A77" s="34"/>
      <c r="N77" s="34"/>
    </row>
    <row r="78" ht="15.75" customHeight="1">
      <c r="A78" s="34"/>
      <c r="N78" s="34"/>
    </row>
    <row r="79" ht="15.75" customHeight="1">
      <c r="A79" s="34"/>
      <c r="N79" s="34"/>
    </row>
    <row r="80" ht="15.75" customHeight="1">
      <c r="A80" s="34"/>
      <c r="N80" s="34"/>
    </row>
    <row r="81" ht="15.75" customHeight="1">
      <c r="A81" s="34"/>
      <c r="N81" s="34"/>
    </row>
    <row r="82" ht="15.75" customHeight="1">
      <c r="A82" s="34"/>
      <c r="N82" s="34"/>
    </row>
    <row r="83" ht="15.75" customHeight="1">
      <c r="A83" s="34"/>
      <c r="N83" s="34"/>
    </row>
    <row r="84" ht="15.75" customHeight="1">
      <c r="A84" s="34"/>
      <c r="N84" s="34"/>
    </row>
    <row r="85" ht="15.75" customHeight="1">
      <c r="A85" s="34"/>
      <c r="N85" s="34"/>
    </row>
    <row r="86" ht="15.75" customHeight="1">
      <c r="A86" s="34"/>
      <c r="N86" s="34"/>
    </row>
    <row r="87" ht="15.75" customHeight="1">
      <c r="A87" s="34"/>
      <c r="N87" s="34"/>
    </row>
    <row r="88" ht="15.75" customHeight="1">
      <c r="A88" s="34"/>
      <c r="N88" s="34"/>
    </row>
    <row r="89" ht="15.75" customHeight="1">
      <c r="A89" s="34"/>
      <c r="N89" s="34"/>
    </row>
    <row r="90" ht="15.75" customHeight="1">
      <c r="A90" s="34"/>
      <c r="N90" s="34"/>
    </row>
    <row r="91" ht="15.75" customHeight="1">
      <c r="A91" s="34"/>
      <c r="N91" s="34"/>
    </row>
    <row r="92" ht="15.75" customHeight="1">
      <c r="A92" s="34"/>
      <c r="N92" s="34"/>
    </row>
    <row r="93" ht="15.75" customHeight="1">
      <c r="A93" s="34"/>
      <c r="N93" s="34"/>
    </row>
    <row r="94" ht="15.75" customHeight="1">
      <c r="A94" s="34"/>
      <c r="N94" s="34"/>
    </row>
    <row r="95" ht="15.75" customHeight="1">
      <c r="A95" s="34"/>
      <c r="N95" s="34"/>
    </row>
    <row r="96" ht="15.75" customHeight="1">
      <c r="A96" s="34"/>
      <c r="N96" s="34"/>
    </row>
    <row r="97" ht="15.75" customHeight="1">
      <c r="A97" s="34"/>
      <c r="N97" s="34"/>
    </row>
    <row r="98" ht="15.75" customHeight="1">
      <c r="A98" s="34"/>
      <c r="N98" s="34"/>
    </row>
    <row r="99" ht="15.75" customHeight="1">
      <c r="A99" s="34"/>
      <c r="N99" s="34"/>
    </row>
    <row r="100" ht="15.75" customHeight="1">
      <c r="A100" s="34"/>
      <c r="N100" s="34"/>
    </row>
    <row r="101" ht="15.75" customHeight="1">
      <c r="A101" s="34"/>
      <c r="N101" s="34"/>
    </row>
    <row r="102" ht="15.75" customHeight="1">
      <c r="A102" s="34"/>
      <c r="N102" s="34"/>
    </row>
    <row r="103" ht="15.75" customHeight="1">
      <c r="A103" s="34"/>
      <c r="N103" s="34"/>
    </row>
    <row r="104" ht="15.75" customHeight="1">
      <c r="A104" s="34"/>
      <c r="N104" s="34"/>
    </row>
    <row r="105" ht="15.75" customHeight="1">
      <c r="A105" s="34"/>
      <c r="N105" s="34"/>
    </row>
    <row r="106" ht="15.75" customHeight="1">
      <c r="A106" s="34"/>
      <c r="N106" s="34"/>
    </row>
    <row r="107" ht="15.75" customHeight="1">
      <c r="A107" s="34"/>
      <c r="N107" s="34"/>
    </row>
    <row r="108" ht="15.75" customHeight="1">
      <c r="A108" s="34"/>
      <c r="N108" s="34"/>
    </row>
    <row r="109" ht="15.75" customHeight="1">
      <c r="A109" s="34"/>
      <c r="N109" s="34"/>
    </row>
    <row r="110" ht="15.75" customHeight="1">
      <c r="A110" s="34"/>
      <c r="N110" s="34"/>
    </row>
    <row r="111" ht="15.75" customHeight="1">
      <c r="A111" s="34"/>
      <c r="N111" s="34"/>
    </row>
    <row r="112" ht="15.75" customHeight="1">
      <c r="A112" s="34"/>
      <c r="N112" s="34"/>
    </row>
    <row r="113" ht="15.75" customHeight="1">
      <c r="A113" s="34"/>
      <c r="N113" s="34"/>
    </row>
    <row r="114" ht="15.75" customHeight="1">
      <c r="A114" s="34"/>
      <c r="N114" s="34"/>
    </row>
    <row r="115" ht="15.75" customHeight="1">
      <c r="A115" s="34"/>
      <c r="N115" s="34"/>
    </row>
    <row r="116" ht="15.75" customHeight="1">
      <c r="A116" s="34"/>
      <c r="N116" s="34"/>
    </row>
    <row r="117" ht="15.75" customHeight="1">
      <c r="A117" s="34"/>
      <c r="N117" s="34"/>
    </row>
    <row r="118" ht="15.75" customHeight="1">
      <c r="A118" s="34"/>
      <c r="N118" s="34"/>
    </row>
    <row r="119" ht="15.75" customHeight="1">
      <c r="A119" s="34"/>
      <c r="N119" s="34"/>
    </row>
    <row r="120" ht="15.75" customHeight="1">
      <c r="A120" s="34"/>
      <c r="N120" s="34"/>
    </row>
    <row r="121" ht="15.75" customHeight="1">
      <c r="A121" s="34"/>
      <c r="N121" s="34"/>
    </row>
    <row r="122" ht="15.75" customHeight="1">
      <c r="A122" s="34"/>
      <c r="N122" s="34"/>
    </row>
    <row r="123" ht="15.75" customHeight="1">
      <c r="A123" s="34"/>
      <c r="N123" s="34"/>
    </row>
    <row r="124" ht="15.75" customHeight="1">
      <c r="A124" s="34"/>
      <c r="N124" s="34"/>
    </row>
    <row r="125" ht="15.75" customHeight="1">
      <c r="A125" s="34"/>
      <c r="N125" s="34"/>
    </row>
    <row r="126" ht="15.75" customHeight="1">
      <c r="A126" s="34"/>
      <c r="N126" s="34"/>
    </row>
    <row r="127" ht="15.75" customHeight="1">
      <c r="A127" s="34"/>
      <c r="N127" s="34"/>
    </row>
    <row r="128" ht="15.75" customHeight="1">
      <c r="A128" s="34"/>
      <c r="N128" s="34"/>
    </row>
    <row r="129" ht="15.75" customHeight="1">
      <c r="A129" s="34"/>
      <c r="N129" s="34"/>
    </row>
    <row r="130" ht="15.75" customHeight="1">
      <c r="A130" s="34"/>
      <c r="N130" s="34"/>
    </row>
    <row r="131" ht="15.75" customHeight="1">
      <c r="A131" s="34"/>
      <c r="N131" s="34"/>
    </row>
    <row r="132" ht="15.75" customHeight="1">
      <c r="A132" s="34"/>
      <c r="N132" s="34"/>
    </row>
    <row r="133" ht="15.75" customHeight="1">
      <c r="A133" s="34"/>
      <c r="N133" s="34"/>
    </row>
    <row r="134" ht="15.75" customHeight="1">
      <c r="A134" s="34"/>
      <c r="N134" s="34"/>
    </row>
    <row r="135" ht="15.75" customHeight="1">
      <c r="A135" s="34"/>
      <c r="N135" s="34"/>
    </row>
    <row r="136" ht="15.75" customHeight="1">
      <c r="A136" s="34"/>
      <c r="N136" s="34"/>
    </row>
    <row r="137" ht="15.75" customHeight="1">
      <c r="A137" s="34"/>
      <c r="N137" s="34"/>
    </row>
    <row r="138" ht="15.75" customHeight="1">
      <c r="A138" s="34"/>
      <c r="N138" s="34"/>
    </row>
    <row r="139" ht="15.75" customHeight="1">
      <c r="A139" s="34"/>
      <c r="N139" s="34"/>
    </row>
    <row r="140" ht="15.75" customHeight="1">
      <c r="A140" s="34"/>
      <c r="N140" s="34"/>
    </row>
    <row r="141" ht="15.75" customHeight="1">
      <c r="A141" s="34"/>
      <c r="N141" s="34"/>
    </row>
    <row r="142" ht="15.75" customHeight="1">
      <c r="A142" s="34"/>
      <c r="N142" s="34"/>
    </row>
    <row r="143" ht="15.75" customHeight="1">
      <c r="A143" s="34"/>
      <c r="N143" s="34"/>
    </row>
    <row r="144" ht="15.75" customHeight="1">
      <c r="A144" s="34"/>
      <c r="N144" s="34"/>
    </row>
    <row r="145" ht="15.75" customHeight="1">
      <c r="A145" s="34"/>
      <c r="N145" s="34"/>
    </row>
    <row r="146" ht="15.75" customHeight="1">
      <c r="A146" s="34"/>
      <c r="N146" s="34"/>
    </row>
    <row r="147" ht="15.75" customHeight="1">
      <c r="A147" s="34"/>
      <c r="N147" s="34"/>
    </row>
    <row r="148" ht="15.75" customHeight="1">
      <c r="A148" s="34"/>
      <c r="N148" s="34"/>
    </row>
    <row r="149" ht="15.75" customHeight="1">
      <c r="A149" s="34"/>
      <c r="N149" s="34"/>
    </row>
    <row r="150" ht="15.75" customHeight="1">
      <c r="A150" s="34"/>
      <c r="N150" s="34"/>
    </row>
    <row r="151" ht="15.75" customHeight="1">
      <c r="A151" s="34"/>
      <c r="N151" s="34"/>
    </row>
    <row r="152" ht="15.75" customHeight="1">
      <c r="A152" s="34"/>
      <c r="N152" s="34"/>
    </row>
    <row r="153" ht="15.75" customHeight="1">
      <c r="A153" s="34"/>
      <c r="N153" s="34"/>
    </row>
    <row r="154" ht="15.75" customHeight="1">
      <c r="A154" s="34"/>
      <c r="N154" s="34"/>
    </row>
    <row r="155" ht="15.75" customHeight="1">
      <c r="A155" s="34"/>
      <c r="N155" s="34"/>
    </row>
    <row r="156" ht="15.75" customHeight="1">
      <c r="A156" s="34"/>
      <c r="N156" s="34"/>
    </row>
    <row r="157" ht="15.75" customHeight="1">
      <c r="A157" s="34"/>
      <c r="N157" s="34"/>
    </row>
    <row r="158" ht="15.75" customHeight="1">
      <c r="A158" s="34"/>
      <c r="N158" s="34"/>
    </row>
    <row r="159" ht="15.75" customHeight="1">
      <c r="A159" s="34"/>
      <c r="N159" s="34"/>
    </row>
    <row r="160" ht="15.75" customHeight="1">
      <c r="A160" s="34"/>
      <c r="N160" s="34"/>
    </row>
    <row r="161" ht="15.75" customHeight="1">
      <c r="A161" s="34"/>
      <c r="N161" s="34"/>
    </row>
    <row r="162" ht="15.75" customHeight="1">
      <c r="A162" s="34"/>
      <c r="N162" s="34"/>
    </row>
    <row r="163" ht="15.75" customHeight="1">
      <c r="A163" s="34"/>
      <c r="N163" s="34"/>
    </row>
    <row r="164" ht="15.75" customHeight="1">
      <c r="A164" s="34"/>
      <c r="N164" s="34"/>
    </row>
    <row r="165" ht="15.75" customHeight="1">
      <c r="A165" s="34"/>
      <c r="N165" s="34"/>
    </row>
    <row r="166" ht="15.75" customHeight="1">
      <c r="A166" s="34"/>
      <c r="N166" s="34"/>
    </row>
    <row r="167" ht="15.75" customHeight="1">
      <c r="A167" s="34"/>
      <c r="N167" s="34"/>
    </row>
    <row r="168" ht="15.75" customHeight="1">
      <c r="A168" s="34"/>
      <c r="N168" s="34"/>
    </row>
    <row r="169" ht="15.75" customHeight="1">
      <c r="A169" s="34"/>
      <c r="N169" s="34"/>
    </row>
    <row r="170" ht="15.75" customHeight="1">
      <c r="A170" s="34"/>
      <c r="N170" s="34"/>
    </row>
    <row r="171" ht="15.75" customHeight="1">
      <c r="A171" s="34"/>
      <c r="N171" s="34"/>
    </row>
    <row r="172" ht="15.75" customHeight="1">
      <c r="A172" s="34"/>
      <c r="N172" s="34"/>
    </row>
    <row r="173" ht="15.75" customHeight="1">
      <c r="A173" s="34"/>
      <c r="N173" s="34"/>
    </row>
    <row r="174" ht="15.75" customHeight="1">
      <c r="A174" s="34"/>
      <c r="N174" s="34"/>
    </row>
    <row r="175" ht="15.75" customHeight="1">
      <c r="A175" s="34"/>
      <c r="N175" s="34"/>
    </row>
    <row r="176" ht="15.75" customHeight="1">
      <c r="A176" s="34"/>
      <c r="N176" s="34"/>
    </row>
    <row r="177" ht="15.75" customHeight="1">
      <c r="A177" s="34"/>
      <c r="N177" s="34"/>
    </row>
    <row r="178" ht="15.75" customHeight="1">
      <c r="A178" s="34"/>
      <c r="N178" s="34"/>
    </row>
    <row r="179" ht="15.75" customHeight="1">
      <c r="A179" s="34"/>
      <c r="N179" s="34"/>
    </row>
    <row r="180" ht="15.75" customHeight="1">
      <c r="A180" s="34"/>
      <c r="N180" s="34"/>
    </row>
    <row r="181" ht="15.75" customHeight="1">
      <c r="A181" s="34"/>
      <c r="N181" s="34"/>
    </row>
    <row r="182" ht="15.75" customHeight="1">
      <c r="A182" s="34"/>
      <c r="N182" s="34"/>
    </row>
    <row r="183" ht="15.75" customHeight="1">
      <c r="A183" s="34"/>
      <c r="N183" s="34"/>
    </row>
    <row r="184" ht="15.75" customHeight="1">
      <c r="A184" s="34"/>
      <c r="N184" s="34"/>
    </row>
    <row r="185" ht="15.75" customHeight="1">
      <c r="A185" s="34"/>
      <c r="N185" s="34"/>
    </row>
    <row r="186" ht="15.75" customHeight="1">
      <c r="A186" s="34"/>
      <c r="N186" s="34"/>
    </row>
    <row r="187" ht="15.75" customHeight="1">
      <c r="A187" s="34"/>
      <c r="N187" s="34"/>
    </row>
    <row r="188" ht="15.75" customHeight="1">
      <c r="A188" s="34"/>
      <c r="N188" s="34"/>
    </row>
    <row r="189" ht="15.75" customHeight="1">
      <c r="A189" s="34"/>
      <c r="N189" s="34"/>
    </row>
    <row r="190" ht="15.75" customHeight="1">
      <c r="A190" s="34"/>
      <c r="N190" s="34"/>
    </row>
    <row r="191" ht="15.75" customHeight="1">
      <c r="A191" s="34"/>
      <c r="N191" s="34"/>
    </row>
    <row r="192" ht="15.75" customHeight="1">
      <c r="A192" s="34"/>
      <c r="N192" s="34"/>
    </row>
    <row r="193" ht="15.75" customHeight="1">
      <c r="A193" s="34"/>
      <c r="N193" s="34"/>
    </row>
    <row r="194" ht="15.75" customHeight="1">
      <c r="A194" s="34"/>
      <c r="N194" s="34"/>
    </row>
    <row r="195" ht="15.75" customHeight="1">
      <c r="A195" s="34"/>
      <c r="N195" s="34"/>
    </row>
    <row r="196" ht="15.75" customHeight="1">
      <c r="A196" s="34"/>
      <c r="N196" s="34"/>
    </row>
    <row r="197" ht="15.75" customHeight="1">
      <c r="A197" s="34"/>
      <c r="N197" s="34"/>
    </row>
    <row r="198" ht="15.75" customHeight="1">
      <c r="A198" s="34"/>
      <c r="N198" s="34"/>
    </row>
    <row r="199" ht="15.75" customHeight="1">
      <c r="A199" s="34"/>
      <c r="N199" s="34"/>
    </row>
    <row r="200" ht="15.75" customHeight="1">
      <c r="A200" s="34"/>
      <c r="N200" s="34"/>
    </row>
    <row r="201" ht="15.75" customHeight="1">
      <c r="A201" s="34"/>
      <c r="N201" s="34"/>
    </row>
    <row r="202" ht="15.75" customHeight="1">
      <c r="A202" s="34"/>
      <c r="N202" s="34"/>
    </row>
    <row r="203" ht="15.75" customHeight="1">
      <c r="A203" s="34"/>
      <c r="N203" s="34"/>
    </row>
    <row r="204" ht="15.75" customHeight="1">
      <c r="A204" s="34"/>
      <c r="N204" s="34"/>
    </row>
    <row r="205" ht="15.75" customHeight="1">
      <c r="A205" s="34"/>
      <c r="N205" s="34"/>
    </row>
    <row r="206" ht="15.75" customHeight="1">
      <c r="A206" s="34"/>
      <c r="N206" s="34"/>
    </row>
    <row r="207" ht="15.75" customHeight="1">
      <c r="A207" s="34"/>
      <c r="N207" s="34"/>
    </row>
    <row r="208" ht="15.75" customHeight="1">
      <c r="A208" s="34"/>
      <c r="N208" s="34"/>
    </row>
    <row r="209" ht="15.75" customHeight="1">
      <c r="A209" s="34"/>
      <c r="N209" s="34"/>
    </row>
    <row r="210" ht="15.75" customHeight="1">
      <c r="A210" s="34"/>
      <c r="N210" s="34"/>
    </row>
    <row r="211" ht="15.75" customHeight="1">
      <c r="A211" s="34"/>
      <c r="N211" s="34"/>
    </row>
    <row r="212" ht="15.75" customHeight="1">
      <c r="A212" s="34"/>
      <c r="N212" s="34"/>
    </row>
    <row r="213" ht="15.75" customHeight="1">
      <c r="A213" s="34"/>
      <c r="N213" s="34"/>
    </row>
    <row r="214" ht="15.75" customHeight="1">
      <c r="A214" s="34"/>
      <c r="N214" s="34"/>
    </row>
    <row r="215" ht="15.75" customHeight="1">
      <c r="A215" s="34"/>
      <c r="N215" s="34"/>
    </row>
    <row r="216" ht="15.75" customHeight="1">
      <c r="A216" s="34"/>
      <c r="N216" s="34"/>
    </row>
    <row r="217" ht="15.75" customHeight="1">
      <c r="A217" s="34"/>
      <c r="N217" s="34"/>
    </row>
    <row r="218" ht="15.75" customHeight="1">
      <c r="A218" s="34"/>
      <c r="N218" s="34"/>
    </row>
    <row r="219" ht="15.75" customHeight="1">
      <c r="A219" s="34"/>
      <c r="N219" s="34"/>
    </row>
    <row r="220" ht="15.75" customHeight="1">
      <c r="A220" s="34"/>
      <c r="N220" s="34"/>
    </row>
    <row r="221" ht="15.75" customHeight="1">
      <c r="A221" s="34"/>
      <c r="N221" s="34"/>
    </row>
    <row r="222" ht="15.75" customHeight="1">
      <c r="A222" s="34"/>
      <c r="N222" s="34"/>
    </row>
    <row r="223" ht="15.75" customHeight="1">
      <c r="A223" s="34"/>
      <c r="N223" s="34"/>
    </row>
    <row r="224" ht="15.75" customHeight="1">
      <c r="A224" s="34"/>
      <c r="N224" s="34"/>
    </row>
    <row r="225" ht="15.75" customHeight="1">
      <c r="A225" s="34"/>
      <c r="N225" s="34"/>
    </row>
    <row r="226" ht="15.75" customHeight="1">
      <c r="A226" s="34"/>
      <c r="N226" s="34"/>
    </row>
    <row r="227" ht="15.75" customHeight="1">
      <c r="A227" s="34"/>
      <c r="N227" s="34"/>
    </row>
    <row r="228" ht="15.75" customHeight="1">
      <c r="A228" s="34"/>
      <c r="N228" s="34"/>
    </row>
    <row r="229" ht="15.75" customHeight="1">
      <c r="A229" s="34"/>
      <c r="N229" s="34"/>
    </row>
    <row r="230" ht="15.75" customHeight="1">
      <c r="A230" s="34"/>
      <c r="N230" s="34"/>
    </row>
    <row r="231" ht="15.75" customHeight="1">
      <c r="A231" s="34"/>
      <c r="N231" s="34"/>
    </row>
    <row r="232" ht="15.75" customHeight="1">
      <c r="A232" s="34"/>
      <c r="N232" s="34"/>
    </row>
    <row r="233" ht="15.75" customHeight="1">
      <c r="A233" s="34"/>
      <c r="N233" s="34"/>
    </row>
    <row r="234" ht="15.75" customHeight="1">
      <c r="A234" s="34"/>
      <c r="N234" s="34"/>
    </row>
    <row r="235" ht="15.75" customHeight="1">
      <c r="A235" s="34"/>
      <c r="N235" s="34"/>
    </row>
    <row r="236" ht="15.75" customHeight="1">
      <c r="A236" s="34"/>
      <c r="N236" s="34"/>
    </row>
    <row r="237" ht="15.75" customHeight="1">
      <c r="A237" s="34"/>
      <c r="N237" s="34"/>
    </row>
    <row r="238" ht="15.75" customHeight="1">
      <c r="A238" s="34"/>
      <c r="N238" s="34"/>
    </row>
    <row r="239" ht="15.75" customHeight="1">
      <c r="A239" s="34"/>
      <c r="N239" s="34"/>
    </row>
    <row r="240" ht="15.75" customHeight="1">
      <c r="A240" s="34"/>
      <c r="N240" s="34"/>
    </row>
    <row r="241" ht="15.75" customHeight="1">
      <c r="A241" s="34"/>
      <c r="N241" s="34"/>
    </row>
    <row r="242" ht="15.75" customHeight="1">
      <c r="A242" s="34"/>
      <c r="N242" s="34"/>
    </row>
    <row r="243" ht="15.75" customHeight="1">
      <c r="A243" s="34"/>
      <c r="N243" s="34"/>
    </row>
    <row r="244" ht="15.75" customHeight="1">
      <c r="A244" s="34"/>
      <c r="N244" s="34"/>
    </row>
    <row r="245" ht="15.75" customHeight="1">
      <c r="A245" s="34"/>
      <c r="N245" s="34"/>
    </row>
    <row r="246" ht="15.75" customHeight="1">
      <c r="A246" s="34"/>
      <c r="N246" s="34"/>
    </row>
    <row r="247" ht="15.75" customHeight="1">
      <c r="A247" s="34"/>
      <c r="N247" s="34"/>
    </row>
    <row r="248" ht="15.75" customHeight="1">
      <c r="A248" s="34"/>
      <c r="N248" s="34"/>
    </row>
    <row r="249" ht="15.75" customHeight="1">
      <c r="A249" s="34"/>
      <c r="N249" s="34"/>
    </row>
    <row r="250" ht="15.75" customHeight="1">
      <c r="A250" s="34"/>
      <c r="N250" s="34"/>
    </row>
    <row r="251" ht="15.75" customHeight="1">
      <c r="A251" s="34"/>
      <c r="N251" s="34"/>
    </row>
    <row r="252" ht="15.75" customHeight="1">
      <c r="A252" s="34"/>
      <c r="N252" s="34"/>
    </row>
    <row r="253" ht="15.75" customHeight="1">
      <c r="A253" s="34"/>
      <c r="N253" s="34"/>
    </row>
    <row r="254" ht="15.75" customHeight="1">
      <c r="A254" s="34"/>
      <c r="N254" s="34"/>
    </row>
    <row r="255" ht="15.75" customHeight="1">
      <c r="A255" s="34"/>
      <c r="N255" s="34"/>
    </row>
    <row r="256" ht="15.75" customHeight="1">
      <c r="A256" s="34"/>
      <c r="N256" s="34"/>
    </row>
    <row r="257" ht="15.75" customHeight="1">
      <c r="A257" s="34"/>
      <c r="N257" s="34"/>
    </row>
    <row r="258" ht="15.75" customHeight="1">
      <c r="A258" s="34"/>
      <c r="N258" s="34"/>
    </row>
    <row r="259" ht="15.75" customHeight="1">
      <c r="A259" s="34"/>
      <c r="N259" s="34"/>
    </row>
    <row r="260" ht="15.75" customHeight="1">
      <c r="A260" s="34"/>
      <c r="N260" s="34"/>
    </row>
    <row r="261" ht="15.75" customHeight="1">
      <c r="A261" s="34"/>
      <c r="N261" s="34"/>
    </row>
    <row r="262" ht="15.75" customHeight="1">
      <c r="A262" s="34"/>
      <c r="N262" s="34"/>
    </row>
    <row r="263" ht="15.75" customHeight="1">
      <c r="A263" s="34"/>
      <c r="N263" s="34"/>
    </row>
    <row r="264" ht="15.75" customHeight="1">
      <c r="A264" s="34"/>
      <c r="N264" s="34"/>
    </row>
    <row r="265" ht="15.75" customHeight="1">
      <c r="A265" s="34"/>
      <c r="N265" s="34"/>
    </row>
    <row r="266" ht="15.75" customHeight="1">
      <c r="A266" s="34"/>
      <c r="N266" s="34"/>
    </row>
    <row r="267" ht="15.75" customHeight="1">
      <c r="A267" s="34"/>
      <c r="N267" s="34"/>
    </row>
    <row r="268" ht="15.75" customHeight="1">
      <c r="A268" s="34"/>
      <c r="N268" s="34"/>
    </row>
    <row r="269" ht="15.75" customHeight="1">
      <c r="A269" s="34"/>
      <c r="N269" s="34"/>
    </row>
    <row r="270" ht="15.75" customHeight="1">
      <c r="A270" s="34"/>
      <c r="N270" s="34"/>
    </row>
    <row r="271" ht="15.75" customHeight="1">
      <c r="A271" s="34"/>
      <c r="N271" s="34"/>
    </row>
    <row r="272" ht="15.75" customHeight="1">
      <c r="A272" s="34"/>
      <c r="N272" s="34"/>
    </row>
    <row r="273" ht="15.75" customHeight="1">
      <c r="A273" s="34"/>
      <c r="N273" s="34"/>
    </row>
    <row r="274" ht="15.75" customHeight="1">
      <c r="A274" s="34"/>
      <c r="N274" s="34"/>
    </row>
    <row r="275" ht="15.75" customHeight="1">
      <c r="A275" s="34"/>
      <c r="N275" s="34"/>
    </row>
    <row r="276" ht="15.75" customHeight="1">
      <c r="A276" s="34"/>
      <c r="N276" s="34"/>
    </row>
    <row r="277" ht="15.75" customHeight="1">
      <c r="A277" s="34"/>
      <c r="N277" s="34"/>
    </row>
    <row r="278" ht="15.75" customHeight="1">
      <c r="A278" s="34"/>
      <c r="N278" s="34"/>
    </row>
    <row r="279" ht="15.75" customHeight="1">
      <c r="A279" s="34"/>
      <c r="N279" s="34"/>
    </row>
    <row r="280" ht="15.75" customHeight="1">
      <c r="A280" s="34"/>
      <c r="N280" s="34"/>
    </row>
    <row r="281" ht="15.75" customHeight="1">
      <c r="A281" s="34"/>
      <c r="N281" s="34"/>
    </row>
    <row r="282" ht="15.75" customHeight="1">
      <c r="A282" s="34"/>
      <c r="N282" s="34"/>
    </row>
    <row r="283" ht="15.75" customHeight="1">
      <c r="A283" s="34"/>
      <c r="N283" s="34"/>
    </row>
    <row r="284" ht="15.75" customHeight="1">
      <c r="A284" s="34"/>
      <c r="N284" s="34"/>
    </row>
    <row r="285" ht="15.75" customHeight="1">
      <c r="A285" s="34"/>
      <c r="N285" s="34"/>
    </row>
    <row r="286" ht="15.75" customHeight="1">
      <c r="A286" s="34"/>
      <c r="N286" s="34"/>
    </row>
    <row r="287" ht="15.75" customHeight="1">
      <c r="A287" s="34"/>
      <c r="N287" s="34"/>
    </row>
    <row r="288" ht="15.75" customHeight="1">
      <c r="A288" s="34"/>
      <c r="N288" s="34"/>
    </row>
    <row r="289" ht="15.75" customHeight="1">
      <c r="A289" s="34"/>
      <c r="N289" s="34"/>
    </row>
    <row r="290" ht="15.75" customHeight="1">
      <c r="A290" s="34"/>
      <c r="N290" s="34"/>
    </row>
    <row r="291" ht="15.75" customHeight="1">
      <c r="A291" s="34"/>
      <c r="N291" s="34"/>
    </row>
    <row r="292" ht="15.75" customHeight="1">
      <c r="A292" s="34"/>
      <c r="N292" s="34"/>
    </row>
    <row r="293" ht="15.75" customHeight="1">
      <c r="A293" s="34"/>
      <c r="N293" s="34"/>
    </row>
    <row r="294" ht="15.75" customHeight="1">
      <c r="A294" s="34"/>
      <c r="N294" s="34"/>
    </row>
    <row r="295" ht="15.75" customHeight="1">
      <c r="A295" s="34"/>
      <c r="N295" s="34"/>
    </row>
    <row r="296" ht="15.75" customHeight="1">
      <c r="A296" s="34"/>
      <c r="N296" s="34"/>
    </row>
    <row r="297" ht="15.75" customHeight="1">
      <c r="A297" s="34"/>
      <c r="N297" s="34"/>
    </row>
    <row r="298" ht="15.75" customHeight="1">
      <c r="A298" s="34"/>
      <c r="N298" s="34"/>
    </row>
    <row r="299" ht="15.75" customHeight="1">
      <c r="A299" s="34"/>
      <c r="N299" s="34"/>
    </row>
    <row r="300" ht="15.75" customHeight="1">
      <c r="A300" s="34"/>
      <c r="N300" s="34"/>
    </row>
    <row r="301" ht="15.75" customHeight="1">
      <c r="A301" s="34"/>
      <c r="N301" s="34"/>
    </row>
    <row r="302" ht="15.75" customHeight="1">
      <c r="A302" s="34"/>
      <c r="N302" s="34"/>
    </row>
    <row r="303" ht="15.75" customHeight="1">
      <c r="A303" s="34"/>
      <c r="N303" s="34"/>
    </row>
    <row r="304" ht="15.75" customHeight="1">
      <c r="A304" s="34"/>
      <c r="N304" s="34"/>
    </row>
    <row r="305" ht="15.75" customHeight="1">
      <c r="A305" s="34"/>
      <c r="N305" s="34"/>
    </row>
    <row r="306" ht="15.75" customHeight="1">
      <c r="A306" s="34"/>
      <c r="N306" s="34"/>
    </row>
    <row r="307" ht="15.75" customHeight="1">
      <c r="A307" s="34"/>
      <c r="N307" s="34"/>
    </row>
    <row r="308" ht="15.75" customHeight="1">
      <c r="A308" s="34"/>
      <c r="N308" s="34"/>
    </row>
    <row r="309" ht="15.75" customHeight="1">
      <c r="A309" s="34"/>
      <c r="N309" s="34"/>
    </row>
    <row r="310" ht="15.75" customHeight="1">
      <c r="A310" s="34"/>
      <c r="N310" s="34"/>
    </row>
    <row r="311" ht="15.75" customHeight="1">
      <c r="A311" s="34"/>
      <c r="N311" s="34"/>
    </row>
    <row r="312" ht="15.75" customHeight="1">
      <c r="A312" s="34"/>
      <c r="N312" s="34"/>
    </row>
    <row r="313" ht="15.75" customHeight="1">
      <c r="A313" s="34"/>
      <c r="N313" s="34"/>
    </row>
    <row r="314" ht="15.75" customHeight="1">
      <c r="A314" s="34"/>
      <c r="N314" s="34"/>
    </row>
    <row r="315" ht="15.75" customHeight="1">
      <c r="A315" s="34"/>
      <c r="N315" s="34"/>
    </row>
    <row r="316" ht="15.75" customHeight="1">
      <c r="A316" s="34"/>
      <c r="N316" s="34"/>
    </row>
    <row r="317" ht="15.75" customHeight="1">
      <c r="A317" s="34"/>
      <c r="N317" s="34"/>
    </row>
    <row r="318" ht="15.75" customHeight="1">
      <c r="A318" s="34"/>
      <c r="N318" s="34"/>
    </row>
    <row r="319" ht="15.75" customHeight="1">
      <c r="A319" s="34"/>
      <c r="N319" s="34"/>
    </row>
    <row r="320" ht="15.75" customHeight="1">
      <c r="A320" s="34"/>
      <c r="N320" s="34"/>
    </row>
    <row r="321" ht="15.75" customHeight="1">
      <c r="A321" s="34"/>
      <c r="N321" s="34"/>
    </row>
    <row r="322" ht="15.75" customHeight="1">
      <c r="A322" s="34"/>
      <c r="N322" s="34"/>
    </row>
    <row r="323" ht="15.75" customHeight="1">
      <c r="A323" s="34"/>
      <c r="N323" s="34"/>
    </row>
    <row r="324" ht="15.75" customHeight="1">
      <c r="A324" s="34"/>
      <c r="N324" s="34"/>
    </row>
    <row r="325" ht="15.75" customHeight="1">
      <c r="A325" s="34"/>
      <c r="N325" s="34"/>
    </row>
    <row r="326" ht="15.75" customHeight="1">
      <c r="A326" s="34"/>
      <c r="N326" s="34"/>
    </row>
    <row r="327" ht="15.75" customHeight="1">
      <c r="A327" s="34"/>
      <c r="N327" s="34"/>
    </row>
    <row r="328" ht="15.75" customHeight="1">
      <c r="A328" s="34"/>
      <c r="N328" s="34"/>
    </row>
    <row r="329" ht="15.75" customHeight="1">
      <c r="A329" s="34"/>
      <c r="N329" s="34"/>
    </row>
    <row r="330" ht="15.75" customHeight="1">
      <c r="A330" s="34"/>
      <c r="N330" s="34"/>
    </row>
    <row r="331" ht="15.75" customHeight="1">
      <c r="A331" s="34"/>
      <c r="N331" s="34"/>
    </row>
    <row r="332" ht="15.75" customHeight="1">
      <c r="A332" s="34"/>
      <c r="N332" s="34"/>
    </row>
    <row r="333" ht="15.75" customHeight="1">
      <c r="A333" s="34"/>
      <c r="N333" s="34"/>
    </row>
    <row r="334" ht="15.75" customHeight="1">
      <c r="A334" s="34"/>
      <c r="N334" s="34"/>
    </row>
    <row r="335" ht="15.75" customHeight="1">
      <c r="A335" s="34"/>
      <c r="N335" s="34"/>
    </row>
    <row r="336" ht="15.75" customHeight="1">
      <c r="A336" s="34"/>
      <c r="N336" s="34"/>
    </row>
    <row r="337" ht="15.75" customHeight="1">
      <c r="A337" s="34"/>
      <c r="N337" s="34"/>
    </row>
    <row r="338" ht="15.75" customHeight="1">
      <c r="A338" s="34"/>
      <c r="N338" s="34"/>
    </row>
    <row r="339" ht="15.75" customHeight="1">
      <c r="A339" s="34"/>
      <c r="N339" s="34"/>
    </row>
    <row r="340" ht="15.75" customHeight="1">
      <c r="A340" s="34"/>
      <c r="N340" s="34"/>
    </row>
    <row r="341" ht="15.75" customHeight="1">
      <c r="A341" s="34"/>
      <c r="N341" s="34"/>
    </row>
    <row r="342" ht="15.75" customHeight="1">
      <c r="A342" s="34"/>
      <c r="N342" s="34"/>
    </row>
    <row r="343" ht="15.75" customHeight="1">
      <c r="A343" s="34"/>
      <c r="N343" s="34"/>
    </row>
    <row r="344" ht="15.75" customHeight="1">
      <c r="A344" s="34"/>
      <c r="N344" s="34"/>
    </row>
    <row r="345" ht="15.75" customHeight="1">
      <c r="A345" s="34"/>
      <c r="N345" s="34"/>
    </row>
    <row r="346" ht="15.75" customHeight="1">
      <c r="A346" s="34"/>
      <c r="N346" s="34"/>
    </row>
    <row r="347" ht="15.75" customHeight="1">
      <c r="A347" s="34"/>
      <c r="N347" s="34"/>
    </row>
    <row r="348" ht="15.75" customHeight="1">
      <c r="A348" s="34"/>
      <c r="N348" s="34"/>
    </row>
    <row r="349" ht="15.75" customHeight="1">
      <c r="A349" s="34"/>
      <c r="N349" s="34"/>
    </row>
    <row r="350" ht="15.75" customHeight="1">
      <c r="A350" s="34"/>
      <c r="N350" s="34"/>
    </row>
    <row r="351" ht="15.75" customHeight="1">
      <c r="A351" s="34"/>
      <c r="N351" s="34"/>
    </row>
    <row r="352" ht="15.75" customHeight="1">
      <c r="A352" s="34"/>
      <c r="N352" s="34"/>
    </row>
    <row r="353" ht="15.75" customHeight="1">
      <c r="A353" s="34"/>
      <c r="N353" s="34"/>
    </row>
    <row r="354" ht="15.75" customHeight="1">
      <c r="A354" s="34"/>
      <c r="N354" s="34"/>
    </row>
    <row r="355" ht="15.75" customHeight="1">
      <c r="A355" s="34"/>
      <c r="N355" s="34"/>
    </row>
    <row r="356" ht="15.75" customHeight="1">
      <c r="A356" s="34"/>
      <c r="N356" s="34"/>
    </row>
    <row r="357" ht="15.75" customHeight="1">
      <c r="A357" s="34"/>
      <c r="N357" s="34"/>
    </row>
    <row r="358" ht="15.75" customHeight="1">
      <c r="A358" s="34"/>
      <c r="N358" s="34"/>
    </row>
    <row r="359" ht="15.75" customHeight="1">
      <c r="A359" s="34"/>
      <c r="N359" s="34"/>
    </row>
    <row r="360" ht="15.75" customHeight="1">
      <c r="A360" s="34"/>
      <c r="N360" s="34"/>
    </row>
    <row r="361" ht="15.75" customHeight="1">
      <c r="A361" s="34"/>
      <c r="N361" s="34"/>
    </row>
    <row r="362" ht="15.75" customHeight="1">
      <c r="A362" s="34"/>
      <c r="N362" s="34"/>
    </row>
    <row r="363" ht="15.75" customHeight="1">
      <c r="A363" s="34"/>
      <c r="N363" s="34"/>
    </row>
    <row r="364" ht="15.75" customHeight="1">
      <c r="A364" s="34"/>
      <c r="N364" s="34"/>
    </row>
    <row r="365" ht="15.75" customHeight="1">
      <c r="A365" s="34"/>
      <c r="N365" s="34"/>
    </row>
    <row r="366" ht="15.75" customHeight="1">
      <c r="A366" s="34"/>
      <c r="N366" s="34"/>
    </row>
    <row r="367" ht="15.75" customHeight="1">
      <c r="A367" s="34"/>
      <c r="N367" s="34"/>
    </row>
    <row r="368" ht="15.75" customHeight="1">
      <c r="A368" s="34"/>
      <c r="N368" s="34"/>
    </row>
    <row r="369" ht="15.75" customHeight="1">
      <c r="A369" s="34"/>
      <c r="N369" s="34"/>
    </row>
    <row r="370" ht="15.75" customHeight="1">
      <c r="A370" s="34"/>
      <c r="N370" s="34"/>
    </row>
    <row r="371" ht="15.75" customHeight="1">
      <c r="A371" s="34"/>
      <c r="N371" s="34"/>
    </row>
    <row r="372" ht="15.75" customHeight="1">
      <c r="A372" s="34"/>
      <c r="N372" s="34"/>
    </row>
    <row r="373" ht="15.75" customHeight="1">
      <c r="A373" s="34"/>
      <c r="N373" s="34"/>
    </row>
    <row r="374" ht="15.75" customHeight="1">
      <c r="A374" s="34"/>
      <c r="N374" s="34"/>
    </row>
    <row r="375" ht="15.75" customHeight="1">
      <c r="A375" s="34"/>
      <c r="N375" s="34"/>
    </row>
    <row r="376" ht="15.75" customHeight="1">
      <c r="A376" s="34"/>
      <c r="N376" s="34"/>
    </row>
    <row r="377" ht="15.75" customHeight="1">
      <c r="A377" s="34"/>
      <c r="N377" s="34"/>
    </row>
    <row r="378" ht="15.75" customHeight="1">
      <c r="A378" s="34"/>
      <c r="N378" s="34"/>
    </row>
    <row r="379" ht="15.75" customHeight="1">
      <c r="A379" s="34"/>
      <c r="N379" s="34"/>
    </row>
    <row r="380" ht="15.75" customHeight="1">
      <c r="A380" s="34"/>
      <c r="N380" s="34"/>
    </row>
    <row r="381" ht="15.75" customHeight="1">
      <c r="A381" s="34"/>
      <c r="N381" s="34"/>
    </row>
    <row r="382" ht="15.75" customHeight="1">
      <c r="A382" s="34"/>
      <c r="N382" s="34"/>
    </row>
    <row r="383" ht="15.75" customHeight="1">
      <c r="A383" s="34"/>
      <c r="N383" s="34"/>
    </row>
    <row r="384" ht="15.75" customHeight="1">
      <c r="A384" s="34"/>
      <c r="N384" s="34"/>
    </row>
    <row r="385" ht="15.75" customHeight="1">
      <c r="A385" s="34"/>
      <c r="N385" s="34"/>
    </row>
    <row r="386" ht="15.75" customHeight="1">
      <c r="A386" s="34"/>
      <c r="N386" s="34"/>
    </row>
    <row r="387" ht="15.75" customHeight="1">
      <c r="A387" s="34"/>
      <c r="N387" s="34"/>
    </row>
    <row r="388" ht="15.75" customHeight="1">
      <c r="A388" s="34"/>
      <c r="N388" s="34"/>
    </row>
    <row r="389" ht="15.75" customHeight="1">
      <c r="A389" s="34"/>
      <c r="N389" s="34"/>
    </row>
    <row r="390" ht="15.75" customHeight="1">
      <c r="A390" s="34"/>
      <c r="N390" s="34"/>
    </row>
    <row r="391" ht="15.75" customHeight="1">
      <c r="A391" s="34"/>
      <c r="N391" s="34"/>
    </row>
    <row r="392" ht="15.75" customHeight="1">
      <c r="A392" s="34"/>
      <c r="N392" s="34"/>
    </row>
    <row r="393" ht="15.75" customHeight="1">
      <c r="A393" s="34"/>
      <c r="N393" s="34"/>
    </row>
    <row r="394" ht="15.75" customHeight="1">
      <c r="A394" s="34"/>
      <c r="N394" s="34"/>
    </row>
    <row r="395" ht="15.75" customHeight="1">
      <c r="A395" s="34"/>
      <c r="N395" s="34"/>
    </row>
    <row r="396" ht="15.75" customHeight="1">
      <c r="A396" s="34"/>
      <c r="N396" s="34"/>
    </row>
    <row r="397" ht="15.75" customHeight="1">
      <c r="A397" s="34"/>
      <c r="N397" s="34"/>
    </row>
    <row r="398" ht="15.75" customHeight="1">
      <c r="A398" s="34"/>
      <c r="N398" s="34"/>
    </row>
    <row r="399" ht="15.75" customHeight="1">
      <c r="A399" s="34"/>
      <c r="N399" s="34"/>
    </row>
    <row r="400" ht="15.75" customHeight="1">
      <c r="A400" s="34"/>
      <c r="N400" s="34"/>
    </row>
    <row r="401" ht="15.75" customHeight="1">
      <c r="A401" s="34"/>
      <c r="N401" s="34"/>
    </row>
    <row r="402" ht="15.75" customHeight="1">
      <c r="A402" s="34"/>
      <c r="N402" s="34"/>
    </row>
    <row r="403" ht="15.75" customHeight="1">
      <c r="A403" s="34"/>
      <c r="N403" s="34"/>
    </row>
    <row r="404" ht="15.75" customHeight="1">
      <c r="A404" s="34"/>
      <c r="N404" s="34"/>
    </row>
    <row r="405" ht="15.75" customHeight="1">
      <c r="A405" s="34"/>
      <c r="N405" s="34"/>
    </row>
    <row r="406" ht="15.75" customHeight="1">
      <c r="A406" s="34"/>
      <c r="N406" s="34"/>
    </row>
    <row r="407" ht="15.75" customHeight="1">
      <c r="A407" s="34"/>
      <c r="N407" s="34"/>
    </row>
    <row r="408" ht="15.75" customHeight="1">
      <c r="A408" s="34"/>
      <c r="N408" s="34"/>
    </row>
    <row r="409" ht="15.75" customHeight="1">
      <c r="A409" s="34"/>
      <c r="N409" s="34"/>
    </row>
    <row r="410" ht="15.75" customHeight="1">
      <c r="A410" s="34"/>
      <c r="N410" s="34"/>
    </row>
    <row r="411" ht="15.75" customHeight="1">
      <c r="A411" s="34"/>
      <c r="N411" s="34"/>
    </row>
    <row r="412" ht="15.75" customHeight="1">
      <c r="A412" s="34"/>
      <c r="N412" s="34"/>
    </row>
    <row r="413" ht="15.75" customHeight="1">
      <c r="A413" s="34"/>
      <c r="N413" s="34"/>
    </row>
    <row r="414" ht="15.75" customHeight="1">
      <c r="A414" s="34"/>
      <c r="N414" s="34"/>
    </row>
    <row r="415" ht="15.75" customHeight="1">
      <c r="A415" s="34"/>
      <c r="N415" s="34"/>
    </row>
    <row r="416" ht="15.75" customHeight="1">
      <c r="A416" s="34"/>
      <c r="N416" s="34"/>
    </row>
    <row r="417" ht="15.75" customHeight="1">
      <c r="A417" s="34"/>
      <c r="N417" s="34"/>
    </row>
    <row r="418" ht="15.75" customHeight="1">
      <c r="A418" s="34"/>
      <c r="N418" s="34"/>
    </row>
    <row r="419" ht="15.75" customHeight="1">
      <c r="A419" s="34"/>
      <c r="N419" s="34"/>
    </row>
    <row r="420" ht="15.75" customHeight="1">
      <c r="A420" s="34"/>
      <c r="N420" s="34"/>
    </row>
    <row r="421" ht="15.75" customHeight="1">
      <c r="A421" s="34"/>
      <c r="N421" s="34"/>
    </row>
    <row r="422" ht="15.75" customHeight="1">
      <c r="A422" s="34"/>
      <c r="N422" s="34"/>
    </row>
    <row r="423" ht="15.75" customHeight="1">
      <c r="A423" s="34"/>
      <c r="N423" s="34"/>
    </row>
    <row r="424" ht="15.75" customHeight="1">
      <c r="A424" s="34"/>
      <c r="N424" s="34"/>
    </row>
    <row r="425" ht="15.75" customHeight="1">
      <c r="A425" s="34"/>
      <c r="N425" s="34"/>
    </row>
    <row r="426" ht="15.75" customHeight="1">
      <c r="A426" s="34"/>
      <c r="N426" s="34"/>
    </row>
    <row r="427" ht="15.75" customHeight="1">
      <c r="A427" s="34"/>
      <c r="N427" s="34"/>
    </row>
    <row r="428" ht="15.75" customHeight="1">
      <c r="A428" s="34"/>
      <c r="N428" s="34"/>
    </row>
    <row r="429" ht="15.75" customHeight="1">
      <c r="A429" s="34"/>
      <c r="N429" s="34"/>
    </row>
    <row r="430" ht="15.75" customHeight="1">
      <c r="A430" s="34"/>
      <c r="N430" s="34"/>
    </row>
    <row r="431" ht="15.75" customHeight="1">
      <c r="A431" s="34"/>
      <c r="N431" s="34"/>
    </row>
    <row r="432" ht="15.75" customHeight="1">
      <c r="A432" s="34"/>
      <c r="N432" s="34"/>
    </row>
    <row r="433" ht="15.75" customHeight="1">
      <c r="A433" s="34"/>
      <c r="N433" s="34"/>
    </row>
    <row r="434" ht="15.75" customHeight="1">
      <c r="A434" s="34"/>
      <c r="N434" s="34"/>
    </row>
    <row r="435" ht="15.75" customHeight="1">
      <c r="A435" s="34"/>
      <c r="N435" s="34"/>
    </row>
    <row r="436" ht="15.75" customHeight="1">
      <c r="A436" s="34"/>
      <c r="N436" s="34"/>
    </row>
    <row r="437" ht="15.75" customHeight="1">
      <c r="A437" s="34"/>
      <c r="N437" s="34"/>
    </row>
    <row r="438" ht="15.75" customHeight="1">
      <c r="A438" s="34"/>
      <c r="N438" s="34"/>
    </row>
    <row r="439" ht="15.75" customHeight="1">
      <c r="A439" s="34"/>
      <c r="N439" s="34"/>
    </row>
    <row r="440" ht="15.75" customHeight="1">
      <c r="A440" s="34"/>
      <c r="N440" s="34"/>
    </row>
    <row r="441" ht="15.75" customHeight="1">
      <c r="A441" s="34"/>
      <c r="N441" s="34"/>
    </row>
    <row r="442" ht="15.75" customHeight="1">
      <c r="A442" s="34"/>
      <c r="N442" s="34"/>
    </row>
    <row r="443" ht="15.75" customHeight="1">
      <c r="A443" s="34"/>
      <c r="N443" s="34"/>
    </row>
    <row r="444" ht="15.75" customHeight="1">
      <c r="A444" s="34"/>
      <c r="N444" s="34"/>
    </row>
    <row r="445" ht="15.75" customHeight="1">
      <c r="A445" s="34"/>
      <c r="N445" s="34"/>
    </row>
    <row r="446" ht="15.75" customHeight="1">
      <c r="A446" s="34"/>
      <c r="N446" s="34"/>
    </row>
    <row r="447" ht="15.75" customHeight="1">
      <c r="A447" s="34"/>
      <c r="N447" s="34"/>
    </row>
    <row r="448" ht="15.75" customHeight="1">
      <c r="A448" s="34"/>
      <c r="N448" s="34"/>
    </row>
    <row r="449" ht="15.75" customHeight="1">
      <c r="A449" s="34"/>
      <c r="N449" s="34"/>
    </row>
    <row r="450" ht="15.75" customHeight="1">
      <c r="A450" s="34"/>
      <c r="N450" s="34"/>
    </row>
    <row r="451" ht="15.75" customHeight="1">
      <c r="A451" s="34"/>
      <c r="N451" s="34"/>
    </row>
    <row r="452" ht="15.75" customHeight="1">
      <c r="A452" s="34"/>
      <c r="N452" s="34"/>
    </row>
    <row r="453" ht="15.75" customHeight="1">
      <c r="A453" s="34"/>
      <c r="N453" s="34"/>
    </row>
    <row r="454" ht="15.75" customHeight="1">
      <c r="A454" s="34"/>
      <c r="N454" s="34"/>
    </row>
    <row r="455" ht="15.75" customHeight="1">
      <c r="A455" s="34"/>
      <c r="N455" s="34"/>
    </row>
    <row r="456" ht="15.75" customHeight="1">
      <c r="A456" s="34"/>
      <c r="N456" s="34"/>
    </row>
    <row r="457" ht="15.75" customHeight="1">
      <c r="A457" s="34"/>
      <c r="N457" s="34"/>
    </row>
    <row r="458" ht="15.75" customHeight="1">
      <c r="A458" s="34"/>
      <c r="N458" s="34"/>
    </row>
    <row r="459" ht="15.75" customHeight="1">
      <c r="A459" s="34"/>
      <c r="N459" s="34"/>
    </row>
    <row r="460" ht="15.75" customHeight="1">
      <c r="A460" s="34"/>
      <c r="N460" s="34"/>
    </row>
    <row r="461" ht="15.75" customHeight="1">
      <c r="A461" s="34"/>
      <c r="N461" s="34"/>
    </row>
    <row r="462" ht="15.75" customHeight="1">
      <c r="A462" s="34"/>
      <c r="N462" s="34"/>
    </row>
    <row r="463" ht="15.75" customHeight="1">
      <c r="A463" s="34"/>
      <c r="N463" s="34"/>
    </row>
    <row r="464" ht="15.75" customHeight="1">
      <c r="A464" s="34"/>
      <c r="N464" s="34"/>
    </row>
    <row r="465" ht="15.75" customHeight="1">
      <c r="A465" s="34"/>
      <c r="N465" s="34"/>
    </row>
    <row r="466" ht="15.75" customHeight="1">
      <c r="A466" s="34"/>
      <c r="N466" s="34"/>
    </row>
    <row r="467" ht="15.75" customHeight="1">
      <c r="A467" s="34"/>
      <c r="N467" s="34"/>
    </row>
    <row r="468" ht="15.75" customHeight="1">
      <c r="A468" s="34"/>
      <c r="N468" s="34"/>
    </row>
    <row r="469" ht="15.75" customHeight="1">
      <c r="A469" s="34"/>
      <c r="N469" s="34"/>
    </row>
    <row r="470" ht="15.75" customHeight="1">
      <c r="A470" s="34"/>
      <c r="N470" s="34"/>
    </row>
    <row r="471" ht="15.75" customHeight="1">
      <c r="A471" s="34"/>
      <c r="N471" s="34"/>
    </row>
    <row r="472" ht="15.75" customHeight="1">
      <c r="A472" s="34"/>
      <c r="N472" s="34"/>
    </row>
    <row r="473" ht="15.75" customHeight="1">
      <c r="A473" s="34"/>
      <c r="N473" s="34"/>
    </row>
    <row r="474" ht="15.75" customHeight="1">
      <c r="A474" s="34"/>
      <c r="N474" s="34"/>
    </row>
    <row r="475" ht="15.75" customHeight="1">
      <c r="A475" s="34"/>
      <c r="N475" s="34"/>
    </row>
    <row r="476" ht="15.75" customHeight="1">
      <c r="A476" s="34"/>
      <c r="N476" s="34"/>
    </row>
    <row r="477" ht="15.75" customHeight="1">
      <c r="A477" s="34"/>
      <c r="N477" s="34"/>
    </row>
    <row r="478" ht="15.75" customHeight="1">
      <c r="A478" s="34"/>
      <c r="N478" s="34"/>
    </row>
    <row r="479" ht="15.75" customHeight="1">
      <c r="A479" s="34"/>
      <c r="N479" s="34"/>
    </row>
    <row r="480" ht="15.75" customHeight="1">
      <c r="A480" s="34"/>
      <c r="N480" s="34"/>
    </row>
    <row r="481" ht="15.75" customHeight="1">
      <c r="A481" s="34"/>
      <c r="N481" s="34"/>
    </row>
    <row r="482" ht="15.75" customHeight="1">
      <c r="A482" s="34"/>
      <c r="N482" s="34"/>
    </row>
    <row r="483" ht="15.75" customHeight="1">
      <c r="A483" s="34"/>
      <c r="N483" s="34"/>
    </row>
    <row r="484" ht="15.75" customHeight="1">
      <c r="A484" s="34"/>
      <c r="N484" s="34"/>
    </row>
    <row r="485" ht="15.75" customHeight="1">
      <c r="A485" s="34"/>
      <c r="N485" s="34"/>
    </row>
    <row r="486" ht="15.75" customHeight="1">
      <c r="A486" s="34"/>
      <c r="N486" s="34"/>
    </row>
    <row r="487" ht="15.75" customHeight="1">
      <c r="A487" s="34"/>
      <c r="N487" s="34"/>
    </row>
    <row r="488" ht="15.75" customHeight="1">
      <c r="A488" s="34"/>
      <c r="N488" s="34"/>
    </row>
    <row r="489" ht="15.75" customHeight="1">
      <c r="A489" s="34"/>
      <c r="N489" s="34"/>
    </row>
    <row r="490" ht="15.75" customHeight="1">
      <c r="A490" s="34"/>
      <c r="N490" s="34"/>
    </row>
    <row r="491" ht="15.75" customHeight="1">
      <c r="A491" s="34"/>
      <c r="N491" s="34"/>
    </row>
    <row r="492" ht="15.75" customHeight="1">
      <c r="A492" s="34"/>
      <c r="N492" s="34"/>
    </row>
    <row r="493" ht="15.75" customHeight="1">
      <c r="A493" s="34"/>
      <c r="N493" s="34"/>
    </row>
    <row r="494" ht="15.75" customHeight="1">
      <c r="A494" s="34"/>
      <c r="N494" s="34"/>
    </row>
    <row r="495" ht="15.75" customHeight="1">
      <c r="A495" s="34"/>
      <c r="N495" s="34"/>
    </row>
    <row r="496" ht="15.75" customHeight="1">
      <c r="A496" s="34"/>
      <c r="N496" s="34"/>
    </row>
    <row r="497" ht="15.75" customHeight="1">
      <c r="A497" s="34"/>
      <c r="N497" s="34"/>
    </row>
    <row r="498" ht="15.75" customHeight="1">
      <c r="A498" s="34"/>
      <c r="N498" s="34"/>
    </row>
    <row r="499" ht="15.75" customHeight="1">
      <c r="A499" s="34"/>
      <c r="N499" s="34"/>
    </row>
    <row r="500" ht="15.75" customHeight="1">
      <c r="A500" s="34"/>
      <c r="N500" s="34"/>
    </row>
    <row r="501" ht="15.75" customHeight="1">
      <c r="A501" s="34"/>
      <c r="N501" s="34"/>
    </row>
    <row r="502" ht="15.75" customHeight="1">
      <c r="A502" s="34"/>
      <c r="N502" s="34"/>
    </row>
    <row r="503" ht="15.75" customHeight="1">
      <c r="A503" s="34"/>
      <c r="N503" s="34"/>
    </row>
    <row r="504" ht="15.75" customHeight="1">
      <c r="A504" s="34"/>
      <c r="N504" s="34"/>
    </row>
    <row r="505" ht="15.75" customHeight="1">
      <c r="A505" s="34"/>
      <c r="N505" s="34"/>
    </row>
    <row r="506" ht="15.75" customHeight="1">
      <c r="A506" s="34"/>
      <c r="N506" s="34"/>
    </row>
    <row r="507" ht="15.75" customHeight="1">
      <c r="A507" s="34"/>
      <c r="N507" s="34"/>
    </row>
    <row r="508" ht="15.75" customHeight="1">
      <c r="A508" s="34"/>
      <c r="N508" s="34"/>
    </row>
    <row r="509" ht="15.75" customHeight="1">
      <c r="A509" s="34"/>
      <c r="N509" s="34"/>
    </row>
    <row r="510" ht="15.75" customHeight="1">
      <c r="A510" s="34"/>
      <c r="N510" s="34"/>
    </row>
    <row r="511" ht="15.75" customHeight="1">
      <c r="A511" s="34"/>
      <c r="N511" s="34"/>
    </row>
    <row r="512" ht="15.75" customHeight="1">
      <c r="A512" s="34"/>
      <c r="N512" s="34"/>
    </row>
    <row r="513" ht="15.75" customHeight="1">
      <c r="A513" s="34"/>
      <c r="N513" s="34"/>
    </row>
    <row r="514" ht="15.75" customHeight="1">
      <c r="A514" s="34"/>
      <c r="N514" s="34"/>
    </row>
    <row r="515" ht="15.75" customHeight="1">
      <c r="A515" s="34"/>
      <c r="N515" s="34"/>
    </row>
    <row r="516" ht="15.75" customHeight="1">
      <c r="A516" s="34"/>
      <c r="N516" s="34"/>
    </row>
    <row r="517" ht="15.75" customHeight="1">
      <c r="A517" s="34"/>
      <c r="N517" s="34"/>
    </row>
    <row r="518" ht="15.75" customHeight="1">
      <c r="A518" s="34"/>
      <c r="N518" s="34"/>
    </row>
    <row r="519" ht="15.75" customHeight="1">
      <c r="A519" s="34"/>
      <c r="N519" s="34"/>
    </row>
    <row r="520" ht="15.75" customHeight="1">
      <c r="A520" s="34"/>
      <c r="N520" s="34"/>
    </row>
    <row r="521" ht="15.75" customHeight="1">
      <c r="A521" s="34"/>
      <c r="N521" s="34"/>
    </row>
    <row r="522" ht="15.75" customHeight="1">
      <c r="A522" s="34"/>
      <c r="N522" s="34"/>
    </row>
    <row r="523" ht="15.75" customHeight="1">
      <c r="A523" s="34"/>
      <c r="N523" s="34"/>
    </row>
    <row r="524" ht="15.75" customHeight="1">
      <c r="A524" s="34"/>
      <c r="N524" s="34"/>
    </row>
    <row r="525" ht="15.75" customHeight="1">
      <c r="A525" s="34"/>
      <c r="N525" s="34"/>
    </row>
    <row r="526" ht="15.75" customHeight="1">
      <c r="A526" s="34"/>
      <c r="N526" s="34"/>
    </row>
    <row r="527" ht="15.75" customHeight="1">
      <c r="A527" s="34"/>
      <c r="N527" s="34"/>
    </row>
    <row r="528" ht="15.75" customHeight="1">
      <c r="A528" s="34"/>
      <c r="N528" s="34"/>
    </row>
    <row r="529" ht="15.75" customHeight="1">
      <c r="A529" s="34"/>
      <c r="N529" s="34"/>
    </row>
    <row r="530" ht="15.75" customHeight="1">
      <c r="A530" s="34"/>
      <c r="N530" s="34"/>
    </row>
    <row r="531" ht="15.75" customHeight="1">
      <c r="A531" s="34"/>
      <c r="N531" s="34"/>
    </row>
    <row r="532" ht="15.75" customHeight="1">
      <c r="A532" s="34"/>
      <c r="N532" s="34"/>
    </row>
    <row r="533" ht="15.75" customHeight="1">
      <c r="A533" s="34"/>
      <c r="N533" s="34"/>
    </row>
    <row r="534" ht="15.75" customHeight="1">
      <c r="A534" s="34"/>
      <c r="N534" s="34"/>
    </row>
    <row r="535" ht="15.75" customHeight="1">
      <c r="A535" s="34"/>
      <c r="N535" s="34"/>
    </row>
    <row r="536" ht="15.75" customHeight="1">
      <c r="A536" s="34"/>
      <c r="N536" s="34"/>
    </row>
    <row r="537" ht="15.75" customHeight="1">
      <c r="A537" s="34"/>
      <c r="N537" s="34"/>
    </row>
    <row r="538" ht="15.75" customHeight="1">
      <c r="A538" s="34"/>
      <c r="N538" s="34"/>
    </row>
    <row r="539" ht="15.75" customHeight="1">
      <c r="A539" s="34"/>
      <c r="N539" s="34"/>
    </row>
    <row r="540" ht="15.75" customHeight="1">
      <c r="A540" s="34"/>
      <c r="N540" s="34"/>
    </row>
    <row r="541" ht="15.75" customHeight="1">
      <c r="A541" s="34"/>
      <c r="N541" s="34"/>
    </row>
    <row r="542" ht="15.75" customHeight="1">
      <c r="A542" s="34"/>
      <c r="N542" s="34"/>
    </row>
    <row r="543" ht="15.75" customHeight="1">
      <c r="A543" s="34"/>
      <c r="N543" s="34"/>
    </row>
    <row r="544" ht="15.75" customHeight="1">
      <c r="A544" s="34"/>
      <c r="N544" s="34"/>
    </row>
    <row r="545" ht="15.75" customHeight="1">
      <c r="A545" s="34"/>
      <c r="N545" s="34"/>
    </row>
    <row r="546" ht="15.75" customHeight="1">
      <c r="A546" s="34"/>
      <c r="N546" s="34"/>
    </row>
    <row r="547" ht="15.75" customHeight="1">
      <c r="A547" s="34"/>
      <c r="N547" s="34"/>
    </row>
    <row r="548" ht="15.75" customHeight="1">
      <c r="A548" s="34"/>
      <c r="N548" s="34"/>
    </row>
    <row r="549" ht="15.75" customHeight="1">
      <c r="A549" s="34"/>
      <c r="N549" s="34"/>
    </row>
    <row r="550" ht="15.75" customHeight="1">
      <c r="A550" s="34"/>
      <c r="N550" s="34"/>
    </row>
    <row r="551" ht="15.75" customHeight="1">
      <c r="A551" s="34"/>
      <c r="N551" s="34"/>
    </row>
    <row r="552" ht="15.75" customHeight="1">
      <c r="A552" s="34"/>
      <c r="N552" s="34"/>
    </row>
    <row r="553" ht="15.75" customHeight="1">
      <c r="A553" s="34"/>
      <c r="N553" s="34"/>
    </row>
    <row r="554" ht="15.75" customHeight="1">
      <c r="A554" s="34"/>
      <c r="N554" s="34"/>
    </row>
    <row r="555" ht="15.75" customHeight="1">
      <c r="A555" s="34"/>
      <c r="N555" s="34"/>
    </row>
    <row r="556" ht="15.75" customHeight="1">
      <c r="A556" s="34"/>
      <c r="N556" s="34"/>
    </row>
    <row r="557" ht="15.75" customHeight="1">
      <c r="A557" s="34"/>
      <c r="N557" s="34"/>
    </row>
    <row r="558" ht="15.75" customHeight="1">
      <c r="A558" s="34"/>
      <c r="N558" s="34"/>
    </row>
    <row r="559" ht="15.75" customHeight="1">
      <c r="A559" s="34"/>
      <c r="N559" s="34"/>
    </row>
    <row r="560" ht="15.75" customHeight="1">
      <c r="A560" s="34"/>
      <c r="N560" s="34"/>
    </row>
    <row r="561" ht="15.75" customHeight="1">
      <c r="A561" s="34"/>
      <c r="N561" s="34"/>
    </row>
    <row r="562" ht="15.75" customHeight="1">
      <c r="A562" s="34"/>
      <c r="N562" s="34"/>
    </row>
    <row r="563" ht="15.75" customHeight="1">
      <c r="A563" s="34"/>
      <c r="N563" s="34"/>
    </row>
    <row r="564" ht="15.75" customHeight="1">
      <c r="A564" s="34"/>
      <c r="N564" s="34"/>
    </row>
    <row r="565" ht="15.75" customHeight="1">
      <c r="A565" s="34"/>
      <c r="N565" s="34"/>
    </row>
    <row r="566" ht="15.75" customHeight="1">
      <c r="A566" s="34"/>
      <c r="N566" s="34"/>
    </row>
    <row r="567" ht="15.75" customHeight="1">
      <c r="A567" s="34"/>
      <c r="N567" s="34"/>
    </row>
    <row r="568" ht="15.75" customHeight="1">
      <c r="A568" s="34"/>
      <c r="N568" s="34"/>
    </row>
    <row r="569" ht="15.75" customHeight="1">
      <c r="A569" s="34"/>
      <c r="N569" s="34"/>
    </row>
    <row r="570" ht="15.75" customHeight="1">
      <c r="A570" s="34"/>
      <c r="N570" s="34"/>
    </row>
    <row r="571" ht="15.75" customHeight="1">
      <c r="A571" s="34"/>
      <c r="N571" s="34"/>
    </row>
    <row r="572" ht="15.75" customHeight="1">
      <c r="A572" s="34"/>
      <c r="N572" s="34"/>
    </row>
    <row r="573" ht="15.75" customHeight="1">
      <c r="A573" s="34"/>
      <c r="N573" s="34"/>
    </row>
    <row r="574" ht="15.75" customHeight="1">
      <c r="A574" s="34"/>
      <c r="N574" s="34"/>
    </row>
    <row r="575" ht="15.75" customHeight="1">
      <c r="A575" s="34"/>
      <c r="N575" s="34"/>
    </row>
    <row r="576" ht="15.75" customHeight="1">
      <c r="A576" s="34"/>
      <c r="N576" s="34"/>
    </row>
    <row r="577" ht="15.75" customHeight="1">
      <c r="A577" s="34"/>
      <c r="N577" s="34"/>
    </row>
    <row r="578" ht="15.75" customHeight="1">
      <c r="A578" s="34"/>
      <c r="N578" s="34"/>
    </row>
    <row r="579" ht="15.75" customHeight="1">
      <c r="A579" s="34"/>
      <c r="N579" s="34"/>
    </row>
    <row r="580" ht="15.75" customHeight="1">
      <c r="A580" s="34"/>
      <c r="N580" s="34"/>
    </row>
    <row r="581" ht="15.75" customHeight="1">
      <c r="A581" s="34"/>
      <c r="N581" s="34"/>
    </row>
    <row r="582" ht="15.75" customHeight="1">
      <c r="A582" s="34"/>
      <c r="N582" s="34"/>
    </row>
    <row r="583" ht="15.75" customHeight="1">
      <c r="A583" s="34"/>
      <c r="N583" s="34"/>
    </row>
    <row r="584" ht="15.75" customHeight="1">
      <c r="A584" s="34"/>
      <c r="N584" s="34"/>
    </row>
    <row r="585" ht="15.75" customHeight="1">
      <c r="A585" s="34"/>
      <c r="N585" s="34"/>
    </row>
    <row r="586" ht="15.75" customHeight="1">
      <c r="A586" s="34"/>
      <c r="N586" s="34"/>
    </row>
    <row r="587" ht="15.75" customHeight="1">
      <c r="A587" s="34"/>
      <c r="N587" s="34"/>
    </row>
    <row r="588" ht="15.75" customHeight="1">
      <c r="A588" s="34"/>
      <c r="N588" s="34"/>
    </row>
    <row r="589" ht="15.75" customHeight="1">
      <c r="A589" s="34"/>
      <c r="N589" s="34"/>
    </row>
    <row r="590" ht="15.75" customHeight="1">
      <c r="A590" s="34"/>
      <c r="N590" s="34"/>
    </row>
    <row r="591" ht="15.75" customHeight="1">
      <c r="A591" s="34"/>
      <c r="N591" s="34"/>
    </row>
    <row r="592" ht="15.75" customHeight="1">
      <c r="A592" s="34"/>
      <c r="N592" s="34"/>
    </row>
    <row r="593" ht="15.75" customHeight="1">
      <c r="A593" s="34"/>
      <c r="N593" s="34"/>
    </row>
    <row r="594" ht="15.75" customHeight="1">
      <c r="A594" s="34"/>
      <c r="N594" s="34"/>
    </row>
    <row r="595" ht="15.75" customHeight="1">
      <c r="A595" s="34"/>
      <c r="N595" s="34"/>
    </row>
    <row r="596" ht="15.75" customHeight="1">
      <c r="A596" s="34"/>
      <c r="N596" s="34"/>
    </row>
    <row r="597" ht="15.75" customHeight="1">
      <c r="A597" s="34"/>
      <c r="N597" s="34"/>
    </row>
    <row r="598" ht="15.75" customHeight="1">
      <c r="A598" s="34"/>
      <c r="N598" s="34"/>
    </row>
    <row r="599" ht="15.75" customHeight="1">
      <c r="A599" s="34"/>
      <c r="N599" s="34"/>
    </row>
    <row r="600" ht="15.75" customHeight="1">
      <c r="A600" s="34"/>
      <c r="N600" s="34"/>
    </row>
    <row r="601" ht="15.75" customHeight="1">
      <c r="A601" s="34"/>
      <c r="N601" s="34"/>
    </row>
    <row r="602" ht="15.75" customHeight="1">
      <c r="A602" s="34"/>
      <c r="N602" s="34"/>
    </row>
    <row r="603" ht="15.75" customHeight="1">
      <c r="A603" s="34"/>
      <c r="N603" s="34"/>
    </row>
    <row r="604" ht="15.75" customHeight="1">
      <c r="A604" s="34"/>
      <c r="N604" s="34"/>
    </row>
    <row r="605" ht="15.75" customHeight="1">
      <c r="A605" s="34"/>
      <c r="N605" s="34"/>
    </row>
    <row r="606" ht="15.75" customHeight="1">
      <c r="A606" s="34"/>
      <c r="N606" s="34"/>
    </row>
    <row r="607" ht="15.75" customHeight="1">
      <c r="A607" s="34"/>
      <c r="N607" s="34"/>
    </row>
    <row r="608" ht="15.75" customHeight="1">
      <c r="A608" s="34"/>
      <c r="N608" s="34"/>
    </row>
    <row r="609" ht="15.75" customHeight="1">
      <c r="A609" s="34"/>
      <c r="N609" s="34"/>
    </row>
    <row r="610" ht="15.75" customHeight="1">
      <c r="A610" s="34"/>
      <c r="N610" s="34"/>
    </row>
    <row r="611" ht="15.75" customHeight="1">
      <c r="A611" s="34"/>
      <c r="N611" s="34"/>
    </row>
    <row r="612" ht="15.75" customHeight="1">
      <c r="A612" s="34"/>
      <c r="N612" s="34"/>
    </row>
    <row r="613" ht="15.75" customHeight="1">
      <c r="A613" s="34"/>
      <c r="N613" s="34"/>
    </row>
    <row r="614" ht="15.75" customHeight="1">
      <c r="A614" s="34"/>
      <c r="N614" s="34"/>
    </row>
    <row r="615" ht="15.75" customHeight="1">
      <c r="A615" s="34"/>
      <c r="N615" s="34"/>
    </row>
    <row r="616" ht="15.75" customHeight="1">
      <c r="A616" s="34"/>
      <c r="N616" s="34"/>
    </row>
    <row r="617" ht="15.75" customHeight="1">
      <c r="A617" s="34"/>
      <c r="N617" s="34"/>
    </row>
    <row r="618" ht="15.75" customHeight="1">
      <c r="A618" s="34"/>
      <c r="N618" s="34"/>
    </row>
    <row r="619" ht="15.75" customHeight="1">
      <c r="A619" s="34"/>
      <c r="N619" s="34"/>
    </row>
    <row r="620" ht="15.75" customHeight="1">
      <c r="A620" s="34"/>
      <c r="N620" s="34"/>
    </row>
    <row r="621" ht="15.75" customHeight="1">
      <c r="A621" s="34"/>
      <c r="N621" s="34"/>
    </row>
    <row r="622" ht="15.75" customHeight="1">
      <c r="A622" s="34"/>
      <c r="N622" s="34"/>
    </row>
    <row r="623" ht="15.75" customHeight="1">
      <c r="A623" s="34"/>
      <c r="N623" s="34"/>
    </row>
    <row r="624" ht="15.75" customHeight="1">
      <c r="A624" s="34"/>
      <c r="N624" s="34"/>
    </row>
    <row r="625" ht="15.75" customHeight="1">
      <c r="A625" s="34"/>
      <c r="N625" s="34"/>
    </row>
    <row r="626" ht="15.75" customHeight="1">
      <c r="A626" s="34"/>
      <c r="N626" s="34"/>
    </row>
    <row r="627" ht="15.75" customHeight="1">
      <c r="A627" s="34"/>
      <c r="N627" s="34"/>
    </row>
    <row r="628" ht="15.75" customHeight="1">
      <c r="A628" s="34"/>
      <c r="N628" s="34"/>
    </row>
    <row r="629" ht="15.75" customHeight="1">
      <c r="A629" s="34"/>
      <c r="N629" s="34"/>
    </row>
    <row r="630" ht="15.75" customHeight="1">
      <c r="A630" s="34"/>
      <c r="N630" s="34"/>
    </row>
    <row r="631" ht="15.75" customHeight="1">
      <c r="A631" s="34"/>
      <c r="N631" s="34"/>
    </row>
    <row r="632" ht="15.75" customHeight="1">
      <c r="A632" s="34"/>
      <c r="N632" s="34"/>
    </row>
    <row r="633" ht="15.75" customHeight="1">
      <c r="A633" s="34"/>
      <c r="N633" s="34"/>
    </row>
    <row r="634" ht="15.75" customHeight="1">
      <c r="A634" s="34"/>
      <c r="N634" s="34"/>
    </row>
    <row r="635" ht="15.75" customHeight="1">
      <c r="A635" s="34"/>
      <c r="N635" s="34"/>
    </row>
    <row r="636" ht="15.75" customHeight="1">
      <c r="A636" s="34"/>
      <c r="N636" s="34"/>
    </row>
    <row r="637" ht="15.75" customHeight="1">
      <c r="A637" s="34"/>
      <c r="N637" s="34"/>
    </row>
    <row r="638" ht="15.75" customHeight="1">
      <c r="A638" s="34"/>
      <c r="N638" s="34"/>
    </row>
    <row r="639" ht="15.75" customHeight="1">
      <c r="A639" s="34"/>
      <c r="N639" s="34"/>
    </row>
    <row r="640" ht="15.75" customHeight="1">
      <c r="A640" s="34"/>
      <c r="N640" s="34"/>
    </row>
    <row r="641" ht="15.75" customHeight="1">
      <c r="A641" s="34"/>
      <c r="N641" s="34"/>
    </row>
    <row r="642" ht="15.75" customHeight="1">
      <c r="A642" s="34"/>
      <c r="N642" s="34"/>
    </row>
    <row r="643" ht="15.75" customHeight="1">
      <c r="A643" s="34"/>
      <c r="N643" s="34"/>
    </row>
    <row r="644" ht="15.75" customHeight="1">
      <c r="A644" s="34"/>
      <c r="N644" s="34"/>
    </row>
    <row r="645" ht="15.75" customHeight="1">
      <c r="A645" s="34"/>
      <c r="N645" s="34"/>
    </row>
    <row r="646" ht="15.75" customHeight="1">
      <c r="A646" s="34"/>
      <c r="N646" s="34"/>
    </row>
    <row r="647" ht="15.75" customHeight="1">
      <c r="A647" s="34"/>
      <c r="N647" s="34"/>
    </row>
    <row r="648" ht="15.75" customHeight="1">
      <c r="A648" s="34"/>
      <c r="N648" s="34"/>
    </row>
    <row r="649" ht="15.75" customHeight="1">
      <c r="A649" s="34"/>
      <c r="N649" s="34"/>
    </row>
    <row r="650" ht="15.75" customHeight="1">
      <c r="A650" s="34"/>
      <c r="N650" s="34"/>
    </row>
    <row r="651" ht="15.75" customHeight="1">
      <c r="A651" s="34"/>
      <c r="N651" s="34"/>
    </row>
    <row r="652" ht="15.75" customHeight="1">
      <c r="A652" s="34"/>
      <c r="N652" s="34"/>
    </row>
    <row r="653" ht="15.75" customHeight="1">
      <c r="A653" s="34"/>
      <c r="N653" s="34"/>
    </row>
    <row r="654" ht="15.75" customHeight="1">
      <c r="A654" s="34"/>
      <c r="N654" s="34"/>
    </row>
    <row r="655" ht="15.75" customHeight="1">
      <c r="A655" s="34"/>
      <c r="N655" s="34"/>
    </row>
    <row r="656" ht="15.75" customHeight="1">
      <c r="A656" s="34"/>
      <c r="N656" s="34"/>
    </row>
    <row r="657" ht="15.75" customHeight="1">
      <c r="A657" s="34"/>
      <c r="N657" s="34"/>
    </row>
    <row r="658" ht="15.75" customHeight="1">
      <c r="A658" s="34"/>
      <c r="N658" s="34"/>
    </row>
    <row r="659" ht="15.75" customHeight="1">
      <c r="A659" s="34"/>
      <c r="N659" s="34"/>
    </row>
    <row r="660" ht="15.75" customHeight="1">
      <c r="A660" s="34"/>
      <c r="N660" s="34"/>
    </row>
    <row r="661" ht="15.75" customHeight="1">
      <c r="A661" s="34"/>
      <c r="N661" s="34"/>
    </row>
    <row r="662" ht="15.75" customHeight="1">
      <c r="A662" s="34"/>
      <c r="N662" s="34"/>
    </row>
    <row r="663" ht="15.75" customHeight="1">
      <c r="A663" s="34"/>
      <c r="N663" s="34"/>
    </row>
    <row r="664" ht="15.75" customHeight="1">
      <c r="A664" s="34"/>
      <c r="N664" s="34"/>
    </row>
    <row r="665" ht="15.75" customHeight="1">
      <c r="A665" s="34"/>
      <c r="N665" s="34"/>
    </row>
    <row r="666" ht="15.75" customHeight="1">
      <c r="A666" s="34"/>
      <c r="N666" s="34"/>
    </row>
    <row r="667" ht="15.75" customHeight="1">
      <c r="A667" s="34"/>
      <c r="N667" s="34"/>
    </row>
    <row r="668" ht="15.75" customHeight="1">
      <c r="A668" s="34"/>
      <c r="N668" s="34"/>
    </row>
    <row r="669" ht="15.75" customHeight="1">
      <c r="A669" s="34"/>
      <c r="N669" s="34"/>
    </row>
    <row r="670" ht="15.75" customHeight="1">
      <c r="A670" s="34"/>
      <c r="N670" s="34"/>
    </row>
    <row r="671" ht="15.75" customHeight="1">
      <c r="A671" s="34"/>
      <c r="N671" s="34"/>
    </row>
    <row r="672" ht="15.75" customHeight="1">
      <c r="A672" s="34"/>
      <c r="N672" s="34"/>
    </row>
    <row r="673" ht="15.75" customHeight="1">
      <c r="A673" s="34"/>
      <c r="N673" s="34"/>
    </row>
    <row r="674" ht="15.75" customHeight="1">
      <c r="A674" s="34"/>
      <c r="N674" s="34"/>
    </row>
    <row r="675" ht="15.75" customHeight="1">
      <c r="A675" s="34"/>
      <c r="N675" s="34"/>
    </row>
    <row r="676" ht="15.75" customHeight="1">
      <c r="A676" s="34"/>
      <c r="N676" s="34"/>
    </row>
    <row r="677" ht="15.75" customHeight="1">
      <c r="A677" s="34"/>
      <c r="N677" s="34"/>
    </row>
    <row r="678" ht="15.75" customHeight="1">
      <c r="A678" s="34"/>
      <c r="N678" s="34"/>
    </row>
    <row r="679" ht="15.75" customHeight="1">
      <c r="A679" s="34"/>
      <c r="N679" s="34"/>
    </row>
    <row r="680" ht="15.75" customHeight="1">
      <c r="A680" s="34"/>
      <c r="N680" s="34"/>
    </row>
    <row r="681" ht="15.75" customHeight="1">
      <c r="A681" s="34"/>
      <c r="N681" s="34"/>
    </row>
    <row r="682" ht="15.75" customHeight="1">
      <c r="A682" s="34"/>
      <c r="N682" s="34"/>
    </row>
    <row r="683" ht="15.75" customHeight="1">
      <c r="A683" s="34"/>
      <c r="N683" s="34"/>
    </row>
    <row r="684" ht="15.75" customHeight="1">
      <c r="A684" s="34"/>
      <c r="N684" s="34"/>
    </row>
    <row r="685" ht="15.75" customHeight="1">
      <c r="A685" s="34"/>
      <c r="N685" s="34"/>
    </row>
    <row r="686" ht="15.75" customHeight="1">
      <c r="A686" s="34"/>
      <c r="N686" s="34"/>
    </row>
    <row r="687" ht="15.75" customHeight="1">
      <c r="A687" s="34"/>
      <c r="N687" s="34"/>
    </row>
    <row r="688" ht="15.75" customHeight="1">
      <c r="A688" s="34"/>
      <c r="N688" s="34"/>
    </row>
    <row r="689" ht="15.75" customHeight="1">
      <c r="A689" s="34"/>
      <c r="N689" s="34"/>
    </row>
    <row r="690" ht="15.75" customHeight="1">
      <c r="A690" s="34"/>
      <c r="N690" s="34"/>
    </row>
    <row r="691" ht="15.75" customHeight="1">
      <c r="A691" s="34"/>
      <c r="N691" s="34"/>
    </row>
    <row r="692" ht="15.75" customHeight="1">
      <c r="A692" s="34"/>
      <c r="N692" s="34"/>
    </row>
    <row r="693" ht="15.75" customHeight="1">
      <c r="A693" s="34"/>
      <c r="N693" s="34"/>
    </row>
    <row r="694" ht="15.75" customHeight="1">
      <c r="A694" s="34"/>
      <c r="N694" s="34"/>
    </row>
    <row r="695" ht="15.75" customHeight="1">
      <c r="A695" s="34"/>
      <c r="N695" s="34"/>
    </row>
    <row r="696" ht="15.75" customHeight="1">
      <c r="A696" s="34"/>
      <c r="N696" s="34"/>
    </row>
    <row r="697" ht="15.75" customHeight="1">
      <c r="A697" s="34"/>
      <c r="N697" s="34"/>
    </row>
    <row r="698" ht="15.75" customHeight="1">
      <c r="A698" s="34"/>
      <c r="N698" s="34"/>
    </row>
    <row r="699" ht="15.75" customHeight="1">
      <c r="A699" s="34"/>
      <c r="N699" s="34"/>
    </row>
    <row r="700" ht="15.75" customHeight="1">
      <c r="A700" s="34"/>
      <c r="N700" s="34"/>
    </row>
    <row r="701" ht="15.75" customHeight="1">
      <c r="A701" s="34"/>
      <c r="N701" s="34"/>
    </row>
    <row r="702" ht="15.75" customHeight="1">
      <c r="A702" s="34"/>
      <c r="N702" s="34"/>
    </row>
    <row r="703" ht="15.75" customHeight="1">
      <c r="A703" s="34"/>
      <c r="N703" s="34"/>
    </row>
    <row r="704" ht="15.75" customHeight="1">
      <c r="A704" s="34"/>
      <c r="N704" s="34"/>
    </row>
    <row r="705" ht="15.75" customHeight="1">
      <c r="A705" s="34"/>
      <c r="N705" s="34"/>
    </row>
    <row r="706" ht="15.75" customHeight="1">
      <c r="A706" s="34"/>
      <c r="N706" s="34"/>
    </row>
    <row r="707" ht="15.75" customHeight="1">
      <c r="A707" s="34"/>
      <c r="N707" s="34"/>
    </row>
    <row r="708" ht="15.75" customHeight="1">
      <c r="A708" s="34"/>
      <c r="N708" s="34"/>
    </row>
    <row r="709" ht="15.75" customHeight="1">
      <c r="A709" s="34"/>
      <c r="N709" s="34"/>
    </row>
    <row r="710" ht="15.75" customHeight="1">
      <c r="A710" s="34"/>
      <c r="N710" s="34"/>
    </row>
    <row r="711" ht="15.75" customHeight="1">
      <c r="A711" s="34"/>
      <c r="N711" s="34"/>
    </row>
    <row r="712" ht="15.75" customHeight="1">
      <c r="A712" s="34"/>
      <c r="N712" s="34"/>
    </row>
    <row r="713" ht="15.75" customHeight="1">
      <c r="A713" s="34"/>
      <c r="N713" s="34"/>
    </row>
    <row r="714" ht="15.75" customHeight="1">
      <c r="A714" s="34"/>
      <c r="N714" s="34"/>
    </row>
    <row r="715" ht="15.75" customHeight="1">
      <c r="A715" s="34"/>
      <c r="N715" s="34"/>
    </row>
    <row r="716" ht="15.75" customHeight="1">
      <c r="A716" s="34"/>
      <c r="N716" s="34"/>
    </row>
    <row r="717" ht="15.75" customHeight="1">
      <c r="A717" s="34"/>
      <c r="N717" s="34"/>
    </row>
    <row r="718" ht="15.75" customHeight="1">
      <c r="A718" s="34"/>
      <c r="N718" s="34"/>
    </row>
    <row r="719" ht="15.75" customHeight="1">
      <c r="A719" s="34"/>
      <c r="N719" s="34"/>
    </row>
    <row r="720" ht="15.75" customHeight="1">
      <c r="A720" s="34"/>
      <c r="N720" s="34"/>
    </row>
    <row r="721" ht="15.75" customHeight="1">
      <c r="A721" s="34"/>
      <c r="N721" s="34"/>
    </row>
    <row r="722" ht="15.75" customHeight="1">
      <c r="A722" s="34"/>
      <c r="N722" s="34"/>
    </row>
    <row r="723" ht="15.75" customHeight="1">
      <c r="A723" s="34"/>
      <c r="N723" s="34"/>
    </row>
    <row r="724" ht="15.75" customHeight="1">
      <c r="A724" s="34"/>
      <c r="N724" s="34"/>
    </row>
    <row r="725" ht="15.75" customHeight="1">
      <c r="A725" s="34"/>
      <c r="N725" s="34"/>
    </row>
    <row r="726" ht="15.75" customHeight="1">
      <c r="A726" s="34"/>
      <c r="N726" s="34"/>
    </row>
    <row r="727" ht="15.75" customHeight="1">
      <c r="A727" s="34"/>
      <c r="N727" s="34"/>
    </row>
    <row r="728" ht="15.75" customHeight="1">
      <c r="A728" s="34"/>
      <c r="N728" s="34"/>
    </row>
    <row r="729" ht="15.75" customHeight="1">
      <c r="A729" s="34"/>
      <c r="N729" s="34"/>
    </row>
    <row r="730" ht="15.75" customHeight="1">
      <c r="A730" s="34"/>
      <c r="N730" s="34"/>
    </row>
    <row r="731" ht="15.75" customHeight="1">
      <c r="A731" s="34"/>
      <c r="N731" s="34"/>
    </row>
    <row r="732" ht="15.75" customHeight="1">
      <c r="A732" s="34"/>
      <c r="N732" s="34"/>
    </row>
    <row r="733" ht="15.75" customHeight="1">
      <c r="A733" s="34"/>
      <c r="N733" s="34"/>
    </row>
    <row r="734" ht="15.75" customHeight="1">
      <c r="A734" s="34"/>
      <c r="N734" s="34"/>
    </row>
    <row r="735" ht="15.75" customHeight="1">
      <c r="A735" s="34"/>
      <c r="N735" s="34"/>
    </row>
    <row r="736" ht="15.75" customHeight="1">
      <c r="A736" s="34"/>
      <c r="N736" s="34"/>
    </row>
    <row r="737" ht="15.75" customHeight="1">
      <c r="A737" s="34"/>
      <c r="N737" s="34"/>
    </row>
    <row r="738" ht="15.75" customHeight="1">
      <c r="A738" s="34"/>
      <c r="N738" s="34"/>
    </row>
    <row r="739" ht="15.75" customHeight="1">
      <c r="A739" s="34"/>
      <c r="N739" s="34"/>
    </row>
    <row r="740" ht="15.75" customHeight="1">
      <c r="A740" s="34"/>
      <c r="N740" s="34"/>
    </row>
    <row r="741" ht="15.75" customHeight="1">
      <c r="A741" s="34"/>
      <c r="N741" s="34"/>
    </row>
    <row r="742" ht="15.75" customHeight="1">
      <c r="A742" s="34"/>
      <c r="N742" s="34"/>
    </row>
    <row r="743" ht="15.75" customHeight="1">
      <c r="A743" s="34"/>
      <c r="N743" s="34"/>
    </row>
    <row r="744" ht="15.75" customHeight="1">
      <c r="A744" s="34"/>
      <c r="N744" s="34"/>
    </row>
    <row r="745" ht="15.75" customHeight="1">
      <c r="A745" s="34"/>
      <c r="N745" s="34"/>
    </row>
    <row r="746" ht="15.75" customHeight="1">
      <c r="A746" s="34"/>
      <c r="N746" s="34"/>
    </row>
    <row r="747" ht="15.75" customHeight="1">
      <c r="A747" s="34"/>
      <c r="N747" s="34"/>
    </row>
    <row r="748" ht="15.75" customHeight="1">
      <c r="A748" s="34"/>
      <c r="N748" s="34"/>
    </row>
    <row r="749" ht="15.75" customHeight="1">
      <c r="A749" s="34"/>
      <c r="N749" s="34"/>
    </row>
    <row r="750" ht="15.75" customHeight="1">
      <c r="A750" s="34"/>
      <c r="N750" s="34"/>
    </row>
    <row r="751" ht="15.75" customHeight="1">
      <c r="A751" s="34"/>
      <c r="N751" s="34"/>
    </row>
    <row r="752" ht="15.75" customHeight="1">
      <c r="A752" s="34"/>
      <c r="N752" s="34"/>
    </row>
    <row r="753" ht="15.75" customHeight="1">
      <c r="A753" s="34"/>
      <c r="N753" s="34"/>
    </row>
    <row r="754" ht="15.75" customHeight="1">
      <c r="A754" s="34"/>
      <c r="N754" s="34"/>
    </row>
    <row r="755" ht="15.75" customHeight="1">
      <c r="A755" s="34"/>
      <c r="N755" s="34"/>
    </row>
    <row r="756" ht="15.75" customHeight="1">
      <c r="A756" s="34"/>
      <c r="N756" s="34"/>
    </row>
    <row r="757" ht="15.75" customHeight="1">
      <c r="A757" s="34"/>
      <c r="N757" s="34"/>
    </row>
    <row r="758" ht="15.75" customHeight="1">
      <c r="A758" s="34"/>
      <c r="N758" s="34"/>
    </row>
    <row r="759" ht="15.75" customHeight="1">
      <c r="A759" s="34"/>
      <c r="N759" s="34"/>
    </row>
    <row r="760" ht="15.75" customHeight="1">
      <c r="A760" s="34"/>
      <c r="N760" s="34"/>
    </row>
    <row r="761" ht="15.75" customHeight="1">
      <c r="A761" s="34"/>
      <c r="N761" s="34"/>
    </row>
    <row r="762" ht="15.75" customHeight="1">
      <c r="A762" s="34"/>
      <c r="N762" s="34"/>
    </row>
    <row r="763" ht="15.75" customHeight="1">
      <c r="A763" s="34"/>
      <c r="N763" s="34"/>
    </row>
    <row r="764" ht="15.75" customHeight="1">
      <c r="A764" s="34"/>
      <c r="N764" s="34"/>
    </row>
    <row r="765" ht="15.75" customHeight="1">
      <c r="A765" s="34"/>
      <c r="N765" s="34"/>
    </row>
    <row r="766" ht="15.75" customHeight="1">
      <c r="A766" s="34"/>
      <c r="N766" s="34"/>
    </row>
    <row r="767" ht="15.75" customHeight="1">
      <c r="A767" s="34"/>
      <c r="N767" s="34"/>
    </row>
    <row r="768" ht="15.75" customHeight="1">
      <c r="A768" s="34"/>
      <c r="N768" s="34"/>
    </row>
    <row r="769" ht="15.75" customHeight="1">
      <c r="A769" s="34"/>
      <c r="N769" s="34"/>
    </row>
    <row r="770" ht="15.75" customHeight="1">
      <c r="A770" s="34"/>
      <c r="N770" s="34"/>
    </row>
    <row r="771" ht="15.75" customHeight="1">
      <c r="A771" s="34"/>
      <c r="N771" s="34"/>
    </row>
    <row r="772" ht="15.75" customHeight="1">
      <c r="A772" s="34"/>
      <c r="N772" s="34"/>
    </row>
    <row r="773" ht="15.75" customHeight="1">
      <c r="A773" s="34"/>
      <c r="N773" s="34"/>
    </row>
    <row r="774" ht="15.75" customHeight="1">
      <c r="A774" s="34"/>
      <c r="N774" s="34"/>
    </row>
    <row r="775" ht="15.75" customHeight="1">
      <c r="A775" s="34"/>
      <c r="N775" s="34"/>
    </row>
    <row r="776" ht="15.75" customHeight="1">
      <c r="A776" s="34"/>
      <c r="N776" s="34"/>
    </row>
    <row r="777" ht="15.75" customHeight="1">
      <c r="A777" s="34"/>
      <c r="N777" s="34"/>
    </row>
    <row r="778" ht="15.75" customHeight="1">
      <c r="A778" s="34"/>
      <c r="N778" s="34"/>
    </row>
    <row r="779" ht="15.75" customHeight="1">
      <c r="A779" s="34"/>
      <c r="N779" s="34"/>
    </row>
    <row r="780" ht="15.75" customHeight="1">
      <c r="A780" s="34"/>
      <c r="N780" s="34"/>
    </row>
    <row r="781" ht="15.75" customHeight="1">
      <c r="A781" s="34"/>
      <c r="N781" s="34"/>
    </row>
    <row r="782" ht="15.75" customHeight="1">
      <c r="A782" s="34"/>
      <c r="N782" s="34"/>
    </row>
    <row r="783" ht="15.75" customHeight="1">
      <c r="A783" s="34"/>
      <c r="N783" s="34"/>
    </row>
    <row r="784" ht="15.75" customHeight="1">
      <c r="A784" s="34"/>
      <c r="N784" s="34"/>
    </row>
    <row r="785" ht="15.75" customHeight="1">
      <c r="A785" s="34"/>
      <c r="N785" s="34"/>
    </row>
    <row r="786" ht="15.75" customHeight="1">
      <c r="A786" s="34"/>
      <c r="N786" s="34"/>
    </row>
    <row r="787" ht="15.75" customHeight="1">
      <c r="A787" s="34"/>
      <c r="N787" s="34"/>
    </row>
    <row r="788" ht="15.75" customHeight="1">
      <c r="A788" s="34"/>
      <c r="N788" s="34"/>
    </row>
    <row r="789" ht="15.75" customHeight="1">
      <c r="A789" s="34"/>
      <c r="N789" s="34"/>
    </row>
    <row r="790" ht="15.75" customHeight="1">
      <c r="A790" s="34"/>
      <c r="N790" s="34"/>
    </row>
    <row r="791" ht="15.75" customHeight="1">
      <c r="A791" s="34"/>
      <c r="N791" s="34"/>
    </row>
    <row r="792" ht="15.75" customHeight="1">
      <c r="A792" s="34"/>
      <c r="N792" s="34"/>
    </row>
    <row r="793" ht="15.75" customHeight="1">
      <c r="A793" s="34"/>
      <c r="N793" s="34"/>
    </row>
    <row r="794" ht="15.75" customHeight="1">
      <c r="A794" s="34"/>
      <c r="N794" s="34"/>
    </row>
    <row r="795" ht="15.75" customHeight="1">
      <c r="A795" s="34"/>
      <c r="N795" s="34"/>
    </row>
    <row r="796" ht="15.75" customHeight="1">
      <c r="A796" s="34"/>
      <c r="N796" s="34"/>
    </row>
    <row r="797" ht="15.75" customHeight="1">
      <c r="A797" s="34"/>
      <c r="N797" s="34"/>
    </row>
    <row r="798" ht="15.75" customHeight="1">
      <c r="A798" s="34"/>
      <c r="N798" s="34"/>
    </row>
    <row r="799" ht="15.75" customHeight="1">
      <c r="A799" s="34"/>
      <c r="N799" s="34"/>
    </row>
    <row r="800" ht="15.75" customHeight="1">
      <c r="A800" s="34"/>
      <c r="N800" s="34"/>
    </row>
    <row r="801" ht="15.75" customHeight="1">
      <c r="A801" s="34"/>
      <c r="N801" s="34"/>
    </row>
    <row r="802" ht="15.75" customHeight="1">
      <c r="A802" s="34"/>
      <c r="N802" s="34"/>
    </row>
    <row r="803" ht="15.75" customHeight="1">
      <c r="A803" s="34"/>
      <c r="N803" s="34"/>
    </row>
    <row r="804" ht="15.75" customHeight="1">
      <c r="A804" s="34"/>
      <c r="N804" s="34"/>
    </row>
    <row r="805" ht="15.75" customHeight="1">
      <c r="A805" s="34"/>
      <c r="N805" s="34"/>
    </row>
    <row r="806" ht="15.75" customHeight="1">
      <c r="A806" s="34"/>
      <c r="N806" s="34"/>
    </row>
    <row r="807" ht="15.75" customHeight="1">
      <c r="A807" s="34"/>
      <c r="N807" s="34"/>
    </row>
    <row r="808" ht="15.75" customHeight="1">
      <c r="A808" s="34"/>
      <c r="N808" s="34"/>
    </row>
    <row r="809" ht="15.75" customHeight="1">
      <c r="A809" s="34"/>
      <c r="N809" s="34"/>
    </row>
    <row r="810" ht="15.75" customHeight="1">
      <c r="A810" s="34"/>
      <c r="N810" s="34"/>
    </row>
    <row r="811" ht="15.75" customHeight="1">
      <c r="A811" s="34"/>
      <c r="N811" s="34"/>
    </row>
    <row r="812" ht="15.75" customHeight="1">
      <c r="A812" s="34"/>
      <c r="N812" s="34"/>
    </row>
    <row r="813" ht="15.75" customHeight="1">
      <c r="A813" s="34"/>
      <c r="N813" s="34"/>
    </row>
    <row r="814" ht="15.75" customHeight="1">
      <c r="A814" s="34"/>
      <c r="N814" s="34"/>
    </row>
    <row r="815" ht="15.75" customHeight="1">
      <c r="A815" s="34"/>
      <c r="N815" s="34"/>
    </row>
    <row r="816" ht="15.75" customHeight="1">
      <c r="A816" s="34"/>
      <c r="N816" s="34"/>
    </row>
    <row r="817" ht="15.75" customHeight="1">
      <c r="A817" s="34"/>
      <c r="N817" s="34"/>
    </row>
    <row r="818" ht="15.75" customHeight="1">
      <c r="A818" s="34"/>
      <c r="N818" s="34"/>
    </row>
    <row r="819" ht="15.75" customHeight="1">
      <c r="A819" s="34"/>
      <c r="N819" s="34"/>
    </row>
    <row r="820" ht="15.75" customHeight="1">
      <c r="A820" s="34"/>
      <c r="N820" s="34"/>
    </row>
    <row r="821" ht="15.75" customHeight="1">
      <c r="A821" s="34"/>
      <c r="N821" s="34"/>
    </row>
    <row r="822" ht="15.75" customHeight="1">
      <c r="A822" s="34"/>
      <c r="N822" s="34"/>
    </row>
    <row r="823" ht="15.75" customHeight="1">
      <c r="A823" s="34"/>
      <c r="N823" s="34"/>
    </row>
    <row r="824" ht="15.75" customHeight="1">
      <c r="A824" s="34"/>
      <c r="N824" s="34"/>
    </row>
    <row r="825" ht="15.75" customHeight="1">
      <c r="A825" s="34"/>
      <c r="N825" s="34"/>
    </row>
    <row r="826" ht="15.75" customHeight="1">
      <c r="A826" s="34"/>
      <c r="N826" s="34"/>
    </row>
    <row r="827" ht="15.75" customHeight="1">
      <c r="A827" s="34"/>
      <c r="N827" s="34"/>
    </row>
    <row r="828" ht="15.75" customHeight="1">
      <c r="A828" s="34"/>
      <c r="N828" s="34"/>
    </row>
    <row r="829" ht="15.75" customHeight="1">
      <c r="A829" s="34"/>
      <c r="N829" s="34"/>
    </row>
    <row r="830" ht="15.75" customHeight="1">
      <c r="A830" s="34"/>
      <c r="N830" s="34"/>
    </row>
    <row r="831" ht="15.75" customHeight="1">
      <c r="A831" s="34"/>
      <c r="N831" s="34"/>
    </row>
    <row r="832" ht="15.75" customHeight="1">
      <c r="A832" s="34"/>
      <c r="N832" s="34"/>
    </row>
    <row r="833" ht="15.75" customHeight="1">
      <c r="A833" s="34"/>
      <c r="N833" s="34"/>
    </row>
    <row r="834" ht="15.75" customHeight="1">
      <c r="A834" s="34"/>
      <c r="N834" s="34"/>
    </row>
    <row r="835" ht="15.75" customHeight="1">
      <c r="A835" s="34"/>
      <c r="N835" s="34"/>
    </row>
    <row r="836" ht="15.75" customHeight="1">
      <c r="A836" s="34"/>
      <c r="N836" s="34"/>
    </row>
    <row r="837" ht="15.75" customHeight="1">
      <c r="A837" s="34"/>
      <c r="N837" s="34"/>
    </row>
    <row r="838" ht="15.75" customHeight="1">
      <c r="A838" s="34"/>
      <c r="N838" s="34"/>
    </row>
    <row r="839" ht="15.75" customHeight="1">
      <c r="A839" s="34"/>
      <c r="N839" s="34"/>
    </row>
    <row r="840" ht="15.75" customHeight="1">
      <c r="A840" s="34"/>
      <c r="N840" s="34"/>
    </row>
    <row r="841" ht="15.75" customHeight="1">
      <c r="A841" s="34"/>
      <c r="N841" s="34"/>
    </row>
    <row r="842" ht="15.75" customHeight="1">
      <c r="A842" s="34"/>
      <c r="N842" s="34"/>
    </row>
    <row r="843" ht="15.75" customHeight="1">
      <c r="A843" s="34"/>
      <c r="N843" s="34"/>
    </row>
    <row r="844" ht="15.75" customHeight="1">
      <c r="A844" s="34"/>
      <c r="N844" s="34"/>
    </row>
    <row r="845" ht="15.75" customHeight="1">
      <c r="A845" s="34"/>
      <c r="N845" s="34"/>
    </row>
    <row r="846" ht="15.75" customHeight="1">
      <c r="A846" s="34"/>
      <c r="N846" s="34"/>
    </row>
    <row r="847" ht="15.75" customHeight="1">
      <c r="A847" s="34"/>
      <c r="N847" s="34"/>
    </row>
    <row r="848" ht="15.75" customHeight="1">
      <c r="A848" s="34"/>
      <c r="N848" s="34"/>
    </row>
    <row r="849" ht="15.75" customHeight="1">
      <c r="A849" s="34"/>
      <c r="N849" s="34"/>
    </row>
    <row r="850" ht="15.75" customHeight="1">
      <c r="A850" s="34"/>
      <c r="N850" s="34"/>
    </row>
    <row r="851" ht="15.75" customHeight="1">
      <c r="A851" s="34"/>
      <c r="N851" s="34"/>
    </row>
    <row r="852" ht="15.75" customHeight="1">
      <c r="A852" s="34"/>
      <c r="N852" s="34"/>
    </row>
    <row r="853" ht="15.75" customHeight="1">
      <c r="A853" s="34"/>
      <c r="N853" s="34"/>
    </row>
    <row r="854" ht="15.75" customHeight="1">
      <c r="A854" s="34"/>
      <c r="N854" s="34"/>
    </row>
    <row r="855" ht="15.75" customHeight="1">
      <c r="A855" s="34"/>
      <c r="N855" s="34"/>
    </row>
    <row r="856" ht="15.75" customHeight="1">
      <c r="A856" s="34"/>
      <c r="N856" s="34"/>
    </row>
    <row r="857" ht="15.75" customHeight="1">
      <c r="A857" s="34"/>
      <c r="N857" s="34"/>
    </row>
    <row r="858" ht="15.75" customHeight="1">
      <c r="A858" s="34"/>
      <c r="N858" s="34"/>
    </row>
    <row r="859" ht="15.75" customHeight="1">
      <c r="A859" s="34"/>
      <c r="N859" s="34"/>
    </row>
    <row r="860" ht="15.75" customHeight="1">
      <c r="A860" s="34"/>
      <c r="N860" s="34"/>
    </row>
    <row r="861" ht="15.75" customHeight="1">
      <c r="A861" s="34"/>
      <c r="N861" s="34"/>
    </row>
    <row r="862" ht="15.75" customHeight="1">
      <c r="A862" s="34"/>
      <c r="N862" s="34"/>
    </row>
    <row r="863" ht="15.75" customHeight="1">
      <c r="A863" s="34"/>
      <c r="N863" s="34"/>
    </row>
    <row r="864" ht="15.75" customHeight="1">
      <c r="A864" s="34"/>
      <c r="N864" s="34"/>
    </row>
    <row r="865" ht="15.75" customHeight="1">
      <c r="A865" s="34"/>
      <c r="N865" s="34"/>
    </row>
    <row r="866" ht="15.75" customHeight="1">
      <c r="A866" s="34"/>
      <c r="N866" s="34"/>
    </row>
    <row r="867" ht="15.75" customHeight="1">
      <c r="A867" s="34"/>
      <c r="N867" s="34"/>
    </row>
    <row r="868" ht="15.75" customHeight="1">
      <c r="A868" s="34"/>
      <c r="N868" s="34"/>
    </row>
    <row r="869" ht="15.75" customHeight="1">
      <c r="A869" s="34"/>
      <c r="N869" s="34"/>
    </row>
    <row r="870" ht="15.75" customHeight="1">
      <c r="A870" s="34"/>
      <c r="N870" s="34"/>
    </row>
    <row r="871" ht="15.75" customHeight="1">
      <c r="A871" s="34"/>
      <c r="N871" s="34"/>
    </row>
    <row r="872" ht="15.75" customHeight="1">
      <c r="A872" s="34"/>
      <c r="N872" s="34"/>
    </row>
    <row r="873" ht="15.75" customHeight="1">
      <c r="A873" s="34"/>
      <c r="N873" s="34"/>
    </row>
    <row r="874" ht="15.75" customHeight="1">
      <c r="A874" s="34"/>
      <c r="N874" s="34"/>
    </row>
    <row r="875" ht="15.75" customHeight="1">
      <c r="A875" s="34"/>
      <c r="N875" s="34"/>
    </row>
    <row r="876" ht="15.75" customHeight="1">
      <c r="A876" s="34"/>
      <c r="N876" s="34"/>
    </row>
    <row r="877" ht="15.75" customHeight="1">
      <c r="A877" s="34"/>
      <c r="N877" s="34"/>
    </row>
    <row r="878" ht="15.75" customHeight="1">
      <c r="A878" s="34"/>
      <c r="N878" s="34"/>
    </row>
    <row r="879" ht="15.75" customHeight="1">
      <c r="A879" s="34"/>
      <c r="N879" s="34"/>
    </row>
    <row r="880" ht="15.75" customHeight="1">
      <c r="A880" s="34"/>
      <c r="N880" s="34"/>
    </row>
    <row r="881" ht="15.75" customHeight="1">
      <c r="A881" s="34"/>
      <c r="N881" s="34"/>
    </row>
    <row r="882" ht="15.75" customHeight="1">
      <c r="A882" s="34"/>
      <c r="N882" s="34"/>
    </row>
    <row r="883" ht="15.75" customHeight="1">
      <c r="A883" s="34"/>
      <c r="N883" s="34"/>
    </row>
    <row r="884" ht="15.75" customHeight="1">
      <c r="A884" s="34"/>
      <c r="N884" s="34"/>
    </row>
    <row r="885" ht="15.75" customHeight="1">
      <c r="A885" s="34"/>
      <c r="N885" s="34"/>
    </row>
    <row r="886" ht="15.75" customHeight="1">
      <c r="A886" s="34"/>
      <c r="N886" s="34"/>
    </row>
    <row r="887" ht="15.75" customHeight="1">
      <c r="A887" s="34"/>
      <c r="N887" s="34"/>
    </row>
    <row r="888" ht="15.75" customHeight="1">
      <c r="A888" s="34"/>
      <c r="N888" s="34"/>
    </row>
    <row r="889" ht="15.75" customHeight="1">
      <c r="A889" s="34"/>
      <c r="N889" s="34"/>
    </row>
    <row r="890" ht="15.75" customHeight="1">
      <c r="A890" s="34"/>
      <c r="N890" s="34"/>
    </row>
    <row r="891" ht="15.75" customHeight="1">
      <c r="A891" s="34"/>
      <c r="N891" s="34"/>
    </row>
    <row r="892" ht="15.75" customHeight="1">
      <c r="A892" s="34"/>
      <c r="N892" s="34"/>
    </row>
    <row r="893" ht="15.75" customHeight="1">
      <c r="A893" s="34"/>
      <c r="N893" s="34"/>
    </row>
    <row r="894" ht="15.75" customHeight="1">
      <c r="A894" s="34"/>
      <c r="N894" s="34"/>
    </row>
    <row r="895" ht="15.75" customHeight="1">
      <c r="A895" s="34"/>
      <c r="N895" s="34"/>
    </row>
    <row r="896" ht="15.75" customHeight="1">
      <c r="A896" s="34"/>
      <c r="N896" s="34"/>
    </row>
    <row r="897" ht="15.75" customHeight="1">
      <c r="A897" s="34"/>
      <c r="N897" s="34"/>
    </row>
    <row r="898" ht="15.75" customHeight="1">
      <c r="A898" s="34"/>
      <c r="N898" s="34"/>
    </row>
    <row r="899" ht="15.75" customHeight="1">
      <c r="A899" s="34"/>
      <c r="N899" s="34"/>
    </row>
    <row r="900" ht="15.75" customHeight="1">
      <c r="A900" s="34"/>
      <c r="N900" s="34"/>
    </row>
    <row r="901" ht="15.75" customHeight="1">
      <c r="A901" s="34"/>
      <c r="N901" s="34"/>
    </row>
    <row r="902" ht="15.75" customHeight="1">
      <c r="A902" s="34"/>
      <c r="N902" s="34"/>
    </row>
    <row r="903" ht="15.75" customHeight="1">
      <c r="A903" s="34"/>
      <c r="N903" s="34"/>
    </row>
    <row r="904" ht="15.75" customHeight="1">
      <c r="A904" s="34"/>
      <c r="N904" s="34"/>
    </row>
    <row r="905" ht="15.75" customHeight="1">
      <c r="A905" s="34"/>
      <c r="N905" s="34"/>
    </row>
    <row r="906" ht="15.75" customHeight="1">
      <c r="A906" s="34"/>
      <c r="N906" s="34"/>
    </row>
    <row r="907" ht="15.75" customHeight="1">
      <c r="A907" s="34"/>
      <c r="N907" s="34"/>
    </row>
    <row r="908" ht="15.75" customHeight="1">
      <c r="A908" s="34"/>
      <c r="N908" s="34"/>
    </row>
    <row r="909" ht="15.75" customHeight="1">
      <c r="A909" s="34"/>
      <c r="N909" s="34"/>
    </row>
    <row r="910" ht="15.75" customHeight="1">
      <c r="A910" s="34"/>
      <c r="N910" s="34"/>
    </row>
    <row r="911" ht="15.75" customHeight="1">
      <c r="A911" s="34"/>
      <c r="N911" s="34"/>
    </row>
    <row r="912" ht="15.75" customHeight="1">
      <c r="A912" s="34"/>
      <c r="N912" s="34"/>
    </row>
    <row r="913" ht="15.75" customHeight="1">
      <c r="A913" s="34"/>
      <c r="N913" s="34"/>
    </row>
    <row r="914" ht="15.75" customHeight="1">
      <c r="A914" s="34"/>
      <c r="N914" s="34"/>
    </row>
    <row r="915" ht="15.75" customHeight="1">
      <c r="A915" s="34"/>
      <c r="N915" s="34"/>
    </row>
    <row r="916" ht="15.75" customHeight="1">
      <c r="A916" s="34"/>
      <c r="N916" s="34"/>
    </row>
    <row r="917" ht="15.75" customHeight="1">
      <c r="A917" s="34"/>
      <c r="N917" s="34"/>
    </row>
    <row r="918" ht="15.75" customHeight="1">
      <c r="A918" s="34"/>
      <c r="N918" s="34"/>
    </row>
    <row r="919" ht="15.75" customHeight="1">
      <c r="A919" s="34"/>
      <c r="N919" s="34"/>
    </row>
    <row r="920" ht="15.75" customHeight="1">
      <c r="A920" s="34"/>
      <c r="N920" s="34"/>
    </row>
    <row r="921" ht="15.75" customHeight="1">
      <c r="A921" s="34"/>
      <c r="N921" s="34"/>
    </row>
    <row r="922" ht="15.75" customHeight="1">
      <c r="A922" s="34"/>
      <c r="N922" s="34"/>
    </row>
    <row r="923" ht="15.75" customHeight="1">
      <c r="A923" s="34"/>
      <c r="N923" s="34"/>
    </row>
    <row r="924" ht="15.75" customHeight="1">
      <c r="A924" s="34"/>
      <c r="N924" s="34"/>
    </row>
    <row r="925" ht="15.75" customHeight="1">
      <c r="A925" s="34"/>
      <c r="N925" s="34"/>
    </row>
    <row r="926" ht="15.75" customHeight="1">
      <c r="A926" s="34"/>
      <c r="N926" s="34"/>
    </row>
    <row r="927" ht="15.75" customHeight="1">
      <c r="A927" s="34"/>
      <c r="N927" s="34"/>
    </row>
    <row r="928" ht="15.75" customHeight="1">
      <c r="A928" s="34"/>
      <c r="N928" s="34"/>
    </row>
    <row r="929" ht="15.75" customHeight="1">
      <c r="A929" s="34"/>
      <c r="N929" s="34"/>
    </row>
    <row r="930" ht="15.75" customHeight="1">
      <c r="A930" s="34"/>
      <c r="N930" s="34"/>
    </row>
    <row r="931" ht="15.75" customHeight="1">
      <c r="A931" s="34"/>
      <c r="N931" s="34"/>
    </row>
    <row r="932" ht="15.75" customHeight="1">
      <c r="A932" s="34"/>
      <c r="N932" s="34"/>
    </row>
    <row r="933" ht="15.75" customHeight="1">
      <c r="A933" s="34"/>
      <c r="N933" s="34"/>
    </row>
    <row r="934" ht="15.75" customHeight="1">
      <c r="A934" s="34"/>
      <c r="N934" s="34"/>
    </row>
    <row r="935" ht="15.75" customHeight="1">
      <c r="A935" s="34"/>
      <c r="N935" s="34"/>
    </row>
    <row r="936" ht="15.75" customHeight="1">
      <c r="A936" s="34"/>
      <c r="N936" s="34"/>
    </row>
    <row r="937" ht="15.75" customHeight="1">
      <c r="A937" s="34"/>
      <c r="N937" s="34"/>
    </row>
    <row r="938" ht="15.75" customHeight="1">
      <c r="A938" s="34"/>
      <c r="N938" s="34"/>
    </row>
    <row r="939" ht="15.75" customHeight="1">
      <c r="A939" s="34"/>
      <c r="N939" s="34"/>
    </row>
    <row r="940" ht="15.75" customHeight="1">
      <c r="A940" s="34"/>
      <c r="N940" s="34"/>
    </row>
    <row r="941" ht="15.75" customHeight="1">
      <c r="A941" s="34"/>
      <c r="N941" s="34"/>
    </row>
    <row r="942" ht="15.75" customHeight="1">
      <c r="A942" s="34"/>
      <c r="N942" s="34"/>
    </row>
    <row r="943" ht="15.75" customHeight="1">
      <c r="A943" s="34"/>
      <c r="N943" s="34"/>
    </row>
    <row r="944" ht="15.75" customHeight="1">
      <c r="A944" s="34"/>
      <c r="N944" s="34"/>
    </row>
    <row r="945" ht="15.75" customHeight="1">
      <c r="A945" s="34"/>
      <c r="N945" s="34"/>
    </row>
    <row r="946" ht="15.75" customHeight="1">
      <c r="A946" s="34"/>
      <c r="N946" s="34"/>
    </row>
    <row r="947" ht="15.75" customHeight="1">
      <c r="A947" s="34"/>
      <c r="N947" s="34"/>
    </row>
    <row r="948" ht="15.75" customHeight="1">
      <c r="A948" s="34"/>
      <c r="N948" s="34"/>
    </row>
    <row r="949" ht="15.75" customHeight="1">
      <c r="A949" s="34"/>
      <c r="N949" s="34"/>
    </row>
    <row r="950" ht="15.75" customHeight="1">
      <c r="A950" s="34"/>
      <c r="N950" s="34"/>
    </row>
    <row r="951" ht="15.75" customHeight="1">
      <c r="A951" s="34"/>
      <c r="N951" s="34"/>
    </row>
    <row r="952" ht="15.75" customHeight="1">
      <c r="A952" s="34"/>
      <c r="N952" s="34"/>
    </row>
    <row r="953" ht="15.75" customHeight="1">
      <c r="A953" s="34"/>
      <c r="N953" s="34"/>
    </row>
    <row r="954" ht="15.75" customHeight="1">
      <c r="A954" s="34"/>
      <c r="N954" s="34"/>
    </row>
    <row r="955" ht="15.75" customHeight="1">
      <c r="A955" s="34"/>
      <c r="N955" s="34"/>
    </row>
    <row r="956" ht="15.75" customHeight="1">
      <c r="A956" s="34"/>
      <c r="N956" s="34"/>
    </row>
    <row r="957" ht="15.75" customHeight="1">
      <c r="A957" s="34"/>
      <c r="N957" s="34"/>
    </row>
    <row r="958" ht="15.75" customHeight="1">
      <c r="A958" s="34"/>
      <c r="N958" s="34"/>
    </row>
    <row r="959" ht="15.75" customHeight="1">
      <c r="A959" s="34"/>
      <c r="N959" s="34"/>
    </row>
    <row r="960" ht="15.75" customHeight="1">
      <c r="A960" s="34"/>
      <c r="N960" s="34"/>
    </row>
    <row r="961" ht="15.75" customHeight="1">
      <c r="A961" s="34"/>
      <c r="N961" s="34"/>
    </row>
    <row r="962" ht="15.75" customHeight="1">
      <c r="A962" s="34"/>
      <c r="N962" s="34"/>
    </row>
    <row r="963" ht="15.75" customHeight="1">
      <c r="A963" s="34"/>
      <c r="N963" s="34"/>
    </row>
    <row r="964" ht="15.75" customHeight="1">
      <c r="A964" s="34"/>
      <c r="N964" s="34"/>
    </row>
    <row r="965" ht="15.75" customHeight="1">
      <c r="A965" s="34"/>
      <c r="N965" s="34"/>
    </row>
    <row r="966" ht="15.75" customHeight="1">
      <c r="A966" s="34"/>
      <c r="N966" s="34"/>
    </row>
    <row r="967" ht="15.75" customHeight="1">
      <c r="A967" s="34"/>
      <c r="N967" s="34"/>
    </row>
    <row r="968" ht="15.75" customHeight="1">
      <c r="A968" s="34"/>
      <c r="N968" s="34"/>
    </row>
    <row r="969" ht="15.75" customHeight="1">
      <c r="A969" s="34"/>
      <c r="N969" s="34"/>
    </row>
    <row r="970" ht="15.75" customHeight="1">
      <c r="A970" s="34"/>
      <c r="N970" s="34"/>
    </row>
    <row r="971" ht="15.75" customHeight="1">
      <c r="A971" s="34"/>
      <c r="N971" s="34"/>
    </row>
    <row r="972" ht="15.75" customHeight="1">
      <c r="A972" s="34"/>
      <c r="N972" s="34"/>
    </row>
    <row r="973" ht="15.75" customHeight="1">
      <c r="A973" s="34"/>
      <c r="N973" s="34"/>
    </row>
    <row r="974" ht="15.75" customHeight="1">
      <c r="A974" s="34"/>
      <c r="N974" s="34"/>
    </row>
    <row r="975" ht="15.75" customHeight="1">
      <c r="A975" s="34"/>
      <c r="N975" s="34"/>
    </row>
    <row r="976" ht="15.75" customHeight="1">
      <c r="A976" s="34"/>
      <c r="N976" s="34"/>
    </row>
    <row r="977" ht="15.75" customHeight="1">
      <c r="A977" s="34"/>
      <c r="N977" s="34"/>
    </row>
    <row r="978" ht="15.75" customHeight="1">
      <c r="A978" s="34"/>
      <c r="N978" s="34"/>
    </row>
    <row r="979" ht="15.75" customHeight="1">
      <c r="A979" s="34"/>
      <c r="N979" s="34"/>
    </row>
    <row r="980" ht="15.75" customHeight="1">
      <c r="A980" s="34"/>
      <c r="N980" s="34"/>
    </row>
    <row r="981" ht="15.75" customHeight="1">
      <c r="A981" s="34"/>
      <c r="N981" s="34"/>
    </row>
    <row r="982" ht="15.75" customHeight="1">
      <c r="A982" s="34"/>
      <c r="N982" s="34"/>
    </row>
    <row r="983" ht="15.75" customHeight="1">
      <c r="A983" s="34"/>
      <c r="N983" s="34"/>
    </row>
    <row r="984" ht="15.75" customHeight="1">
      <c r="A984" s="34"/>
      <c r="N984" s="34"/>
    </row>
    <row r="985" ht="15.75" customHeight="1">
      <c r="A985" s="34"/>
      <c r="N985" s="34"/>
    </row>
    <row r="986" ht="15.75" customHeight="1">
      <c r="A986" s="34"/>
      <c r="N986" s="34"/>
    </row>
    <row r="987" ht="15.75" customHeight="1">
      <c r="A987" s="34"/>
      <c r="N987" s="34"/>
    </row>
    <row r="988" ht="15.75" customHeight="1">
      <c r="A988" s="34"/>
      <c r="N988" s="34"/>
    </row>
    <row r="989" ht="15.75" customHeight="1">
      <c r="A989" s="34"/>
      <c r="N989" s="34"/>
    </row>
    <row r="990" ht="15.75" customHeight="1">
      <c r="A990" s="34"/>
      <c r="N990" s="34"/>
    </row>
    <row r="991" ht="15.75" customHeight="1">
      <c r="A991" s="34"/>
      <c r="N991" s="34"/>
    </row>
    <row r="992" ht="15.75" customHeight="1">
      <c r="A992" s="34"/>
      <c r="N992" s="34"/>
    </row>
    <row r="993" ht="15.75" customHeight="1">
      <c r="A993" s="34"/>
      <c r="N993" s="34"/>
    </row>
    <row r="994" ht="15.75" customHeight="1">
      <c r="A994" s="34"/>
      <c r="N994" s="34"/>
    </row>
    <row r="995" ht="15.75" customHeight="1">
      <c r="A995" s="34"/>
      <c r="N995" s="34"/>
    </row>
    <row r="996" ht="15.75" customHeight="1">
      <c r="A996" s="34"/>
      <c r="N996" s="34"/>
    </row>
    <row r="997" ht="15.75" customHeight="1">
      <c r="A997" s="34"/>
      <c r="N997" s="34"/>
    </row>
    <row r="998" ht="15.75" customHeight="1">
      <c r="A998" s="34"/>
      <c r="N998" s="34"/>
    </row>
    <row r="999" ht="15.75" customHeight="1">
      <c r="A999" s="34"/>
      <c r="N999" s="34"/>
    </row>
    <row r="1000" ht="15.75" customHeight="1">
      <c r="A1000" s="34"/>
      <c r="N1000" s="34"/>
    </row>
  </sheetData>
  <mergeCells count="74">
    <mergeCell ref="B19:D19"/>
    <mergeCell ref="E19:G19"/>
    <mergeCell ref="H19:J19"/>
    <mergeCell ref="K19:M19"/>
    <mergeCell ref="B20:D20"/>
    <mergeCell ref="E20:G20"/>
    <mergeCell ref="H20:J20"/>
    <mergeCell ref="K20:M20"/>
    <mergeCell ref="B24:M24"/>
    <mergeCell ref="G25:H25"/>
    <mergeCell ref="I25:J25"/>
    <mergeCell ref="G26:H26"/>
    <mergeCell ref="I26:J26"/>
    <mergeCell ref="I27:J27"/>
    <mergeCell ref="F54:M54"/>
    <mergeCell ref="F55:M55"/>
    <mergeCell ref="G27:H27"/>
    <mergeCell ref="G28:H28"/>
    <mergeCell ref="I28:J28"/>
    <mergeCell ref="G29:H29"/>
    <mergeCell ref="B33:M33"/>
    <mergeCell ref="B52:M52"/>
    <mergeCell ref="F53:M53"/>
    <mergeCell ref="B53:E53"/>
    <mergeCell ref="B54:E54"/>
    <mergeCell ref="B55:E55"/>
    <mergeCell ref="B56:E56"/>
    <mergeCell ref="F56:M56"/>
    <mergeCell ref="B57:E57"/>
    <mergeCell ref="F57:M57"/>
    <mergeCell ref="B58:E58"/>
    <mergeCell ref="F58:M58"/>
    <mergeCell ref="B59:E59"/>
    <mergeCell ref="F59:M59"/>
    <mergeCell ref="B60:E60"/>
    <mergeCell ref="F60:M60"/>
    <mergeCell ref="F61:M61"/>
    <mergeCell ref="B2:M2"/>
    <mergeCell ref="B3:M3"/>
    <mergeCell ref="B4:M4"/>
    <mergeCell ref="B9:M9"/>
    <mergeCell ref="E10:G10"/>
    <mergeCell ref="H10:J10"/>
    <mergeCell ref="K10:M10"/>
    <mergeCell ref="H12:J12"/>
    <mergeCell ref="K12:M12"/>
    <mergeCell ref="B10:D10"/>
    <mergeCell ref="B11:D11"/>
    <mergeCell ref="E11:G11"/>
    <mergeCell ref="H11:J11"/>
    <mergeCell ref="K11:M11"/>
    <mergeCell ref="B12:D12"/>
    <mergeCell ref="E12:G12"/>
    <mergeCell ref="B14:D14"/>
    <mergeCell ref="E14:G14"/>
    <mergeCell ref="H14:J14"/>
    <mergeCell ref="K14:M14"/>
    <mergeCell ref="E15:G15"/>
    <mergeCell ref="H15:J15"/>
    <mergeCell ref="K15:M15"/>
    <mergeCell ref="H18:J18"/>
    <mergeCell ref="K18:M18"/>
    <mergeCell ref="B15:D15"/>
    <mergeCell ref="B16:D16"/>
    <mergeCell ref="E16:G16"/>
    <mergeCell ref="H16:J16"/>
    <mergeCell ref="K16:M16"/>
    <mergeCell ref="B18:D18"/>
    <mergeCell ref="E18:G18"/>
    <mergeCell ref="B61:E61"/>
    <mergeCell ref="B62:E62"/>
    <mergeCell ref="F62:M62"/>
    <mergeCell ref="B63:E63"/>
    <mergeCell ref="F63:M63"/>
  </mergeCells>
  <hyperlinks>
    <hyperlink r:id="rId1" location="'Business%20Analysis'!A1" ref="B54"/>
    <hyperlink r:id="rId2" location="'Keyword%20Master%20Database'!A1" ref="B55"/>
    <hyperlink r:id="rId3" location="'Keyword%20Clusters'!A1" ref="B56"/>
    <hyperlink r:id="rId4" location="'Competitor%20Analysis'!A1" ref="B57"/>
    <hyperlink r:id="rId5" location="'Keyword%20Mapping'!A1" ref="B58"/>
    <hyperlink r:id="rId6" location="'Topical%20Authority%20Map'!A1" ref="B59"/>
    <hyperlink r:id="rId7" location="'SEO%20Silo%20Architecture'!A1" ref="B60"/>
    <hyperlink r:id="rId8" location="'Internal%20Linking%20Blueprint'!A1" ref="B61"/>
    <hyperlink r:id="rId9" location="'Content%20Roadmap'!A1" ref="B62"/>
    <hyperlink r:id="rId10" location="'Quick%20Wins'!A1" ref="B63"/>
  </hyperlinks>
  <printOptions/>
  <pageMargins bottom="1.0" footer="0.0" header="0.0" left="0.75" right="0.75" top="1.0"/>
  <pageSetup fitToHeight="0"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6.0"/>
    <col customWidth="1" min="3" max="3" width="62.0"/>
    <col customWidth="1" min="4" max="4" width="16.0"/>
    <col customWidth="1" min="5" max="26" width="8.71"/>
  </cols>
  <sheetData>
    <row r="1" ht="45.75" customHeight="1">
      <c r="A1" s="2" t="s">
        <v>0</v>
      </c>
      <c r="B1" s="3"/>
      <c r="C1" s="3"/>
      <c r="D1" s="4"/>
    </row>
    <row r="5" ht="21.75" customHeight="1">
      <c r="A5" s="5" t="s">
        <v>8</v>
      </c>
      <c r="B5" s="5" t="s">
        <v>13</v>
      </c>
      <c r="C5" s="5" t="s">
        <v>15</v>
      </c>
      <c r="D5" s="5" t="s">
        <v>16</v>
      </c>
    </row>
    <row r="6" ht="15.75" customHeight="1">
      <c r="A6" s="6" t="s">
        <v>18</v>
      </c>
      <c r="B6" s="6" t="s">
        <v>25</v>
      </c>
      <c r="C6" s="6" t="s">
        <v>28</v>
      </c>
      <c r="D6" s="7" t="s">
        <v>28</v>
      </c>
    </row>
    <row r="7" ht="15.75" customHeight="1">
      <c r="A7" s="8" t="s">
        <v>33</v>
      </c>
      <c r="B7" s="8" t="s">
        <v>36</v>
      </c>
      <c r="C7" s="8" t="s">
        <v>28</v>
      </c>
      <c r="D7" s="9" t="s">
        <v>28</v>
      </c>
    </row>
    <row r="8" ht="15.75" customHeight="1">
      <c r="A8" s="6" t="s">
        <v>40</v>
      </c>
      <c r="B8" s="6" t="s">
        <v>42</v>
      </c>
      <c r="C8" s="6" t="s">
        <v>28</v>
      </c>
      <c r="D8" s="7" t="s">
        <v>28</v>
      </c>
    </row>
    <row r="9" ht="15.75" customHeight="1">
      <c r="A9" s="8" t="s">
        <v>45</v>
      </c>
      <c r="B9" s="8" t="s">
        <v>47</v>
      </c>
      <c r="C9" s="8" t="s">
        <v>28</v>
      </c>
      <c r="D9" s="9" t="s">
        <v>28</v>
      </c>
    </row>
    <row r="10" ht="15.75" customHeight="1">
      <c r="A10" s="6" t="s">
        <v>50</v>
      </c>
      <c r="B10" s="6" t="s">
        <v>51</v>
      </c>
      <c r="C10" s="6" t="s">
        <v>53</v>
      </c>
      <c r="D10" s="7" t="s">
        <v>28</v>
      </c>
    </row>
    <row r="11" ht="52.5" customHeight="1">
      <c r="A11" s="6" t="s">
        <v>55</v>
      </c>
      <c r="B11" s="6" t="s">
        <v>57</v>
      </c>
      <c r="C11" s="6" t="s">
        <v>58</v>
      </c>
      <c r="D11" s="7" t="s">
        <v>28</v>
      </c>
    </row>
    <row r="12" ht="27.75" customHeight="1">
      <c r="A12" s="8" t="s">
        <v>60</v>
      </c>
      <c r="B12" s="8" t="s">
        <v>61</v>
      </c>
      <c r="C12" s="8" t="s">
        <v>62</v>
      </c>
      <c r="D12" s="9" t="s">
        <v>63</v>
      </c>
    </row>
    <row r="13" ht="40.5" customHeight="1">
      <c r="A13" s="6" t="s">
        <v>65</v>
      </c>
      <c r="B13" s="6" t="s">
        <v>67</v>
      </c>
      <c r="C13" s="6" t="s">
        <v>28</v>
      </c>
      <c r="D13" s="7" t="s">
        <v>28</v>
      </c>
    </row>
    <row r="14" ht="15.75" customHeight="1">
      <c r="A14" s="8" t="s">
        <v>70</v>
      </c>
      <c r="B14" s="8" t="s">
        <v>72</v>
      </c>
      <c r="C14" s="8" t="s">
        <v>28</v>
      </c>
      <c r="D14" s="9" t="s">
        <v>28</v>
      </c>
    </row>
    <row r="15" ht="15.75" customHeight="1">
      <c r="A15" s="6" t="s">
        <v>73</v>
      </c>
      <c r="B15" s="6" t="s">
        <v>74</v>
      </c>
      <c r="C15" s="6" t="s">
        <v>75</v>
      </c>
      <c r="D15" s="7" t="s">
        <v>76</v>
      </c>
    </row>
    <row r="16" ht="27.75" customHeight="1">
      <c r="A16" s="8" t="s">
        <v>77</v>
      </c>
      <c r="B16" s="8" t="s">
        <v>78</v>
      </c>
      <c r="C16" s="8" t="s">
        <v>79</v>
      </c>
      <c r="D16" s="9" t="s">
        <v>76</v>
      </c>
    </row>
    <row r="19">
      <c r="A19" s="10" t="s">
        <v>80</v>
      </c>
    </row>
    <row r="20" ht="21.75" customHeight="1">
      <c r="A20" s="1" t="s">
        <v>81</v>
      </c>
      <c r="B20" s="1" t="s">
        <v>82</v>
      </c>
      <c r="C20" s="1" t="s">
        <v>83</v>
      </c>
      <c r="D20" s="1" t="s">
        <v>84</v>
      </c>
    </row>
    <row r="21" ht="40.5" customHeight="1">
      <c r="A21" s="6" t="s">
        <v>85</v>
      </c>
      <c r="B21" s="6" t="s">
        <v>86</v>
      </c>
      <c r="C21" s="6" t="s">
        <v>88</v>
      </c>
      <c r="D21" s="7" t="s">
        <v>89</v>
      </c>
    </row>
    <row r="22" ht="40.5" customHeight="1">
      <c r="A22" s="8" t="s">
        <v>91</v>
      </c>
      <c r="B22" s="8" t="s">
        <v>92</v>
      </c>
      <c r="C22" s="8" t="s">
        <v>93</v>
      </c>
      <c r="D22" s="9" t="s">
        <v>94</v>
      </c>
    </row>
    <row r="23" ht="40.5" customHeight="1">
      <c r="A23" s="6" t="s">
        <v>95</v>
      </c>
      <c r="B23" s="6" t="s">
        <v>96</v>
      </c>
      <c r="C23" s="6" t="s">
        <v>97</v>
      </c>
      <c r="D23" s="7" t="s">
        <v>99</v>
      </c>
    </row>
    <row r="24" ht="40.5" customHeight="1">
      <c r="A24" s="8" t="s">
        <v>100</v>
      </c>
      <c r="B24" s="8" t="s">
        <v>101</v>
      </c>
      <c r="C24" s="8" t="s">
        <v>102</v>
      </c>
      <c r="D24" s="9" t="s">
        <v>94</v>
      </c>
    </row>
    <row r="25" ht="27.75" customHeight="1">
      <c r="A25" s="6" t="s">
        <v>103</v>
      </c>
      <c r="B25" s="6" t="s">
        <v>104</v>
      </c>
      <c r="C25" s="6" t="s">
        <v>105</v>
      </c>
      <c r="D25" s="7" t="s">
        <v>94</v>
      </c>
    </row>
    <row r="26" ht="27.75" customHeight="1">
      <c r="A26" s="8" t="s">
        <v>106</v>
      </c>
      <c r="B26" s="8" t="s">
        <v>108</v>
      </c>
      <c r="C26" s="8" t="s">
        <v>109</v>
      </c>
      <c r="D26" s="9" t="s">
        <v>94</v>
      </c>
    </row>
    <row r="27" ht="27.75" customHeight="1">
      <c r="A27" s="6" t="s">
        <v>110</v>
      </c>
      <c r="B27" s="6" t="s">
        <v>111</v>
      </c>
      <c r="C27" s="6" t="s">
        <v>113</v>
      </c>
      <c r="D27" s="7" t="s">
        <v>114</v>
      </c>
    </row>
    <row r="28" ht="27.75" customHeight="1">
      <c r="A28" s="8" t="s">
        <v>115</v>
      </c>
      <c r="B28" s="8" t="s">
        <v>116</v>
      </c>
      <c r="C28" s="8" t="s">
        <v>117</v>
      </c>
      <c r="D28" s="9" t="s">
        <v>94</v>
      </c>
    </row>
    <row r="29" ht="27.75" customHeight="1">
      <c r="A29" s="6" t="s">
        <v>120</v>
      </c>
      <c r="B29" s="6" t="s">
        <v>121</v>
      </c>
      <c r="C29" s="6" t="s">
        <v>122</v>
      </c>
      <c r="D29" s="7" t="s">
        <v>94</v>
      </c>
    </row>
    <row r="30" ht="27.75" customHeight="1">
      <c r="A30" s="8" t="s">
        <v>125</v>
      </c>
      <c r="B30" s="8" t="s">
        <v>127</v>
      </c>
      <c r="C30" s="8" t="s">
        <v>128</v>
      </c>
      <c r="D30" s="9" t="s">
        <v>114</v>
      </c>
    </row>
    <row r="31" ht="27.75" customHeight="1">
      <c r="A31" s="17"/>
      <c r="B31" s="17"/>
      <c r="C31" s="17"/>
      <c r="D31" s="18"/>
    </row>
    <row r="32" ht="15.75" customHeight="1"/>
    <row r="33" ht="15.75" customHeight="1">
      <c r="A33" s="10" t="s">
        <v>134</v>
      </c>
    </row>
    <row r="34" ht="21.75" customHeight="1">
      <c r="A34" s="1" t="s">
        <v>135</v>
      </c>
      <c r="B34" s="1" t="s">
        <v>136</v>
      </c>
      <c r="C34" s="1" t="s">
        <v>137</v>
      </c>
      <c r="D34" s="1" t="s">
        <v>16</v>
      </c>
    </row>
    <row r="35" ht="15.75" customHeight="1">
      <c r="A35" s="19" t="s">
        <v>46</v>
      </c>
      <c r="B35" s="21">
        <v>0.25</v>
      </c>
      <c r="C35" s="19" t="s">
        <v>138</v>
      </c>
      <c r="D35" s="19"/>
    </row>
    <row r="36" ht="15.75" customHeight="1">
      <c r="A36" s="19" t="s">
        <v>48</v>
      </c>
      <c r="B36" s="21">
        <v>0.15</v>
      </c>
      <c r="C36" s="19" t="s">
        <v>139</v>
      </c>
      <c r="D36" s="19"/>
    </row>
    <row r="37" ht="15.75" customHeight="1">
      <c r="A37" s="19" t="s">
        <v>49</v>
      </c>
      <c r="B37" s="21">
        <v>0.2</v>
      </c>
      <c r="C37" s="19" t="s">
        <v>140</v>
      </c>
      <c r="D37" s="19"/>
    </row>
    <row r="38" ht="15.75" customHeight="1">
      <c r="A38" s="19" t="s">
        <v>52</v>
      </c>
      <c r="B38" s="21">
        <v>0.15</v>
      </c>
      <c r="C38" s="19" t="s">
        <v>141</v>
      </c>
      <c r="D38" s="19"/>
    </row>
    <row r="39" ht="15.75" customHeight="1">
      <c r="A39" s="19" t="s">
        <v>54</v>
      </c>
      <c r="B39" s="21">
        <v>0.15</v>
      </c>
      <c r="C39" s="19" t="s">
        <v>143</v>
      </c>
      <c r="D39" s="19"/>
    </row>
    <row r="40" ht="15.75" customHeight="1">
      <c r="A40" s="19" t="s">
        <v>56</v>
      </c>
      <c r="B40" s="21">
        <v>0.1</v>
      </c>
      <c r="C40" s="19" t="s">
        <v>144</v>
      </c>
      <c r="D40" s="19"/>
    </row>
    <row r="41" ht="15.75" customHeight="1">
      <c r="A41" s="23" t="s">
        <v>149</v>
      </c>
      <c r="B41" s="24">
        <f>SUM(B35:B40)</f>
        <v>1</v>
      </c>
      <c r="C41" s="25" t="s">
        <v>157</v>
      </c>
      <c r="D41" s="23"/>
    </row>
    <row r="42" ht="15.75" customHeight="1"/>
    <row r="43" ht="21.75" customHeight="1">
      <c r="A43" s="1" t="s">
        <v>64</v>
      </c>
      <c r="B43" s="1" t="s">
        <v>160</v>
      </c>
      <c r="C43" s="1" t="s">
        <v>161</v>
      </c>
      <c r="D43" s="1" t="s">
        <v>16</v>
      </c>
    </row>
    <row r="44" ht="15.75" customHeight="1">
      <c r="A44" s="19" t="s">
        <v>89</v>
      </c>
      <c r="B44" s="26" t="s">
        <v>162</v>
      </c>
      <c r="C44" s="19" t="s">
        <v>163</v>
      </c>
      <c r="D44" s="27"/>
    </row>
    <row r="45" ht="15.75" customHeight="1">
      <c r="A45" s="28" t="s">
        <v>94</v>
      </c>
      <c r="B45" s="29" t="s">
        <v>164</v>
      </c>
      <c r="C45" s="28" t="s">
        <v>165</v>
      </c>
      <c r="D45" s="27"/>
    </row>
    <row r="46" ht="15.75" customHeight="1">
      <c r="A46" s="19" t="s">
        <v>114</v>
      </c>
      <c r="B46" s="26" t="s">
        <v>166</v>
      </c>
      <c r="C46" s="19" t="s">
        <v>167</v>
      </c>
      <c r="D46" s="27"/>
    </row>
    <row r="47" ht="15.75" customHeight="1">
      <c r="A47" s="28" t="s">
        <v>170</v>
      </c>
      <c r="B47" s="29" t="s">
        <v>172</v>
      </c>
      <c r="C47" s="28" t="s">
        <v>173</v>
      </c>
      <c r="D47" s="27"/>
    </row>
    <row r="48" ht="15.75" customHeight="1">
      <c r="A48" s="19" t="s">
        <v>176</v>
      </c>
      <c r="B48" s="26" t="s">
        <v>177</v>
      </c>
      <c r="C48" s="19" t="s">
        <v>178</v>
      </c>
      <c r="D48" s="2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19:D19"/>
    <mergeCell ref="A33:D33"/>
  </mergeCells>
  <conditionalFormatting sqref="A44:A48">
    <cfRule type="cellIs" dxfId="0" priority="1" operator="equal">
      <formula>"Critical"</formula>
    </cfRule>
  </conditionalFormatting>
  <conditionalFormatting sqref="A44:A48">
    <cfRule type="cellIs" dxfId="1" priority="2" operator="equal">
      <formula>"High"</formula>
    </cfRule>
  </conditionalFormatting>
  <conditionalFormatting sqref="A44:A48">
    <cfRule type="cellIs" dxfId="2" priority="3" operator="equal">
      <formula>"Medium"</formula>
    </cfRule>
  </conditionalFormatting>
  <conditionalFormatting sqref="A44:A48">
    <cfRule type="cellIs" dxfId="3" priority="4" operator="equal">
      <formula>"Low"</formula>
    </cfRule>
  </conditionalFormatting>
  <conditionalFormatting sqref="A44:A48">
    <cfRule type="cellIs" dxfId="4" priority="5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1.29"/>
    <col customWidth="1" min="2" max="2" width="22.29"/>
    <col customWidth="1" min="3" max="3" width="20.0"/>
    <col customWidth="1" min="4" max="4" width="31.57"/>
    <col customWidth="1" min="5" max="5" width="13.29"/>
    <col customWidth="1" min="6" max="6" width="7.29"/>
    <col customWidth="1" min="7" max="7" width="17.71"/>
    <col customWidth="1" min="8" max="8" width="8.86"/>
    <col customWidth="1" min="9" max="9" width="17.86"/>
    <col customWidth="1" min="10" max="10" width="9.86"/>
    <col customWidth="1" min="11" max="11" width="23.14"/>
    <col customWidth="1" min="12" max="12" width="9.86"/>
    <col customWidth="1" min="13" max="13" width="22.86"/>
    <col customWidth="1" min="14" max="14" width="14.14"/>
    <col customWidth="1" min="15" max="15" width="35.71"/>
    <col customWidth="1" min="16" max="17" width="10.57"/>
    <col customWidth="1" min="18" max="18" width="11.57"/>
    <col customWidth="1" min="19" max="19" width="10.57"/>
    <col customWidth="1" min="20" max="20" width="11.14"/>
    <col customWidth="1" min="21" max="21" width="11.29"/>
    <col customWidth="1" min="22" max="22" width="7.57"/>
    <col customWidth="1" min="23" max="23" width="7.71"/>
    <col customWidth="1" min="24" max="24" width="43.29"/>
    <col customWidth="1" min="25" max="25" width="12.43"/>
    <col customWidth="1" min="26" max="26" width="45.43"/>
    <col customWidth="1" min="27" max="27" width="8.14"/>
  </cols>
  <sheetData>
    <row r="1">
      <c r="A1" s="1" t="s">
        <v>2</v>
      </c>
      <c r="B1" s="1" t="s">
        <v>19</v>
      </c>
      <c r="C1" s="1" t="s">
        <v>20</v>
      </c>
      <c r="D1" s="1" t="s">
        <v>23</v>
      </c>
      <c r="E1" s="1" t="s">
        <v>27</v>
      </c>
      <c r="F1" s="1" t="s">
        <v>9</v>
      </c>
      <c r="G1" s="1" t="s">
        <v>30</v>
      </c>
      <c r="H1" s="1" t="s">
        <v>34</v>
      </c>
      <c r="I1" s="1" t="s">
        <v>35</v>
      </c>
      <c r="J1" s="1" t="s">
        <v>37</v>
      </c>
      <c r="K1" s="1" t="s">
        <v>38</v>
      </c>
      <c r="L1" s="1" t="s">
        <v>39</v>
      </c>
      <c r="M1" s="1" t="s">
        <v>41</v>
      </c>
      <c r="N1" s="1" t="s">
        <v>43</v>
      </c>
      <c r="O1" s="1" t="s">
        <v>44</v>
      </c>
      <c r="P1" s="1" t="s">
        <v>46</v>
      </c>
      <c r="Q1" s="1" t="s">
        <v>48</v>
      </c>
      <c r="R1" s="1" t="s">
        <v>49</v>
      </c>
      <c r="S1" s="1" t="s">
        <v>52</v>
      </c>
      <c r="T1" s="1" t="s">
        <v>54</v>
      </c>
      <c r="U1" s="1" t="s">
        <v>56</v>
      </c>
      <c r="V1" s="1" t="s">
        <v>59</v>
      </c>
      <c r="W1" s="1" t="s">
        <v>64</v>
      </c>
      <c r="X1" s="1" t="s">
        <v>66</v>
      </c>
      <c r="Y1" s="1" t="s">
        <v>68</v>
      </c>
      <c r="Z1" s="1" t="s">
        <v>69</v>
      </c>
      <c r="AA1" s="1" t="s">
        <v>71</v>
      </c>
    </row>
    <row r="2">
      <c r="A2" s="12" t="s">
        <v>21</v>
      </c>
      <c r="B2" s="12" t="s">
        <v>87</v>
      </c>
      <c r="C2" s="6" t="s">
        <v>90</v>
      </c>
      <c r="D2" s="6" t="s">
        <v>17</v>
      </c>
      <c r="E2" s="11" t="s">
        <v>29</v>
      </c>
      <c r="F2" s="11" t="s">
        <v>31</v>
      </c>
      <c r="G2" s="11" t="s">
        <v>98</v>
      </c>
      <c r="H2" s="14">
        <v>390.0</v>
      </c>
      <c r="I2" s="12" t="s">
        <v>107</v>
      </c>
      <c r="J2" s="15">
        <v>25.0</v>
      </c>
      <c r="K2" s="12" t="s">
        <v>112</v>
      </c>
      <c r="L2" s="16">
        <v>7.8</v>
      </c>
      <c r="M2" s="12" t="s">
        <v>118</v>
      </c>
      <c r="N2" s="11" t="str">
        <f t="shared" ref="N2:N242" si="1">IF(J2&lt;=20,"Easy",IF(J2&lt;=40,"Moderate",IF(J2&lt;=70,"Competitive","Very Competitive")))</f>
        <v>Moderate</v>
      </c>
      <c r="O2" s="6" t="s">
        <v>142</v>
      </c>
      <c r="P2" s="15">
        <v>5.0</v>
      </c>
      <c r="Q2" s="15">
        <v>5.0</v>
      </c>
      <c r="R2" s="15">
        <v>4.0</v>
      </c>
      <c r="S2" s="15">
        <v>5.0</v>
      </c>
      <c r="T2" s="15">
        <v>5.0</v>
      </c>
      <c r="U2" s="15">
        <v>5.0</v>
      </c>
      <c r="V2" s="11">
        <f>ROUND((P2*'Business Analysis'!$B$35+Q2*'Business Analysis'!$B$36+R2*'Business Analysis'!$B$37+S2*'Business Analysis'!$B$38+T2*'Business Analysis'!$B$39+U2*'Business Analysis'!$B$40)/5*100,0)</f>
        <v>96</v>
      </c>
      <c r="W2" s="11" t="str">
        <f t="shared" ref="W2:W242" si="2">IF(V2&gt;=90,"Critical",IF(V2&gt;=75,"High",IF(V2&gt;=60,"Medium",IF(V2&gt;=40,"Low","Optional"))))</f>
        <v>Critical</v>
      </c>
      <c r="X2" s="12" t="s">
        <v>180</v>
      </c>
      <c r="Y2" s="11" t="s">
        <v>181</v>
      </c>
      <c r="Z2" s="6" t="s">
        <v>182</v>
      </c>
      <c r="AA2" s="11" t="s">
        <v>183</v>
      </c>
    </row>
    <row r="3">
      <c r="A3" s="30" t="s">
        <v>188</v>
      </c>
      <c r="B3" s="30" t="s">
        <v>87</v>
      </c>
      <c r="C3" s="8" t="s">
        <v>90</v>
      </c>
      <c r="D3" s="8" t="s">
        <v>17</v>
      </c>
      <c r="E3" s="20" t="s">
        <v>29</v>
      </c>
      <c r="F3" s="20" t="s">
        <v>31</v>
      </c>
      <c r="G3" s="20" t="s">
        <v>191</v>
      </c>
      <c r="H3" s="31">
        <v>260.0</v>
      </c>
      <c r="I3" s="30" t="s">
        <v>107</v>
      </c>
      <c r="J3" s="32">
        <v>26.0</v>
      </c>
      <c r="K3" s="30" t="s">
        <v>112</v>
      </c>
      <c r="L3" s="33">
        <v>7.4</v>
      </c>
      <c r="M3" s="30" t="s">
        <v>118</v>
      </c>
      <c r="N3" s="20" t="str">
        <f t="shared" si="1"/>
        <v>Moderate</v>
      </c>
      <c r="O3" s="8" t="s">
        <v>142</v>
      </c>
      <c r="P3" s="32">
        <v>5.0</v>
      </c>
      <c r="Q3" s="32">
        <v>5.0</v>
      </c>
      <c r="R3" s="32">
        <v>3.0</v>
      </c>
      <c r="S3" s="32">
        <v>5.0</v>
      </c>
      <c r="T3" s="32">
        <v>5.0</v>
      </c>
      <c r="U3" s="32">
        <v>5.0</v>
      </c>
      <c r="V3" s="20">
        <f>ROUND((P3*'Business Analysis'!$B$35+Q3*'Business Analysis'!$B$36+R3*'Business Analysis'!$B$37+S3*'Business Analysis'!$B$38+T3*'Business Analysis'!$B$39+U3*'Business Analysis'!$B$40)/5*100,0)</f>
        <v>92</v>
      </c>
      <c r="W3" s="20" t="str">
        <f t="shared" si="2"/>
        <v>Critical</v>
      </c>
      <c r="X3" s="30" t="s">
        <v>180</v>
      </c>
      <c r="Y3" s="20" t="s">
        <v>181</v>
      </c>
      <c r="Z3" s="8" t="s">
        <v>213</v>
      </c>
      <c r="AA3" s="20" t="s">
        <v>183</v>
      </c>
    </row>
    <row r="4">
      <c r="A4" s="12" t="s">
        <v>214</v>
      </c>
      <c r="B4" s="12" t="s">
        <v>87</v>
      </c>
      <c r="C4" s="6" t="s">
        <v>90</v>
      </c>
      <c r="D4" s="6" t="s">
        <v>17</v>
      </c>
      <c r="E4" s="11" t="s">
        <v>29</v>
      </c>
      <c r="F4" s="11" t="s">
        <v>31</v>
      </c>
      <c r="G4" s="11" t="s">
        <v>191</v>
      </c>
      <c r="H4" s="14">
        <v>210.0</v>
      </c>
      <c r="I4" s="12" t="s">
        <v>107</v>
      </c>
      <c r="J4" s="15">
        <v>24.0</v>
      </c>
      <c r="K4" s="12" t="s">
        <v>112</v>
      </c>
      <c r="L4" s="16">
        <v>7.1</v>
      </c>
      <c r="M4" s="12" t="s">
        <v>118</v>
      </c>
      <c r="N4" s="11" t="str">
        <f t="shared" si="1"/>
        <v>Moderate</v>
      </c>
      <c r="O4" s="6" t="s">
        <v>142</v>
      </c>
      <c r="P4" s="15">
        <v>5.0</v>
      </c>
      <c r="Q4" s="15">
        <v>4.0</v>
      </c>
      <c r="R4" s="15">
        <v>4.0</v>
      </c>
      <c r="S4" s="15">
        <v>5.0</v>
      </c>
      <c r="T4" s="15">
        <v>5.0</v>
      </c>
      <c r="U4" s="15">
        <v>5.0</v>
      </c>
      <c r="V4" s="11">
        <f>ROUND((P4*'Business Analysis'!$B$35+Q4*'Business Analysis'!$B$36+R4*'Business Analysis'!$B$37+S4*'Business Analysis'!$B$38+T4*'Business Analysis'!$B$39+U4*'Business Analysis'!$B$40)/5*100,0)</f>
        <v>93</v>
      </c>
      <c r="W4" s="11" t="str">
        <f t="shared" si="2"/>
        <v>Critical</v>
      </c>
      <c r="X4" s="12" t="s">
        <v>180</v>
      </c>
      <c r="Y4" s="11" t="s">
        <v>181</v>
      </c>
      <c r="Z4" s="6" t="s">
        <v>213</v>
      </c>
      <c r="AA4" s="11" t="s">
        <v>183</v>
      </c>
    </row>
    <row r="5">
      <c r="A5" s="30" t="s">
        <v>227</v>
      </c>
      <c r="B5" s="30" t="s">
        <v>130</v>
      </c>
      <c r="C5" s="8" t="s">
        <v>90</v>
      </c>
      <c r="D5" s="8" t="s">
        <v>17</v>
      </c>
      <c r="E5" s="20" t="s">
        <v>130</v>
      </c>
      <c r="F5" s="20" t="s">
        <v>131</v>
      </c>
      <c r="G5" s="20" t="s">
        <v>191</v>
      </c>
      <c r="H5" s="31">
        <v>260.0</v>
      </c>
      <c r="I5" s="30" t="s">
        <v>107</v>
      </c>
      <c r="J5" s="32">
        <v>27.0</v>
      </c>
      <c r="K5" s="30" t="s">
        <v>112</v>
      </c>
      <c r="L5" s="33">
        <v>6.9</v>
      </c>
      <c r="M5" s="30" t="s">
        <v>118</v>
      </c>
      <c r="N5" s="20" t="str">
        <f t="shared" si="1"/>
        <v>Moderate</v>
      </c>
      <c r="O5" s="8" t="s">
        <v>142</v>
      </c>
      <c r="P5" s="32">
        <v>5.0</v>
      </c>
      <c r="Q5" s="32">
        <v>5.0</v>
      </c>
      <c r="R5" s="32">
        <v>3.0</v>
      </c>
      <c r="S5" s="32">
        <v>4.0</v>
      </c>
      <c r="T5" s="32">
        <v>4.0</v>
      </c>
      <c r="U5" s="32">
        <v>5.0</v>
      </c>
      <c r="V5" s="20">
        <f>ROUND((P5*'Business Analysis'!$B$35+Q5*'Business Analysis'!$B$36+R5*'Business Analysis'!$B$37+S5*'Business Analysis'!$B$38+T5*'Business Analysis'!$B$39+U5*'Business Analysis'!$B$40)/5*100,0)</f>
        <v>86</v>
      </c>
      <c r="W5" s="20" t="str">
        <f t="shared" si="2"/>
        <v>High</v>
      </c>
      <c r="X5" s="30" t="s">
        <v>180</v>
      </c>
      <c r="Y5" s="20" t="s">
        <v>181</v>
      </c>
      <c r="Z5" s="8" t="s">
        <v>234</v>
      </c>
      <c r="AA5" s="20" t="s">
        <v>183</v>
      </c>
    </row>
    <row r="6">
      <c r="A6" s="12" t="s">
        <v>235</v>
      </c>
      <c r="B6" s="12" t="s">
        <v>130</v>
      </c>
      <c r="C6" s="6" t="s">
        <v>90</v>
      </c>
      <c r="D6" s="6" t="s">
        <v>17</v>
      </c>
      <c r="E6" s="11" t="s">
        <v>130</v>
      </c>
      <c r="F6" s="11" t="s">
        <v>131</v>
      </c>
      <c r="G6" s="11" t="s">
        <v>191</v>
      </c>
      <c r="H6" s="14">
        <v>170.0</v>
      </c>
      <c r="I6" s="12" t="s">
        <v>107</v>
      </c>
      <c r="J6" s="15">
        <v>30.0</v>
      </c>
      <c r="K6" s="12" t="s">
        <v>112</v>
      </c>
      <c r="L6" s="16">
        <v>7.2</v>
      </c>
      <c r="M6" s="12" t="s">
        <v>118</v>
      </c>
      <c r="N6" s="11" t="str">
        <f t="shared" si="1"/>
        <v>Moderate</v>
      </c>
      <c r="O6" s="6" t="s">
        <v>142</v>
      </c>
      <c r="P6" s="15">
        <v>5.0</v>
      </c>
      <c r="Q6" s="15">
        <v>4.0</v>
      </c>
      <c r="R6" s="15">
        <v>3.0</v>
      </c>
      <c r="S6" s="15">
        <v>4.0</v>
      </c>
      <c r="T6" s="15">
        <v>4.0</v>
      </c>
      <c r="U6" s="15">
        <v>5.0</v>
      </c>
      <c r="V6" s="11">
        <f>ROUND((P6*'Business Analysis'!$B$35+Q6*'Business Analysis'!$B$36+R6*'Business Analysis'!$B$37+S6*'Business Analysis'!$B$38+T6*'Business Analysis'!$B$39+U6*'Business Analysis'!$B$40)/5*100,0)</f>
        <v>83</v>
      </c>
      <c r="W6" s="11" t="str">
        <f t="shared" si="2"/>
        <v>High</v>
      </c>
      <c r="X6" s="12" t="s">
        <v>180</v>
      </c>
      <c r="Y6" s="11" t="s">
        <v>181</v>
      </c>
      <c r="Z6" s="6" t="s">
        <v>248</v>
      </c>
      <c r="AA6" s="11" t="s">
        <v>183</v>
      </c>
    </row>
    <row r="7">
      <c r="A7" s="30" t="s">
        <v>249</v>
      </c>
      <c r="B7" s="30" t="s">
        <v>130</v>
      </c>
      <c r="C7" s="8" t="s">
        <v>90</v>
      </c>
      <c r="D7" s="8" t="s">
        <v>17</v>
      </c>
      <c r="E7" s="20" t="s">
        <v>130</v>
      </c>
      <c r="F7" s="20" t="s">
        <v>131</v>
      </c>
      <c r="G7" s="20" t="s">
        <v>191</v>
      </c>
      <c r="H7" s="31">
        <v>70.0</v>
      </c>
      <c r="I7" s="30" t="s">
        <v>107</v>
      </c>
      <c r="J7" s="32">
        <v>26.0</v>
      </c>
      <c r="K7" s="30" t="s">
        <v>112</v>
      </c>
      <c r="L7" s="33">
        <v>6.8</v>
      </c>
      <c r="M7" s="30" t="s">
        <v>118</v>
      </c>
      <c r="N7" s="20" t="str">
        <f t="shared" si="1"/>
        <v>Moderate</v>
      </c>
      <c r="O7" s="8" t="s">
        <v>142</v>
      </c>
      <c r="P7" s="32">
        <v>5.0</v>
      </c>
      <c r="Q7" s="32">
        <v>3.0</v>
      </c>
      <c r="R7" s="32">
        <v>3.0</v>
      </c>
      <c r="S7" s="32">
        <v>4.0</v>
      </c>
      <c r="T7" s="32">
        <v>4.0</v>
      </c>
      <c r="U7" s="32">
        <v>5.0</v>
      </c>
      <c r="V7" s="20">
        <f>ROUND((P7*'Business Analysis'!$B$35+Q7*'Business Analysis'!$B$36+R7*'Business Analysis'!$B$37+S7*'Business Analysis'!$B$38+T7*'Business Analysis'!$B$39+U7*'Business Analysis'!$B$40)/5*100,0)</f>
        <v>80</v>
      </c>
      <c r="W7" s="20" t="str">
        <f t="shared" si="2"/>
        <v>High</v>
      </c>
      <c r="X7" s="30" t="s">
        <v>180</v>
      </c>
      <c r="Y7" s="20" t="s">
        <v>181</v>
      </c>
      <c r="Z7" s="8" t="s">
        <v>234</v>
      </c>
      <c r="AA7" s="20" t="s">
        <v>183</v>
      </c>
    </row>
    <row r="8">
      <c r="A8" s="12" t="s">
        <v>265</v>
      </c>
      <c r="B8" s="12" t="s">
        <v>87</v>
      </c>
      <c r="C8" s="6" t="s">
        <v>90</v>
      </c>
      <c r="D8" s="6" t="s">
        <v>17</v>
      </c>
      <c r="E8" s="11" t="s">
        <v>29</v>
      </c>
      <c r="F8" s="11" t="s">
        <v>31</v>
      </c>
      <c r="G8" s="11" t="s">
        <v>191</v>
      </c>
      <c r="H8" s="14">
        <v>140.0</v>
      </c>
      <c r="I8" s="12" t="s">
        <v>107</v>
      </c>
      <c r="J8" s="15">
        <v>22.0</v>
      </c>
      <c r="K8" s="12" t="s">
        <v>112</v>
      </c>
      <c r="L8" s="16">
        <v>7.0</v>
      </c>
      <c r="M8" s="12" t="s">
        <v>118</v>
      </c>
      <c r="N8" s="11" t="str">
        <f t="shared" si="1"/>
        <v>Moderate</v>
      </c>
      <c r="O8" s="6" t="s">
        <v>142</v>
      </c>
      <c r="P8" s="15">
        <v>5.0</v>
      </c>
      <c r="Q8" s="15">
        <v>4.0</v>
      </c>
      <c r="R8" s="15">
        <v>4.0</v>
      </c>
      <c r="S8" s="15">
        <v>5.0</v>
      </c>
      <c r="T8" s="15">
        <v>5.0</v>
      </c>
      <c r="U8" s="15">
        <v>5.0</v>
      </c>
      <c r="V8" s="11">
        <f>ROUND((P8*'Business Analysis'!$B$35+Q8*'Business Analysis'!$B$36+R8*'Business Analysis'!$B$37+S8*'Business Analysis'!$B$38+T8*'Business Analysis'!$B$39+U8*'Business Analysis'!$B$40)/5*100,0)</f>
        <v>93</v>
      </c>
      <c r="W8" s="11" t="str">
        <f t="shared" si="2"/>
        <v>Critical</v>
      </c>
      <c r="X8" s="12" t="s">
        <v>180</v>
      </c>
      <c r="Y8" s="11" t="s">
        <v>181</v>
      </c>
      <c r="Z8" s="6" t="s">
        <v>213</v>
      </c>
      <c r="AA8" s="11" t="s">
        <v>183</v>
      </c>
    </row>
    <row r="9">
      <c r="A9" s="30" t="s">
        <v>301</v>
      </c>
      <c r="B9" s="30" t="s">
        <v>87</v>
      </c>
      <c r="C9" s="8" t="s">
        <v>90</v>
      </c>
      <c r="D9" s="8" t="s">
        <v>17</v>
      </c>
      <c r="E9" s="20" t="s">
        <v>29</v>
      </c>
      <c r="F9" s="20" t="s">
        <v>31</v>
      </c>
      <c r="G9" s="20" t="s">
        <v>191</v>
      </c>
      <c r="H9" s="31">
        <v>60.0</v>
      </c>
      <c r="I9" s="30" t="s">
        <v>107</v>
      </c>
      <c r="J9" s="32">
        <v>20.0</v>
      </c>
      <c r="K9" s="30" t="s">
        <v>112</v>
      </c>
      <c r="L9" s="33">
        <v>6.5</v>
      </c>
      <c r="M9" s="30" t="s">
        <v>118</v>
      </c>
      <c r="N9" s="20" t="str">
        <f t="shared" si="1"/>
        <v>Easy</v>
      </c>
      <c r="O9" s="8" t="s">
        <v>142</v>
      </c>
      <c r="P9" s="32">
        <v>5.0</v>
      </c>
      <c r="Q9" s="32">
        <v>3.0</v>
      </c>
      <c r="R9" s="32">
        <v>4.0</v>
      </c>
      <c r="S9" s="32">
        <v>5.0</v>
      </c>
      <c r="T9" s="32">
        <v>5.0</v>
      </c>
      <c r="U9" s="32">
        <v>5.0</v>
      </c>
      <c r="V9" s="20">
        <f>ROUND((P9*'Business Analysis'!$B$35+Q9*'Business Analysis'!$B$36+R9*'Business Analysis'!$B$37+S9*'Business Analysis'!$B$38+T9*'Business Analysis'!$B$39+U9*'Business Analysis'!$B$40)/5*100,0)</f>
        <v>90</v>
      </c>
      <c r="W9" s="20" t="str">
        <f t="shared" si="2"/>
        <v>Critical</v>
      </c>
      <c r="X9" s="30" t="s">
        <v>180</v>
      </c>
      <c r="Y9" s="20" t="s">
        <v>181</v>
      </c>
      <c r="Z9" s="8" t="s">
        <v>213</v>
      </c>
      <c r="AA9" s="20" t="s">
        <v>183</v>
      </c>
    </row>
    <row r="10">
      <c r="A10" s="12" t="s">
        <v>339</v>
      </c>
      <c r="B10" s="12" t="s">
        <v>87</v>
      </c>
      <c r="C10" s="6" t="s">
        <v>90</v>
      </c>
      <c r="D10" s="6" t="s">
        <v>17</v>
      </c>
      <c r="E10" s="11" t="s">
        <v>29</v>
      </c>
      <c r="F10" s="11" t="s">
        <v>31</v>
      </c>
      <c r="G10" s="11" t="s">
        <v>191</v>
      </c>
      <c r="H10" s="14">
        <v>90.0</v>
      </c>
      <c r="I10" s="12" t="s">
        <v>107</v>
      </c>
      <c r="J10" s="15">
        <v>23.0</v>
      </c>
      <c r="K10" s="12" t="s">
        <v>112</v>
      </c>
      <c r="L10" s="16">
        <v>6.9</v>
      </c>
      <c r="M10" s="12" t="s">
        <v>118</v>
      </c>
      <c r="N10" s="11" t="str">
        <f t="shared" si="1"/>
        <v>Moderate</v>
      </c>
      <c r="O10" s="6" t="s">
        <v>142</v>
      </c>
      <c r="P10" s="15">
        <v>5.0</v>
      </c>
      <c r="Q10" s="15">
        <v>3.0</v>
      </c>
      <c r="R10" s="15">
        <v>4.0</v>
      </c>
      <c r="S10" s="15">
        <v>5.0</v>
      </c>
      <c r="T10" s="15">
        <v>5.0</v>
      </c>
      <c r="U10" s="15">
        <v>5.0</v>
      </c>
      <c r="V10" s="11">
        <f>ROUND((P10*'Business Analysis'!$B$35+Q10*'Business Analysis'!$B$36+R10*'Business Analysis'!$B$37+S10*'Business Analysis'!$B$38+T10*'Business Analysis'!$B$39+U10*'Business Analysis'!$B$40)/5*100,0)</f>
        <v>90</v>
      </c>
      <c r="W10" s="11" t="str">
        <f t="shared" si="2"/>
        <v>Critical</v>
      </c>
      <c r="X10" s="12" t="s">
        <v>180</v>
      </c>
      <c r="Y10" s="11" t="s">
        <v>181</v>
      </c>
      <c r="Z10" s="6" t="s">
        <v>213</v>
      </c>
      <c r="AA10" s="11" t="s">
        <v>183</v>
      </c>
    </row>
    <row r="11">
      <c r="A11" s="30" t="s">
        <v>352</v>
      </c>
      <c r="B11" s="30" t="s">
        <v>29</v>
      </c>
      <c r="C11" s="8" t="s">
        <v>90</v>
      </c>
      <c r="D11" s="8" t="s">
        <v>17</v>
      </c>
      <c r="E11" s="20" t="s">
        <v>29</v>
      </c>
      <c r="F11" s="20" t="s">
        <v>31</v>
      </c>
      <c r="G11" s="20" t="s">
        <v>191</v>
      </c>
      <c r="H11" s="31">
        <v>90.0</v>
      </c>
      <c r="I11" s="30" t="s">
        <v>107</v>
      </c>
      <c r="J11" s="32">
        <v>28.0</v>
      </c>
      <c r="K11" s="30" t="s">
        <v>112</v>
      </c>
      <c r="L11" s="33">
        <v>8.1</v>
      </c>
      <c r="M11" s="30" t="s">
        <v>118</v>
      </c>
      <c r="N11" s="20" t="str">
        <f t="shared" si="1"/>
        <v>Moderate</v>
      </c>
      <c r="O11" s="8" t="s">
        <v>142</v>
      </c>
      <c r="P11" s="32">
        <v>5.0</v>
      </c>
      <c r="Q11" s="32">
        <v>3.0</v>
      </c>
      <c r="R11" s="32">
        <v>3.0</v>
      </c>
      <c r="S11" s="32">
        <v>5.0</v>
      </c>
      <c r="T11" s="32">
        <v>5.0</v>
      </c>
      <c r="U11" s="32">
        <v>5.0</v>
      </c>
      <c r="V11" s="20">
        <f>ROUND((P11*'Business Analysis'!$B$35+Q11*'Business Analysis'!$B$36+R11*'Business Analysis'!$B$37+S11*'Business Analysis'!$B$38+T11*'Business Analysis'!$B$39+U11*'Business Analysis'!$B$40)/5*100,0)</f>
        <v>86</v>
      </c>
      <c r="W11" s="20" t="str">
        <f t="shared" si="2"/>
        <v>High</v>
      </c>
      <c r="X11" s="30" t="s">
        <v>180</v>
      </c>
      <c r="Y11" s="20" t="s">
        <v>181</v>
      </c>
      <c r="Z11" s="8" t="s">
        <v>369</v>
      </c>
      <c r="AA11" s="20" t="s">
        <v>183</v>
      </c>
    </row>
    <row r="12">
      <c r="A12" s="12" t="s">
        <v>370</v>
      </c>
      <c r="B12" s="12" t="s">
        <v>29</v>
      </c>
      <c r="C12" s="6" t="s">
        <v>90</v>
      </c>
      <c r="D12" s="6" t="s">
        <v>17</v>
      </c>
      <c r="E12" s="11" t="s">
        <v>29</v>
      </c>
      <c r="F12" s="11" t="s">
        <v>31</v>
      </c>
      <c r="G12" s="11" t="s">
        <v>98</v>
      </c>
      <c r="H12" s="14">
        <v>70.0</v>
      </c>
      <c r="I12" s="12" t="s">
        <v>107</v>
      </c>
      <c r="J12" s="15">
        <v>19.0</v>
      </c>
      <c r="K12" s="12" t="s">
        <v>112</v>
      </c>
      <c r="L12" s="16">
        <v>7.5</v>
      </c>
      <c r="M12" s="12" t="s">
        <v>118</v>
      </c>
      <c r="N12" s="11" t="str">
        <f t="shared" si="1"/>
        <v>Easy</v>
      </c>
      <c r="O12" s="6" t="s">
        <v>142</v>
      </c>
      <c r="P12" s="15">
        <v>5.0</v>
      </c>
      <c r="Q12" s="15">
        <v>3.0</v>
      </c>
      <c r="R12" s="15">
        <v>4.0</v>
      </c>
      <c r="S12" s="15">
        <v>5.0</v>
      </c>
      <c r="T12" s="15">
        <v>5.0</v>
      </c>
      <c r="U12" s="15">
        <v>5.0</v>
      </c>
      <c r="V12" s="11">
        <f>ROUND((P12*'Business Analysis'!$B$35+Q12*'Business Analysis'!$B$36+R12*'Business Analysis'!$B$37+S12*'Business Analysis'!$B$38+T12*'Business Analysis'!$B$39+U12*'Business Analysis'!$B$40)/5*100,0)</f>
        <v>90</v>
      </c>
      <c r="W12" s="11" t="str">
        <f t="shared" si="2"/>
        <v>Critical</v>
      </c>
      <c r="X12" s="12" t="s">
        <v>386</v>
      </c>
      <c r="Y12" s="11" t="s">
        <v>388</v>
      </c>
      <c r="Z12" s="6" t="s">
        <v>213</v>
      </c>
      <c r="AA12" s="11" t="s">
        <v>183</v>
      </c>
    </row>
    <row r="13">
      <c r="A13" s="30" t="s">
        <v>392</v>
      </c>
      <c r="B13" s="30" t="s">
        <v>29</v>
      </c>
      <c r="C13" s="8" t="s">
        <v>90</v>
      </c>
      <c r="D13" s="8" t="s">
        <v>17</v>
      </c>
      <c r="E13" s="20" t="s">
        <v>29</v>
      </c>
      <c r="F13" s="20" t="s">
        <v>31</v>
      </c>
      <c r="G13" s="20" t="s">
        <v>191</v>
      </c>
      <c r="H13" s="31">
        <v>50.0</v>
      </c>
      <c r="I13" s="30" t="s">
        <v>107</v>
      </c>
      <c r="J13" s="32">
        <v>18.0</v>
      </c>
      <c r="K13" s="30" t="s">
        <v>112</v>
      </c>
      <c r="L13" s="33">
        <v>7.2</v>
      </c>
      <c r="M13" s="30" t="s">
        <v>118</v>
      </c>
      <c r="N13" s="20" t="str">
        <f t="shared" si="1"/>
        <v>Easy</v>
      </c>
      <c r="O13" s="8" t="s">
        <v>142</v>
      </c>
      <c r="P13" s="32">
        <v>5.0</v>
      </c>
      <c r="Q13" s="32">
        <v>3.0</v>
      </c>
      <c r="R13" s="32">
        <v>4.0</v>
      </c>
      <c r="S13" s="32">
        <v>5.0</v>
      </c>
      <c r="T13" s="32">
        <v>5.0</v>
      </c>
      <c r="U13" s="32">
        <v>5.0</v>
      </c>
      <c r="V13" s="20">
        <f>ROUND((P13*'Business Analysis'!$B$35+Q13*'Business Analysis'!$B$36+R13*'Business Analysis'!$B$37+S13*'Business Analysis'!$B$38+T13*'Business Analysis'!$B$39+U13*'Business Analysis'!$B$40)/5*100,0)</f>
        <v>90</v>
      </c>
      <c r="W13" s="20" t="str">
        <f t="shared" si="2"/>
        <v>Critical</v>
      </c>
      <c r="X13" s="30" t="s">
        <v>386</v>
      </c>
      <c r="Y13" s="20" t="s">
        <v>388</v>
      </c>
      <c r="Z13" s="8" t="s">
        <v>213</v>
      </c>
      <c r="AA13" s="20" t="s">
        <v>183</v>
      </c>
    </row>
    <row r="14">
      <c r="A14" s="12" t="s">
        <v>399</v>
      </c>
      <c r="B14" s="12" t="s">
        <v>29</v>
      </c>
      <c r="C14" s="6" t="s">
        <v>90</v>
      </c>
      <c r="D14" s="6" t="s">
        <v>17</v>
      </c>
      <c r="E14" s="11" t="s">
        <v>29</v>
      </c>
      <c r="F14" s="11" t="s">
        <v>31</v>
      </c>
      <c r="G14" s="11" t="s">
        <v>191</v>
      </c>
      <c r="H14" s="14">
        <v>40.0</v>
      </c>
      <c r="I14" s="12" t="s">
        <v>107</v>
      </c>
      <c r="J14" s="15">
        <v>17.0</v>
      </c>
      <c r="K14" s="12" t="s">
        <v>112</v>
      </c>
      <c r="L14" s="16">
        <v>6.8</v>
      </c>
      <c r="M14" s="12" t="s">
        <v>118</v>
      </c>
      <c r="N14" s="11" t="str">
        <f t="shared" si="1"/>
        <v>Easy</v>
      </c>
      <c r="O14" s="6" t="s">
        <v>142</v>
      </c>
      <c r="P14" s="15">
        <v>5.0</v>
      </c>
      <c r="Q14" s="15">
        <v>2.0</v>
      </c>
      <c r="R14" s="15">
        <v>4.0</v>
      </c>
      <c r="S14" s="15">
        <v>5.0</v>
      </c>
      <c r="T14" s="15">
        <v>5.0</v>
      </c>
      <c r="U14" s="15">
        <v>5.0</v>
      </c>
      <c r="V14" s="11">
        <f>ROUND((P14*'Business Analysis'!$B$35+Q14*'Business Analysis'!$B$36+R14*'Business Analysis'!$B$37+S14*'Business Analysis'!$B$38+T14*'Business Analysis'!$B$39+U14*'Business Analysis'!$B$40)/5*100,0)</f>
        <v>87</v>
      </c>
      <c r="W14" s="11" t="str">
        <f t="shared" si="2"/>
        <v>High</v>
      </c>
      <c r="X14" s="12" t="s">
        <v>408</v>
      </c>
      <c r="Y14" s="11" t="s">
        <v>181</v>
      </c>
      <c r="Z14" s="6" t="s">
        <v>409</v>
      </c>
      <c r="AA14" s="11" t="s">
        <v>183</v>
      </c>
    </row>
    <row r="15">
      <c r="A15" s="30" t="s">
        <v>411</v>
      </c>
      <c r="B15" s="30" t="s">
        <v>50</v>
      </c>
      <c r="C15" s="8" t="s">
        <v>90</v>
      </c>
      <c r="D15" s="8" t="s">
        <v>17</v>
      </c>
      <c r="E15" s="20" t="s">
        <v>29</v>
      </c>
      <c r="F15" s="20" t="s">
        <v>31</v>
      </c>
      <c r="G15" s="20" t="s">
        <v>98</v>
      </c>
      <c r="H15" s="31">
        <v>40.0</v>
      </c>
      <c r="I15" s="30" t="s">
        <v>107</v>
      </c>
      <c r="J15" s="32">
        <v>16.0</v>
      </c>
      <c r="K15" s="30" t="s">
        <v>112</v>
      </c>
      <c r="L15" s="33">
        <v>6.4</v>
      </c>
      <c r="M15" s="30" t="s">
        <v>118</v>
      </c>
      <c r="N15" s="20" t="str">
        <f t="shared" si="1"/>
        <v>Easy</v>
      </c>
      <c r="O15" s="8" t="s">
        <v>142</v>
      </c>
      <c r="P15" s="32">
        <v>5.0</v>
      </c>
      <c r="Q15" s="32">
        <v>2.0</v>
      </c>
      <c r="R15" s="32">
        <v>4.0</v>
      </c>
      <c r="S15" s="32">
        <v>5.0</v>
      </c>
      <c r="T15" s="32">
        <v>5.0</v>
      </c>
      <c r="U15" s="32">
        <v>5.0</v>
      </c>
      <c r="V15" s="20">
        <f>ROUND((P15*'Business Analysis'!$B$35+Q15*'Business Analysis'!$B$36+R15*'Business Analysis'!$B$37+S15*'Business Analysis'!$B$38+T15*'Business Analysis'!$B$39+U15*'Business Analysis'!$B$40)/5*100,0)</f>
        <v>87</v>
      </c>
      <c r="W15" s="20" t="str">
        <f t="shared" si="2"/>
        <v>High</v>
      </c>
      <c r="X15" s="30" t="s">
        <v>417</v>
      </c>
      <c r="Y15" s="20" t="s">
        <v>388</v>
      </c>
      <c r="Z15" s="8" t="s">
        <v>213</v>
      </c>
      <c r="AA15" s="20" t="s">
        <v>183</v>
      </c>
    </row>
    <row r="16">
      <c r="A16" s="12" t="s">
        <v>418</v>
      </c>
      <c r="B16" s="12" t="s">
        <v>29</v>
      </c>
      <c r="C16" s="6" t="s">
        <v>90</v>
      </c>
      <c r="D16" s="6" t="s">
        <v>17</v>
      </c>
      <c r="E16" s="11" t="s">
        <v>29</v>
      </c>
      <c r="F16" s="11" t="s">
        <v>31</v>
      </c>
      <c r="G16" s="11" t="s">
        <v>191</v>
      </c>
      <c r="H16" s="14">
        <v>1830000.0</v>
      </c>
      <c r="I16" s="12" t="s">
        <v>107</v>
      </c>
      <c r="J16" s="15">
        <v>80.0</v>
      </c>
      <c r="K16" s="12" t="s">
        <v>112</v>
      </c>
      <c r="L16" s="16">
        <v>9.5</v>
      </c>
      <c r="M16" s="12" t="s">
        <v>118</v>
      </c>
      <c r="N16" s="11" t="str">
        <f t="shared" si="1"/>
        <v>Very Competitive</v>
      </c>
      <c r="O16" s="6" t="s">
        <v>420</v>
      </c>
      <c r="P16" s="15">
        <v>3.0</v>
      </c>
      <c r="Q16" s="15">
        <v>5.0</v>
      </c>
      <c r="R16" s="15">
        <v>1.0</v>
      </c>
      <c r="S16" s="15">
        <v>5.0</v>
      </c>
      <c r="T16" s="15">
        <v>3.0</v>
      </c>
      <c r="U16" s="15">
        <v>3.0</v>
      </c>
      <c r="V16" s="11">
        <f>ROUND((P16*'Business Analysis'!$B$35+Q16*'Business Analysis'!$B$36+R16*'Business Analysis'!$B$37+S16*'Business Analysis'!$B$38+T16*'Business Analysis'!$B$39+U16*'Business Analysis'!$B$40)/5*100,0)</f>
        <v>64</v>
      </c>
      <c r="W16" s="11" t="str">
        <f t="shared" si="2"/>
        <v>Medium</v>
      </c>
      <c r="X16" s="12" t="s">
        <v>180</v>
      </c>
      <c r="Y16" s="11" t="s">
        <v>181</v>
      </c>
      <c r="Z16" s="6" t="s">
        <v>428</v>
      </c>
      <c r="AA16" s="11" t="s">
        <v>430</v>
      </c>
    </row>
    <row r="17">
      <c r="A17" s="30" t="s">
        <v>123</v>
      </c>
      <c r="B17" s="30" t="s">
        <v>130</v>
      </c>
      <c r="C17" s="8" t="s">
        <v>431</v>
      </c>
      <c r="D17" s="8" t="s">
        <v>119</v>
      </c>
      <c r="E17" s="20" t="s">
        <v>130</v>
      </c>
      <c r="F17" s="20" t="s">
        <v>131</v>
      </c>
      <c r="G17" s="20" t="s">
        <v>98</v>
      </c>
      <c r="H17" s="31">
        <v>110.0</v>
      </c>
      <c r="I17" s="30" t="s">
        <v>107</v>
      </c>
      <c r="J17" s="32">
        <v>21.0</v>
      </c>
      <c r="K17" s="30" t="s">
        <v>112</v>
      </c>
      <c r="L17" s="33">
        <v>7.3</v>
      </c>
      <c r="M17" s="30" t="s">
        <v>118</v>
      </c>
      <c r="N17" s="20" t="str">
        <f t="shared" si="1"/>
        <v>Moderate</v>
      </c>
      <c r="O17" s="8" t="s">
        <v>142</v>
      </c>
      <c r="P17" s="32">
        <v>5.0</v>
      </c>
      <c r="Q17" s="32">
        <v>3.0</v>
      </c>
      <c r="R17" s="32">
        <v>4.0</v>
      </c>
      <c r="S17" s="32">
        <v>4.0</v>
      </c>
      <c r="T17" s="32">
        <v>4.0</v>
      </c>
      <c r="U17" s="32">
        <v>4.0</v>
      </c>
      <c r="V17" s="20">
        <f>ROUND((P17*'Business Analysis'!$B$35+Q17*'Business Analysis'!$B$36+R17*'Business Analysis'!$B$37+S17*'Business Analysis'!$B$38+T17*'Business Analysis'!$B$39+U17*'Business Analysis'!$B$40)/5*100,0)</f>
        <v>82</v>
      </c>
      <c r="W17" s="20" t="str">
        <f t="shared" si="2"/>
        <v>High</v>
      </c>
      <c r="X17" s="30" t="s">
        <v>436</v>
      </c>
      <c r="Y17" s="20" t="s">
        <v>388</v>
      </c>
      <c r="Z17" s="8" t="s">
        <v>437</v>
      </c>
      <c r="AA17" s="20" t="s">
        <v>183</v>
      </c>
    </row>
    <row r="18">
      <c r="A18" s="12" t="s">
        <v>438</v>
      </c>
      <c r="B18" s="12" t="s">
        <v>130</v>
      </c>
      <c r="C18" s="6" t="s">
        <v>431</v>
      </c>
      <c r="D18" s="6" t="s">
        <v>119</v>
      </c>
      <c r="E18" s="11" t="s">
        <v>130</v>
      </c>
      <c r="F18" s="11" t="s">
        <v>131</v>
      </c>
      <c r="G18" s="11" t="s">
        <v>191</v>
      </c>
      <c r="H18" s="14">
        <v>50.0</v>
      </c>
      <c r="I18" s="12" t="s">
        <v>107</v>
      </c>
      <c r="J18" s="15">
        <v>19.0</v>
      </c>
      <c r="K18" s="12" t="s">
        <v>112</v>
      </c>
      <c r="L18" s="16">
        <v>6.7</v>
      </c>
      <c r="M18" s="12" t="s">
        <v>118</v>
      </c>
      <c r="N18" s="11" t="str">
        <f t="shared" si="1"/>
        <v>Easy</v>
      </c>
      <c r="O18" s="6" t="s">
        <v>142</v>
      </c>
      <c r="P18" s="15">
        <v>5.0</v>
      </c>
      <c r="Q18" s="15">
        <v>3.0</v>
      </c>
      <c r="R18" s="15">
        <v>4.0</v>
      </c>
      <c r="S18" s="15">
        <v>4.0</v>
      </c>
      <c r="T18" s="15">
        <v>4.0</v>
      </c>
      <c r="U18" s="15">
        <v>4.0</v>
      </c>
      <c r="V18" s="11">
        <f>ROUND((P18*'Business Analysis'!$B$35+Q18*'Business Analysis'!$B$36+R18*'Business Analysis'!$B$37+S18*'Business Analysis'!$B$38+T18*'Business Analysis'!$B$39+U18*'Business Analysis'!$B$40)/5*100,0)</f>
        <v>82</v>
      </c>
      <c r="W18" s="11" t="str">
        <f t="shared" si="2"/>
        <v>High</v>
      </c>
      <c r="X18" s="12" t="s">
        <v>436</v>
      </c>
      <c r="Y18" s="11" t="s">
        <v>388</v>
      </c>
      <c r="Z18" s="6" t="s">
        <v>234</v>
      </c>
      <c r="AA18" s="11" t="s">
        <v>183</v>
      </c>
    </row>
    <row r="19">
      <c r="A19" s="30" t="s">
        <v>443</v>
      </c>
      <c r="B19" s="30" t="s">
        <v>130</v>
      </c>
      <c r="C19" s="8" t="s">
        <v>431</v>
      </c>
      <c r="D19" s="8" t="s">
        <v>119</v>
      </c>
      <c r="E19" s="20" t="s">
        <v>130</v>
      </c>
      <c r="F19" s="20" t="s">
        <v>131</v>
      </c>
      <c r="G19" s="20" t="s">
        <v>191</v>
      </c>
      <c r="H19" s="31">
        <v>40.0</v>
      </c>
      <c r="I19" s="30" t="s">
        <v>107</v>
      </c>
      <c r="J19" s="32">
        <v>17.0</v>
      </c>
      <c r="K19" s="30" t="s">
        <v>112</v>
      </c>
      <c r="L19" s="33">
        <v>6.2</v>
      </c>
      <c r="M19" s="30" t="s">
        <v>118</v>
      </c>
      <c r="N19" s="20" t="str">
        <f t="shared" si="1"/>
        <v>Easy</v>
      </c>
      <c r="O19" s="8" t="s">
        <v>142</v>
      </c>
      <c r="P19" s="32">
        <v>5.0</v>
      </c>
      <c r="Q19" s="32">
        <v>2.0</v>
      </c>
      <c r="R19" s="32">
        <v>4.0</v>
      </c>
      <c r="S19" s="32">
        <v>4.0</v>
      </c>
      <c r="T19" s="32">
        <v>4.0</v>
      </c>
      <c r="U19" s="32">
        <v>4.0</v>
      </c>
      <c r="V19" s="20">
        <f>ROUND((P19*'Business Analysis'!$B$35+Q19*'Business Analysis'!$B$36+R19*'Business Analysis'!$B$37+S19*'Business Analysis'!$B$38+T19*'Business Analysis'!$B$39+U19*'Business Analysis'!$B$40)/5*100,0)</f>
        <v>79</v>
      </c>
      <c r="W19" s="20" t="str">
        <f t="shared" si="2"/>
        <v>High</v>
      </c>
      <c r="X19" s="30" t="s">
        <v>436</v>
      </c>
      <c r="Y19" s="20" t="s">
        <v>388</v>
      </c>
      <c r="Z19" s="8" t="s">
        <v>234</v>
      </c>
      <c r="AA19" s="20" t="s">
        <v>183</v>
      </c>
    </row>
    <row r="20">
      <c r="A20" s="12" t="s">
        <v>447</v>
      </c>
      <c r="B20" s="12" t="s">
        <v>29</v>
      </c>
      <c r="C20" s="6" t="s">
        <v>431</v>
      </c>
      <c r="D20" s="6" t="s">
        <v>119</v>
      </c>
      <c r="E20" s="11" t="s">
        <v>29</v>
      </c>
      <c r="F20" s="11" t="s">
        <v>31</v>
      </c>
      <c r="G20" s="11" t="s">
        <v>191</v>
      </c>
      <c r="H20" s="14">
        <v>60.0</v>
      </c>
      <c r="I20" s="12" t="s">
        <v>107</v>
      </c>
      <c r="J20" s="15">
        <v>18.0</v>
      </c>
      <c r="K20" s="12" t="s">
        <v>112</v>
      </c>
      <c r="L20" s="16">
        <v>7.1</v>
      </c>
      <c r="M20" s="12" t="s">
        <v>118</v>
      </c>
      <c r="N20" s="11" t="str">
        <f t="shared" si="1"/>
        <v>Easy</v>
      </c>
      <c r="O20" s="6" t="s">
        <v>142</v>
      </c>
      <c r="P20" s="15">
        <v>5.0</v>
      </c>
      <c r="Q20" s="15">
        <v>3.0</v>
      </c>
      <c r="R20" s="15">
        <v>4.0</v>
      </c>
      <c r="S20" s="15">
        <v>5.0</v>
      </c>
      <c r="T20" s="15">
        <v>5.0</v>
      </c>
      <c r="U20" s="15">
        <v>4.0</v>
      </c>
      <c r="V20" s="11">
        <f>ROUND((P20*'Business Analysis'!$B$35+Q20*'Business Analysis'!$B$36+R20*'Business Analysis'!$B$37+S20*'Business Analysis'!$B$38+T20*'Business Analysis'!$B$39+U20*'Business Analysis'!$B$40)/5*100,0)</f>
        <v>88</v>
      </c>
      <c r="W20" s="11" t="str">
        <f t="shared" si="2"/>
        <v>High</v>
      </c>
      <c r="X20" s="12" t="s">
        <v>436</v>
      </c>
      <c r="Y20" s="11" t="s">
        <v>388</v>
      </c>
      <c r="Z20" s="6" t="s">
        <v>213</v>
      </c>
      <c r="AA20" s="11" t="s">
        <v>183</v>
      </c>
    </row>
    <row r="21" ht="15.75" customHeight="1">
      <c r="A21" s="30" t="s">
        <v>450</v>
      </c>
      <c r="B21" s="30" t="s">
        <v>130</v>
      </c>
      <c r="C21" s="8" t="s">
        <v>431</v>
      </c>
      <c r="D21" s="8" t="s">
        <v>119</v>
      </c>
      <c r="E21" s="20" t="s">
        <v>130</v>
      </c>
      <c r="F21" s="20" t="s">
        <v>131</v>
      </c>
      <c r="G21" s="20" t="s">
        <v>98</v>
      </c>
      <c r="H21" s="31">
        <v>30.0</v>
      </c>
      <c r="I21" s="30" t="s">
        <v>107</v>
      </c>
      <c r="J21" s="32">
        <v>12.0</v>
      </c>
      <c r="K21" s="30" t="s">
        <v>112</v>
      </c>
      <c r="L21" s="33">
        <v>6.8</v>
      </c>
      <c r="M21" s="30" t="s">
        <v>118</v>
      </c>
      <c r="N21" s="20" t="str">
        <f t="shared" si="1"/>
        <v>Easy</v>
      </c>
      <c r="O21" s="8" t="s">
        <v>142</v>
      </c>
      <c r="P21" s="32">
        <v>5.0</v>
      </c>
      <c r="Q21" s="32">
        <v>2.0</v>
      </c>
      <c r="R21" s="32">
        <v>5.0</v>
      </c>
      <c r="S21" s="32">
        <v>4.0</v>
      </c>
      <c r="T21" s="32">
        <v>4.0</v>
      </c>
      <c r="U21" s="32">
        <v>4.0</v>
      </c>
      <c r="V21" s="20">
        <f>ROUND((P21*'Business Analysis'!$B$35+Q21*'Business Analysis'!$B$36+R21*'Business Analysis'!$B$37+S21*'Business Analysis'!$B$38+T21*'Business Analysis'!$B$39+U21*'Business Analysis'!$B$40)/5*100,0)</f>
        <v>83</v>
      </c>
      <c r="W21" s="20" t="str">
        <f t="shared" si="2"/>
        <v>High</v>
      </c>
      <c r="X21" s="30" t="s">
        <v>459</v>
      </c>
      <c r="Y21" s="20" t="s">
        <v>388</v>
      </c>
      <c r="Z21" s="8" t="s">
        <v>460</v>
      </c>
      <c r="AA21" s="20" t="s">
        <v>183</v>
      </c>
    </row>
    <row r="22" ht="15.75" customHeight="1">
      <c r="A22" s="12" t="s">
        <v>462</v>
      </c>
      <c r="B22" s="12" t="s">
        <v>130</v>
      </c>
      <c r="C22" s="6" t="s">
        <v>431</v>
      </c>
      <c r="D22" s="6" t="s">
        <v>119</v>
      </c>
      <c r="E22" s="11" t="s">
        <v>130</v>
      </c>
      <c r="F22" s="11" t="s">
        <v>131</v>
      </c>
      <c r="G22" s="11" t="s">
        <v>191</v>
      </c>
      <c r="H22" s="14">
        <v>210.0</v>
      </c>
      <c r="I22" s="12" t="s">
        <v>107</v>
      </c>
      <c r="J22" s="15">
        <v>29.0</v>
      </c>
      <c r="K22" s="12" t="s">
        <v>112</v>
      </c>
      <c r="L22" s="16">
        <v>6.4</v>
      </c>
      <c r="M22" s="12" t="s">
        <v>118</v>
      </c>
      <c r="N22" s="11" t="str">
        <f t="shared" si="1"/>
        <v>Moderate</v>
      </c>
      <c r="O22" s="6" t="s">
        <v>142</v>
      </c>
      <c r="P22" s="15">
        <v>5.0</v>
      </c>
      <c r="Q22" s="15">
        <v>4.0</v>
      </c>
      <c r="R22" s="15">
        <v>3.0</v>
      </c>
      <c r="S22" s="15">
        <v>3.0</v>
      </c>
      <c r="T22" s="15">
        <v>3.0</v>
      </c>
      <c r="U22" s="15">
        <v>4.0</v>
      </c>
      <c r="V22" s="11">
        <f>ROUND((P22*'Business Analysis'!$B$35+Q22*'Business Analysis'!$B$36+R22*'Business Analysis'!$B$37+S22*'Business Analysis'!$B$38+T22*'Business Analysis'!$B$39+U22*'Business Analysis'!$B$40)/5*100,0)</f>
        <v>75</v>
      </c>
      <c r="W22" s="11" t="str">
        <f t="shared" si="2"/>
        <v>High</v>
      </c>
      <c r="X22" s="12" t="s">
        <v>436</v>
      </c>
      <c r="Y22" s="11" t="s">
        <v>388</v>
      </c>
      <c r="Z22" s="6" t="s">
        <v>507</v>
      </c>
      <c r="AA22" s="11" t="s">
        <v>508</v>
      </c>
    </row>
    <row r="23" ht="15.75" customHeight="1">
      <c r="A23" s="30" t="s">
        <v>509</v>
      </c>
      <c r="B23" s="30" t="s">
        <v>130</v>
      </c>
      <c r="C23" s="8" t="s">
        <v>431</v>
      </c>
      <c r="D23" s="8" t="s">
        <v>119</v>
      </c>
      <c r="E23" s="20" t="s">
        <v>130</v>
      </c>
      <c r="F23" s="20" t="s">
        <v>131</v>
      </c>
      <c r="G23" s="20" t="s">
        <v>191</v>
      </c>
      <c r="H23" s="31">
        <v>22200.0</v>
      </c>
      <c r="I23" s="30" t="s">
        <v>107</v>
      </c>
      <c r="J23" s="32">
        <v>62.0</v>
      </c>
      <c r="K23" s="30" t="s">
        <v>112</v>
      </c>
      <c r="L23" s="33">
        <v>8.4</v>
      </c>
      <c r="M23" s="30" t="s">
        <v>118</v>
      </c>
      <c r="N23" s="20" t="str">
        <f t="shared" si="1"/>
        <v>Competitive</v>
      </c>
      <c r="O23" s="8" t="s">
        <v>420</v>
      </c>
      <c r="P23" s="32">
        <v>3.0</v>
      </c>
      <c r="Q23" s="32">
        <v>5.0</v>
      </c>
      <c r="R23" s="32">
        <v>1.0</v>
      </c>
      <c r="S23" s="32">
        <v>3.0</v>
      </c>
      <c r="T23" s="32">
        <v>2.0</v>
      </c>
      <c r="U23" s="32">
        <v>4.0</v>
      </c>
      <c r="V23" s="20">
        <f>ROUND((P23*'Business Analysis'!$B$35+Q23*'Business Analysis'!$B$36+R23*'Business Analysis'!$B$37+S23*'Business Analysis'!$B$38+T23*'Business Analysis'!$B$39+U23*'Business Analysis'!$B$40)/5*100,0)</f>
        <v>57</v>
      </c>
      <c r="W23" s="20" t="str">
        <f t="shared" si="2"/>
        <v>Low</v>
      </c>
      <c r="X23" s="30" t="s">
        <v>436</v>
      </c>
      <c r="Y23" s="20" t="s">
        <v>388</v>
      </c>
      <c r="Z23" s="8" t="s">
        <v>507</v>
      </c>
      <c r="AA23" s="20" t="s">
        <v>430</v>
      </c>
    </row>
    <row r="24" ht="15.75" customHeight="1">
      <c r="A24" s="12" t="s">
        <v>513</v>
      </c>
      <c r="B24" s="12" t="s">
        <v>130</v>
      </c>
      <c r="C24" s="6" t="s">
        <v>431</v>
      </c>
      <c r="D24" s="6" t="s">
        <v>119</v>
      </c>
      <c r="E24" s="11" t="s">
        <v>130</v>
      </c>
      <c r="F24" s="11" t="s">
        <v>131</v>
      </c>
      <c r="G24" s="11" t="s">
        <v>191</v>
      </c>
      <c r="H24" s="14">
        <v>6600.0</v>
      </c>
      <c r="I24" s="12" t="s">
        <v>107</v>
      </c>
      <c r="J24" s="15">
        <v>55.0</v>
      </c>
      <c r="K24" s="12" t="s">
        <v>112</v>
      </c>
      <c r="L24" s="16">
        <v>7.9</v>
      </c>
      <c r="M24" s="12" t="s">
        <v>118</v>
      </c>
      <c r="N24" s="11" t="str">
        <f t="shared" si="1"/>
        <v>Competitive</v>
      </c>
      <c r="O24" s="6" t="s">
        <v>420</v>
      </c>
      <c r="P24" s="15">
        <v>3.0</v>
      </c>
      <c r="Q24" s="15">
        <v>4.0</v>
      </c>
      <c r="R24" s="15">
        <v>1.0</v>
      </c>
      <c r="S24" s="15">
        <v>3.0</v>
      </c>
      <c r="T24" s="15">
        <v>2.0</v>
      </c>
      <c r="U24" s="15">
        <v>4.0</v>
      </c>
      <c r="V24" s="11">
        <f>ROUND((P24*'Business Analysis'!$B$35+Q24*'Business Analysis'!$B$36+R24*'Business Analysis'!$B$37+S24*'Business Analysis'!$B$38+T24*'Business Analysis'!$B$39+U24*'Business Analysis'!$B$40)/5*100,0)</f>
        <v>54</v>
      </c>
      <c r="W24" s="11" t="str">
        <f t="shared" si="2"/>
        <v>Low</v>
      </c>
      <c r="X24" s="12" t="s">
        <v>436</v>
      </c>
      <c r="Y24" s="11" t="s">
        <v>388</v>
      </c>
      <c r="Z24" s="6" t="s">
        <v>507</v>
      </c>
      <c r="AA24" s="11" t="s">
        <v>430</v>
      </c>
    </row>
    <row r="25" ht="15.75" customHeight="1">
      <c r="A25" s="30" t="s">
        <v>518</v>
      </c>
      <c r="B25" s="30" t="s">
        <v>130</v>
      </c>
      <c r="C25" s="8" t="s">
        <v>431</v>
      </c>
      <c r="D25" s="8" t="s">
        <v>119</v>
      </c>
      <c r="E25" s="20" t="s">
        <v>130</v>
      </c>
      <c r="F25" s="20" t="s">
        <v>131</v>
      </c>
      <c r="G25" s="20" t="s">
        <v>191</v>
      </c>
      <c r="H25" s="31">
        <v>4400.0</v>
      </c>
      <c r="I25" s="30" t="s">
        <v>107</v>
      </c>
      <c r="J25" s="32">
        <v>50.0</v>
      </c>
      <c r="K25" s="30" t="s">
        <v>112</v>
      </c>
      <c r="L25" s="33">
        <v>6.1</v>
      </c>
      <c r="M25" s="30" t="s">
        <v>118</v>
      </c>
      <c r="N25" s="20" t="str">
        <f t="shared" si="1"/>
        <v>Competitive</v>
      </c>
      <c r="O25" s="8" t="s">
        <v>420</v>
      </c>
      <c r="P25" s="32">
        <v>3.0</v>
      </c>
      <c r="Q25" s="32">
        <v>4.0</v>
      </c>
      <c r="R25" s="32">
        <v>2.0</v>
      </c>
      <c r="S25" s="32">
        <v>3.0</v>
      </c>
      <c r="T25" s="32">
        <v>2.0</v>
      </c>
      <c r="U25" s="32">
        <v>4.0</v>
      </c>
      <c r="V25" s="20">
        <f>ROUND((P25*'Business Analysis'!$B$35+Q25*'Business Analysis'!$B$36+R25*'Business Analysis'!$B$37+S25*'Business Analysis'!$B$38+T25*'Business Analysis'!$B$39+U25*'Business Analysis'!$B$40)/5*100,0)</f>
        <v>58</v>
      </c>
      <c r="W25" s="20" t="str">
        <f t="shared" si="2"/>
        <v>Low</v>
      </c>
      <c r="X25" s="30" t="s">
        <v>436</v>
      </c>
      <c r="Y25" s="20" t="s">
        <v>388</v>
      </c>
      <c r="Z25" s="8" t="s">
        <v>507</v>
      </c>
      <c r="AA25" s="20" t="s">
        <v>430</v>
      </c>
    </row>
    <row r="26" ht="15.75" customHeight="1">
      <c r="A26" s="12" t="s">
        <v>522</v>
      </c>
      <c r="B26" s="12" t="s">
        <v>209</v>
      </c>
      <c r="C26" s="6" t="s">
        <v>431</v>
      </c>
      <c r="D26" s="6" t="s">
        <v>119</v>
      </c>
      <c r="E26" s="11" t="s">
        <v>209</v>
      </c>
      <c r="F26" s="11" t="s">
        <v>210</v>
      </c>
      <c r="G26" s="11" t="s">
        <v>98</v>
      </c>
      <c r="H26" s="14">
        <v>2900.0</v>
      </c>
      <c r="I26" s="12" t="s">
        <v>107</v>
      </c>
      <c r="J26" s="15">
        <v>44.0</v>
      </c>
      <c r="K26" s="12" t="s">
        <v>112</v>
      </c>
      <c r="L26" s="16">
        <v>4.5</v>
      </c>
      <c r="M26" s="12" t="s">
        <v>118</v>
      </c>
      <c r="N26" s="11" t="str">
        <f t="shared" si="1"/>
        <v>Competitive</v>
      </c>
      <c r="O26" s="6" t="s">
        <v>523</v>
      </c>
      <c r="P26" s="15">
        <v>2.0</v>
      </c>
      <c r="Q26" s="15">
        <v>3.0</v>
      </c>
      <c r="R26" s="15">
        <v>2.0</v>
      </c>
      <c r="S26" s="15">
        <v>1.0</v>
      </c>
      <c r="T26" s="15">
        <v>1.0</v>
      </c>
      <c r="U26" s="15">
        <v>4.0</v>
      </c>
      <c r="V26" s="11">
        <f>ROUND((P26*'Business Analysis'!$B$35+Q26*'Business Analysis'!$B$36+R26*'Business Analysis'!$B$37+S26*'Business Analysis'!$B$38+T26*'Business Analysis'!$B$39+U26*'Business Analysis'!$B$40)/5*100,0)</f>
        <v>41</v>
      </c>
      <c r="W26" s="11" t="str">
        <f t="shared" si="2"/>
        <v>Low</v>
      </c>
      <c r="X26" s="12" t="s">
        <v>527</v>
      </c>
      <c r="Y26" s="11" t="s">
        <v>388</v>
      </c>
      <c r="Z26" s="6" t="s">
        <v>528</v>
      </c>
      <c r="AA26" s="11" t="s">
        <v>430</v>
      </c>
    </row>
    <row r="27" ht="15.75" customHeight="1">
      <c r="A27" s="30" t="s">
        <v>529</v>
      </c>
      <c r="B27" s="30" t="s">
        <v>530</v>
      </c>
      <c r="C27" s="8" t="s">
        <v>431</v>
      </c>
      <c r="D27" s="8" t="s">
        <v>119</v>
      </c>
      <c r="E27" s="20" t="s">
        <v>209</v>
      </c>
      <c r="F27" s="20" t="s">
        <v>210</v>
      </c>
      <c r="G27" s="20" t="s">
        <v>191</v>
      </c>
      <c r="H27" s="31">
        <v>1600.0</v>
      </c>
      <c r="I27" s="30" t="s">
        <v>107</v>
      </c>
      <c r="J27" s="32">
        <v>38.0</v>
      </c>
      <c r="K27" s="30" t="s">
        <v>112</v>
      </c>
      <c r="L27" s="33">
        <v>3.8</v>
      </c>
      <c r="M27" s="30" t="s">
        <v>118</v>
      </c>
      <c r="N27" s="20" t="str">
        <f t="shared" si="1"/>
        <v>Moderate</v>
      </c>
      <c r="O27" s="8" t="s">
        <v>523</v>
      </c>
      <c r="P27" s="32">
        <v>2.0</v>
      </c>
      <c r="Q27" s="32">
        <v>3.0</v>
      </c>
      <c r="R27" s="32">
        <v>2.0</v>
      </c>
      <c r="S27" s="32">
        <v>2.0</v>
      </c>
      <c r="T27" s="32">
        <v>1.0</v>
      </c>
      <c r="U27" s="32">
        <v>4.0</v>
      </c>
      <c r="V27" s="20">
        <f>ROUND((P27*'Business Analysis'!$B$35+Q27*'Business Analysis'!$B$36+R27*'Business Analysis'!$B$37+S27*'Business Analysis'!$B$38+T27*'Business Analysis'!$B$39+U27*'Business Analysis'!$B$40)/5*100,0)</f>
        <v>44</v>
      </c>
      <c r="W27" s="20" t="str">
        <f t="shared" si="2"/>
        <v>Low</v>
      </c>
      <c r="X27" s="30" t="s">
        <v>527</v>
      </c>
      <c r="Y27" s="20" t="s">
        <v>388</v>
      </c>
      <c r="Z27" s="8" t="s">
        <v>528</v>
      </c>
      <c r="AA27" s="20" t="s">
        <v>430</v>
      </c>
    </row>
    <row r="28" ht="15.75" customHeight="1">
      <c r="A28" s="12" t="s">
        <v>146</v>
      </c>
      <c r="B28" s="12" t="s">
        <v>87</v>
      </c>
      <c r="C28" s="6" t="s">
        <v>534</v>
      </c>
      <c r="D28" s="6" t="s">
        <v>145</v>
      </c>
      <c r="E28" s="11" t="s">
        <v>29</v>
      </c>
      <c r="F28" s="11" t="s">
        <v>31</v>
      </c>
      <c r="G28" s="11" t="s">
        <v>98</v>
      </c>
      <c r="H28" s="14">
        <v>320.0</v>
      </c>
      <c r="I28" s="12" t="s">
        <v>107</v>
      </c>
      <c r="J28" s="15">
        <v>24.0</v>
      </c>
      <c r="K28" s="12" t="s">
        <v>112</v>
      </c>
      <c r="L28" s="16">
        <v>10.2</v>
      </c>
      <c r="M28" s="12" t="s">
        <v>118</v>
      </c>
      <c r="N28" s="11" t="str">
        <f t="shared" si="1"/>
        <v>Moderate</v>
      </c>
      <c r="O28" s="6" t="s">
        <v>537</v>
      </c>
      <c r="P28" s="15">
        <v>5.0</v>
      </c>
      <c r="Q28" s="15">
        <v>5.0</v>
      </c>
      <c r="R28" s="15">
        <v>4.0</v>
      </c>
      <c r="S28" s="15">
        <v>5.0</v>
      </c>
      <c r="T28" s="15">
        <v>5.0</v>
      </c>
      <c r="U28" s="15">
        <v>5.0</v>
      </c>
      <c r="V28" s="11">
        <f>ROUND((P28*'Business Analysis'!$B$35+Q28*'Business Analysis'!$B$36+R28*'Business Analysis'!$B$37+S28*'Business Analysis'!$B$38+T28*'Business Analysis'!$B$39+U28*'Business Analysis'!$B$40)/5*100,0)</f>
        <v>96</v>
      </c>
      <c r="W28" s="11" t="str">
        <f t="shared" si="2"/>
        <v>Critical</v>
      </c>
      <c r="X28" s="12" t="s">
        <v>439</v>
      </c>
      <c r="Y28" s="11" t="s">
        <v>388</v>
      </c>
      <c r="Z28" s="6" t="s">
        <v>213</v>
      </c>
      <c r="AA28" s="11" t="s">
        <v>183</v>
      </c>
    </row>
    <row r="29" ht="15.75" customHeight="1">
      <c r="A29" s="30" t="s">
        <v>543</v>
      </c>
      <c r="B29" s="30" t="s">
        <v>87</v>
      </c>
      <c r="C29" s="8" t="s">
        <v>534</v>
      </c>
      <c r="D29" s="8" t="s">
        <v>145</v>
      </c>
      <c r="E29" s="20" t="s">
        <v>29</v>
      </c>
      <c r="F29" s="20" t="s">
        <v>31</v>
      </c>
      <c r="G29" s="20" t="s">
        <v>191</v>
      </c>
      <c r="H29" s="31">
        <v>40.0</v>
      </c>
      <c r="I29" s="30" t="s">
        <v>107</v>
      </c>
      <c r="J29" s="32">
        <v>18.0</v>
      </c>
      <c r="K29" s="30" t="s">
        <v>112</v>
      </c>
      <c r="L29" s="33">
        <v>9.4</v>
      </c>
      <c r="M29" s="30" t="s">
        <v>118</v>
      </c>
      <c r="N29" s="20" t="str">
        <f t="shared" si="1"/>
        <v>Easy</v>
      </c>
      <c r="O29" s="8" t="s">
        <v>537</v>
      </c>
      <c r="P29" s="32">
        <v>5.0</v>
      </c>
      <c r="Q29" s="32">
        <v>2.0</v>
      </c>
      <c r="R29" s="32">
        <v>4.0</v>
      </c>
      <c r="S29" s="32">
        <v>5.0</v>
      </c>
      <c r="T29" s="32">
        <v>5.0</v>
      </c>
      <c r="U29" s="32">
        <v>5.0</v>
      </c>
      <c r="V29" s="20">
        <f>ROUND((P29*'Business Analysis'!$B$35+Q29*'Business Analysis'!$B$36+R29*'Business Analysis'!$B$37+S29*'Business Analysis'!$B$38+T29*'Business Analysis'!$B$39+U29*'Business Analysis'!$B$40)/5*100,0)</f>
        <v>87</v>
      </c>
      <c r="W29" s="20" t="str">
        <f t="shared" si="2"/>
        <v>High</v>
      </c>
      <c r="X29" s="30" t="s">
        <v>439</v>
      </c>
      <c r="Y29" s="20" t="s">
        <v>388</v>
      </c>
      <c r="Z29" s="8" t="s">
        <v>213</v>
      </c>
      <c r="AA29" s="20" t="s">
        <v>183</v>
      </c>
    </row>
    <row r="30" ht="15.75" customHeight="1">
      <c r="A30" s="12" t="s">
        <v>593</v>
      </c>
      <c r="B30" s="12" t="s">
        <v>29</v>
      </c>
      <c r="C30" s="6" t="s">
        <v>534</v>
      </c>
      <c r="D30" s="6" t="s">
        <v>145</v>
      </c>
      <c r="E30" s="11" t="s">
        <v>29</v>
      </c>
      <c r="F30" s="11" t="s">
        <v>31</v>
      </c>
      <c r="G30" s="11" t="s">
        <v>191</v>
      </c>
      <c r="H30" s="14">
        <v>90.0</v>
      </c>
      <c r="I30" s="12" t="s">
        <v>107</v>
      </c>
      <c r="J30" s="15">
        <v>21.0</v>
      </c>
      <c r="K30" s="12" t="s">
        <v>112</v>
      </c>
      <c r="L30" s="16">
        <v>10.6</v>
      </c>
      <c r="M30" s="12" t="s">
        <v>118</v>
      </c>
      <c r="N30" s="11" t="str">
        <f t="shared" si="1"/>
        <v>Moderate</v>
      </c>
      <c r="O30" s="6" t="s">
        <v>537</v>
      </c>
      <c r="P30" s="15">
        <v>5.0</v>
      </c>
      <c r="Q30" s="15">
        <v>3.0</v>
      </c>
      <c r="R30" s="15">
        <v>4.0</v>
      </c>
      <c r="S30" s="15">
        <v>5.0</v>
      </c>
      <c r="T30" s="15">
        <v>5.0</v>
      </c>
      <c r="U30" s="15">
        <v>5.0</v>
      </c>
      <c r="V30" s="11">
        <f>ROUND((P30*'Business Analysis'!$B$35+Q30*'Business Analysis'!$B$36+R30*'Business Analysis'!$B$37+S30*'Business Analysis'!$B$38+T30*'Business Analysis'!$B$39+U30*'Business Analysis'!$B$40)/5*100,0)</f>
        <v>90</v>
      </c>
      <c r="W30" s="11" t="str">
        <f t="shared" si="2"/>
        <v>Critical</v>
      </c>
      <c r="X30" s="12" t="s">
        <v>439</v>
      </c>
      <c r="Y30" s="11" t="s">
        <v>388</v>
      </c>
      <c r="Z30" s="6" t="s">
        <v>213</v>
      </c>
      <c r="AA30" s="11" t="s">
        <v>183</v>
      </c>
    </row>
    <row r="31" ht="15.75" customHeight="1">
      <c r="A31" s="30" t="s">
        <v>604</v>
      </c>
      <c r="B31" s="30" t="s">
        <v>87</v>
      </c>
      <c r="C31" s="8" t="s">
        <v>534</v>
      </c>
      <c r="D31" s="8" t="s">
        <v>145</v>
      </c>
      <c r="E31" s="20" t="s">
        <v>29</v>
      </c>
      <c r="F31" s="20" t="s">
        <v>31</v>
      </c>
      <c r="G31" s="20" t="s">
        <v>191</v>
      </c>
      <c r="H31" s="31">
        <v>50.0</v>
      </c>
      <c r="I31" s="30" t="s">
        <v>107</v>
      </c>
      <c r="J31" s="32">
        <v>19.0</v>
      </c>
      <c r="K31" s="30" t="s">
        <v>112</v>
      </c>
      <c r="L31" s="33">
        <v>9.8</v>
      </c>
      <c r="M31" s="30" t="s">
        <v>118</v>
      </c>
      <c r="N31" s="20" t="str">
        <f t="shared" si="1"/>
        <v>Easy</v>
      </c>
      <c r="O31" s="8" t="s">
        <v>537</v>
      </c>
      <c r="P31" s="32">
        <v>5.0</v>
      </c>
      <c r="Q31" s="32">
        <v>3.0</v>
      </c>
      <c r="R31" s="32">
        <v>4.0</v>
      </c>
      <c r="S31" s="32">
        <v>5.0</v>
      </c>
      <c r="T31" s="32">
        <v>5.0</v>
      </c>
      <c r="U31" s="32">
        <v>5.0</v>
      </c>
      <c r="V31" s="20">
        <f>ROUND((P31*'Business Analysis'!$B$35+Q31*'Business Analysis'!$B$36+R31*'Business Analysis'!$B$37+S31*'Business Analysis'!$B$38+T31*'Business Analysis'!$B$39+U31*'Business Analysis'!$B$40)/5*100,0)</f>
        <v>90</v>
      </c>
      <c r="W31" s="20" t="str">
        <f t="shared" si="2"/>
        <v>Critical</v>
      </c>
      <c r="X31" s="30" t="s">
        <v>439</v>
      </c>
      <c r="Y31" s="20" t="s">
        <v>388</v>
      </c>
      <c r="Z31" s="8" t="s">
        <v>213</v>
      </c>
      <c r="AA31" s="20" t="s">
        <v>183</v>
      </c>
    </row>
    <row r="32" ht="15.75" customHeight="1">
      <c r="A32" s="12" t="s">
        <v>610</v>
      </c>
      <c r="B32" s="12" t="s">
        <v>87</v>
      </c>
      <c r="C32" s="6" t="s">
        <v>534</v>
      </c>
      <c r="D32" s="6" t="s">
        <v>145</v>
      </c>
      <c r="E32" s="11" t="s">
        <v>29</v>
      </c>
      <c r="F32" s="11" t="s">
        <v>31</v>
      </c>
      <c r="G32" s="11" t="s">
        <v>191</v>
      </c>
      <c r="H32" s="14">
        <v>30.0</v>
      </c>
      <c r="I32" s="12" t="s">
        <v>107</v>
      </c>
      <c r="J32" s="15">
        <v>16.0</v>
      </c>
      <c r="K32" s="12" t="s">
        <v>112</v>
      </c>
      <c r="L32" s="16">
        <v>9.1</v>
      </c>
      <c r="M32" s="12" t="s">
        <v>118</v>
      </c>
      <c r="N32" s="11" t="str">
        <f t="shared" si="1"/>
        <v>Easy</v>
      </c>
      <c r="O32" s="6" t="s">
        <v>537</v>
      </c>
      <c r="P32" s="15">
        <v>5.0</v>
      </c>
      <c r="Q32" s="15">
        <v>2.0</v>
      </c>
      <c r="R32" s="15">
        <v>4.0</v>
      </c>
      <c r="S32" s="15">
        <v>5.0</v>
      </c>
      <c r="T32" s="15">
        <v>5.0</v>
      </c>
      <c r="U32" s="15">
        <v>5.0</v>
      </c>
      <c r="V32" s="11">
        <f>ROUND((P32*'Business Analysis'!$B$35+Q32*'Business Analysis'!$B$36+R32*'Business Analysis'!$B$37+S32*'Business Analysis'!$B$38+T32*'Business Analysis'!$B$39+U32*'Business Analysis'!$B$40)/5*100,0)</f>
        <v>87</v>
      </c>
      <c r="W32" s="11" t="str">
        <f t="shared" si="2"/>
        <v>High</v>
      </c>
      <c r="X32" s="12" t="s">
        <v>439</v>
      </c>
      <c r="Y32" s="11" t="s">
        <v>388</v>
      </c>
      <c r="Z32" s="6" t="s">
        <v>213</v>
      </c>
      <c r="AA32" s="11" t="s">
        <v>183</v>
      </c>
    </row>
    <row r="33" ht="15.75" customHeight="1">
      <c r="A33" s="30" t="s">
        <v>613</v>
      </c>
      <c r="B33" s="30" t="s">
        <v>87</v>
      </c>
      <c r="C33" s="8" t="s">
        <v>534</v>
      </c>
      <c r="D33" s="8" t="s">
        <v>145</v>
      </c>
      <c r="E33" s="20" t="s">
        <v>29</v>
      </c>
      <c r="F33" s="20" t="s">
        <v>31</v>
      </c>
      <c r="G33" s="20" t="s">
        <v>191</v>
      </c>
      <c r="H33" s="31">
        <v>40.0</v>
      </c>
      <c r="I33" s="30" t="s">
        <v>107</v>
      </c>
      <c r="J33" s="32">
        <v>17.0</v>
      </c>
      <c r="K33" s="30" t="s">
        <v>112</v>
      </c>
      <c r="L33" s="33">
        <v>9.3</v>
      </c>
      <c r="M33" s="30" t="s">
        <v>118</v>
      </c>
      <c r="N33" s="20" t="str">
        <f t="shared" si="1"/>
        <v>Easy</v>
      </c>
      <c r="O33" s="8" t="s">
        <v>537</v>
      </c>
      <c r="P33" s="32">
        <v>5.0</v>
      </c>
      <c r="Q33" s="32">
        <v>2.0</v>
      </c>
      <c r="R33" s="32">
        <v>4.0</v>
      </c>
      <c r="S33" s="32">
        <v>5.0</v>
      </c>
      <c r="T33" s="32">
        <v>5.0</v>
      </c>
      <c r="U33" s="32">
        <v>5.0</v>
      </c>
      <c r="V33" s="20">
        <f>ROUND((P33*'Business Analysis'!$B$35+Q33*'Business Analysis'!$B$36+R33*'Business Analysis'!$B$37+S33*'Business Analysis'!$B$38+T33*'Business Analysis'!$B$39+U33*'Business Analysis'!$B$40)/5*100,0)</f>
        <v>87</v>
      </c>
      <c r="W33" s="20" t="str">
        <f t="shared" si="2"/>
        <v>High</v>
      </c>
      <c r="X33" s="30" t="s">
        <v>439</v>
      </c>
      <c r="Y33" s="20" t="s">
        <v>388</v>
      </c>
      <c r="Z33" s="8" t="s">
        <v>213</v>
      </c>
      <c r="AA33" s="20" t="s">
        <v>183</v>
      </c>
    </row>
    <row r="34" ht="15.75" customHeight="1">
      <c r="A34" s="12" t="s">
        <v>617</v>
      </c>
      <c r="B34" s="12" t="s">
        <v>618</v>
      </c>
      <c r="C34" s="6" t="s">
        <v>534</v>
      </c>
      <c r="D34" s="6" t="s">
        <v>145</v>
      </c>
      <c r="E34" s="11" t="s">
        <v>130</v>
      </c>
      <c r="F34" s="11" t="s">
        <v>131</v>
      </c>
      <c r="G34" s="11" t="s">
        <v>191</v>
      </c>
      <c r="H34" s="14">
        <v>20.0</v>
      </c>
      <c r="I34" s="12" t="s">
        <v>107</v>
      </c>
      <c r="J34" s="15">
        <v>12.0</v>
      </c>
      <c r="K34" s="12" t="s">
        <v>112</v>
      </c>
      <c r="L34" s="16">
        <v>6.2</v>
      </c>
      <c r="M34" s="12" t="s">
        <v>118</v>
      </c>
      <c r="N34" s="11" t="str">
        <f t="shared" si="1"/>
        <v>Easy</v>
      </c>
      <c r="O34" s="6" t="s">
        <v>537</v>
      </c>
      <c r="P34" s="15">
        <v>5.0</v>
      </c>
      <c r="Q34" s="15">
        <v>2.0</v>
      </c>
      <c r="R34" s="15">
        <v>5.0</v>
      </c>
      <c r="S34" s="15">
        <v>4.0</v>
      </c>
      <c r="T34" s="15">
        <v>4.0</v>
      </c>
      <c r="U34" s="15">
        <v>5.0</v>
      </c>
      <c r="V34" s="11">
        <f>ROUND((P34*'Business Analysis'!$B$35+Q34*'Business Analysis'!$B$36+R34*'Business Analysis'!$B$37+S34*'Business Analysis'!$B$38+T34*'Business Analysis'!$B$39+U34*'Business Analysis'!$B$40)/5*100,0)</f>
        <v>85</v>
      </c>
      <c r="W34" s="11" t="str">
        <f t="shared" si="2"/>
        <v>High</v>
      </c>
      <c r="X34" s="12" t="s">
        <v>439</v>
      </c>
      <c r="Y34" s="11" t="s">
        <v>388</v>
      </c>
      <c r="Z34" s="6" t="s">
        <v>623</v>
      </c>
      <c r="AA34" s="11" t="s">
        <v>183</v>
      </c>
    </row>
    <row r="35" ht="15.75" customHeight="1">
      <c r="A35" s="30" t="s">
        <v>624</v>
      </c>
      <c r="B35" s="30" t="s">
        <v>87</v>
      </c>
      <c r="C35" s="8" t="s">
        <v>534</v>
      </c>
      <c r="D35" s="8" t="s">
        <v>145</v>
      </c>
      <c r="E35" s="20" t="s">
        <v>29</v>
      </c>
      <c r="F35" s="20" t="s">
        <v>31</v>
      </c>
      <c r="G35" s="20" t="s">
        <v>191</v>
      </c>
      <c r="H35" s="31">
        <v>880.0</v>
      </c>
      <c r="I35" s="30" t="s">
        <v>107</v>
      </c>
      <c r="J35" s="32">
        <v>36.0</v>
      </c>
      <c r="K35" s="30" t="s">
        <v>112</v>
      </c>
      <c r="L35" s="33">
        <v>10.8</v>
      </c>
      <c r="M35" s="30" t="s">
        <v>118</v>
      </c>
      <c r="N35" s="20" t="str">
        <f t="shared" si="1"/>
        <v>Moderate</v>
      </c>
      <c r="O35" s="8" t="s">
        <v>537</v>
      </c>
      <c r="P35" s="32">
        <v>5.0</v>
      </c>
      <c r="Q35" s="32">
        <v>5.0</v>
      </c>
      <c r="R35" s="32">
        <v>2.0</v>
      </c>
      <c r="S35" s="32">
        <v>5.0</v>
      </c>
      <c r="T35" s="32">
        <v>4.0</v>
      </c>
      <c r="U35" s="32">
        <v>5.0</v>
      </c>
      <c r="V35" s="20">
        <f>ROUND((P35*'Business Analysis'!$B$35+Q35*'Business Analysis'!$B$36+R35*'Business Analysis'!$B$37+S35*'Business Analysis'!$B$38+T35*'Business Analysis'!$B$39+U35*'Business Analysis'!$B$40)/5*100,0)</f>
        <v>85</v>
      </c>
      <c r="W35" s="20" t="str">
        <f t="shared" si="2"/>
        <v>High</v>
      </c>
      <c r="X35" s="30" t="s">
        <v>439</v>
      </c>
      <c r="Y35" s="20" t="s">
        <v>388</v>
      </c>
      <c r="Z35" s="8" t="s">
        <v>626</v>
      </c>
      <c r="AA35" s="20" t="s">
        <v>508</v>
      </c>
    </row>
    <row r="36" ht="15.75" customHeight="1">
      <c r="A36" s="12" t="s">
        <v>627</v>
      </c>
      <c r="B36" s="12" t="s">
        <v>29</v>
      </c>
      <c r="C36" s="6" t="s">
        <v>534</v>
      </c>
      <c r="D36" s="6" t="s">
        <v>145</v>
      </c>
      <c r="E36" s="11" t="s">
        <v>29</v>
      </c>
      <c r="F36" s="11" t="s">
        <v>31</v>
      </c>
      <c r="G36" s="11" t="s">
        <v>191</v>
      </c>
      <c r="H36" s="14">
        <v>74000.0</v>
      </c>
      <c r="I36" s="12" t="s">
        <v>107</v>
      </c>
      <c r="J36" s="15">
        <v>68.0</v>
      </c>
      <c r="K36" s="12" t="s">
        <v>112</v>
      </c>
      <c r="L36" s="16">
        <v>11.5</v>
      </c>
      <c r="M36" s="12" t="s">
        <v>118</v>
      </c>
      <c r="N36" s="11" t="str">
        <f t="shared" si="1"/>
        <v>Competitive</v>
      </c>
      <c r="O36" s="6" t="s">
        <v>420</v>
      </c>
      <c r="P36" s="15">
        <v>3.0</v>
      </c>
      <c r="Q36" s="15">
        <v>5.0</v>
      </c>
      <c r="R36" s="15">
        <v>1.0</v>
      </c>
      <c r="S36" s="15">
        <v>5.0</v>
      </c>
      <c r="T36" s="15">
        <v>3.0</v>
      </c>
      <c r="U36" s="15">
        <v>5.0</v>
      </c>
      <c r="V36" s="11">
        <f>ROUND((P36*'Business Analysis'!$B$35+Q36*'Business Analysis'!$B$36+R36*'Business Analysis'!$B$37+S36*'Business Analysis'!$B$38+T36*'Business Analysis'!$B$39+U36*'Business Analysis'!$B$40)/5*100,0)</f>
        <v>68</v>
      </c>
      <c r="W36" s="11" t="str">
        <f t="shared" si="2"/>
        <v>Medium</v>
      </c>
      <c r="X36" s="12" t="s">
        <v>439</v>
      </c>
      <c r="Y36" s="11" t="s">
        <v>388</v>
      </c>
      <c r="Z36" s="6" t="s">
        <v>428</v>
      </c>
      <c r="AA36" s="11" t="s">
        <v>430</v>
      </c>
    </row>
    <row r="37" ht="15.75" customHeight="1">
      <c r="A37" s="30" t="s">
        <v>635</v>
      </c>
      <c r="B37" s="30" t="s">
        <v>29</v>
      </c>
      <c r="C37" s="8" t="s">
        <v>534</v>
      </c>
      <c r="D37" s="8" t="s">
        <v>145</v>
      </c>
      <c r="E37" s="20" t="s">
        <v>29</v>
      </c>
      <c r="F37" s="20" t="s">
        <v>31</v>
      </c>
      <c r="G37" s="20" t="s">
        <v>191</v>
      </c>
      <c r="H37" s="31">
        <v>12100.0</v>
      </c>
      <c r="I37" s="30" t="s">
        <v>107</v>
      </c>
      <c r="J37" s="32">
        <v>58.0</v>
      </c>
      <c r="K37" s="30" t="s">
        <v>112</v>
      </c>
      <c r="L37" s="33">
        <v>10.4</v>
      </c>
      <c r="M37" s="30" t="s">
        <v>118</v>
      </c>
      <c r="N37" s="20" t="str">
        <f t="shared" si="1"/>
        <v>Competitive</v>
      </c>
      <c r="O37" s="8" t="s">
        <v>420</v>
      </c>
      <c r="P37" s="32">
        <v>3.0</v>
      </c>
      <c r="Q37" s="32">
        <v>5.0</v>
      </c>
      <c r="R37" s="32">
        <v>1.0</v>
      </c>
      <c r="S37" s="32">
        <v>5.0</v>
      </c>
      <c r="T37" s="32">
        <v>3.0</v>
      </c>
      <c r="U37" s="32">
        <v>5.0</v>
      </c>
      <c r="V37" s="20">
        <f>ROUND((P37*'Business Analysis'!$B$35+Q37*'Business Analysis'!$B$36+R37*'Business Analysis'!$B$37+S37*'Business Analysis'!$B$38+T37*'Business Analysis'!$B$39+U37*'Business Analysis'!$B$40)/5*100,0)</f>
        <v>68</v>
      </c>
      <c r="W37" s="20" t="str">
        <f t="shared" si="2"/>
        <v>Medium</v>
      </c>
      <c r="X37" s="30" t="s">
        <v>439</v>
      </c>
      <c r="Y37" s="20" t="s">
        <v>388</v>
      </c>
      <c r="Z37" s="8" t="s">
        <v>428</v>
      </c>
      <c r="AA37" s="20" t="s">
        <v>430</v>
      </c>
    </row>
    <row r="38" ht="15.75" customHeight="1">
      <c r="A38" s="12" t="s">
        <v>153</v>
      </c>
      <c r="B38" s="12" t="s">
        <v>87</v>
      </c>
      <c r="C38" s="6" t="s">
        <v>534</v>
      </c>
      <c r="D38" s="6" t="s">
        <v>152</v>
      </c>
      <c r="E38" s="11" t="s">
        <v>29</v>
      </c>
      <c r="F38" s="11" t="s">
        <v>31</v>
      </c>
      <c r="G38" s="11" t="s">
        <v>98</v>
      </c>
      <c r="H38" s="14">
        <v>170.0</v>
      </c>
      <c r="I38" s="12" t="s">
        <v>107</v>
      </c>
      <c r="J38" s="15">
        <v>18.0</v>
      </c>
      <c r="K38" s="12" t="s">
        <v>112</v>
      </c>
      <c r="L38" s="16">
        <v>11.2</v>
      </c>
      <c r="M38" s="12" t="s">
        <v>118</v>
      </c>
      <c r="N38" s="11" t="str">
        <f t="shared" si="1"/>
        <v>Easy</v>
      </c>
      <c r="O38" s="6" t="s">
        <v>537</v>
      </c>
      <c r="P38" s="15">
        <v>5.0</v>
      </c>
      <c r="Q38" s="15">
        <v>4.0</v>
      </c>
      <c r="R38" s="15">
        <v>4.0</v>
      </c>
      <c r="S38" s="15">
        <v>5.0</v>
      </c>
      <c r="T38" s="15">
        <v>5.0</v>
      </c>
      <c r="U38" s="15">
        <v>5.0</v>
      </c>
      <c r="V38" s="11">
        <f>ROUND((P38*'Business Analysis'!$B$35+Q38*'Business Analysis'!$B$36+R38*'Business Analysis'!$B$37+S38*'Business Analysis'!$B$38+T38*'Business Analysis'!$B$39+U38*'Business Analysis'!$B$40)/5*100,0)</f>
        <v>93</v>
      </c>
      <c r="W38" s="11" t="str">
        <f t="shared" si="2"/>
        <v>Critical</v>
      </c>
      <c r="X38" s="12" t="s">
        <v>444</v>
      </c>
      <c r="Y38" s="11" t="s">
        <v>388</v>
      </c>
      <c r="Z38" s="6" t="s">
        <v>648</v>
      </c>
      <c r="AA38" s="11" t="s">
        <v>183</v>
      </c>
    </row>
    <row r="39" ht="15.75" customHeight="1">
      <c r="A39" s="30" t="s">
        <v>649</v>
      </c>
      <c r="B39" s="30" t="s">
        <v>87</v>
      </c>
      <c r="C39" s="8" t="s">
        <v>534</v>
      </c>
      <c r="D39" s="8" t="s">
        <v>152</v>
      </c>
      <c r="E39" s="20" t="s">
        <v>29</v>
      </c>
      <c r="F39" s="20" t="s">
        <v>31</v>
      </c>
      <c r="G39" s="20" t="s">
        <v>191</v>
      </c>
      <c r="H39" s="31">
        <v>320.0</v>
      </c>
      <c r="I39" s="30" t="s">
        <v>107</v>
      </c>
      <c r="J39" s="32">
        <v>29.0</v>
      </c>
      <c r="K39" s="30" t="s">
        <v>112</v>
      </c>
      <c r="L39" s="33">
        <v>11.6</v>
      </c>
      <c r="M39" s="30" t="s">
        <v>118</v>
      </c>
      <c r="N39" s="20" t="str">
        <f t="shared" si="1"/>
        <v>Moderate</v>
      </c>
      <c r="O39" s="8" t="s">
        <v>537</v>
      </c>
      <c r="P39" s="32">
        <v>5.0</v>
      </c>
      <c r="Q39" s="32">
        <v>5.0</v>
      </c>
      <c r="R39" s="32">
        <v>3.0</v>
      </c>
      <c r="S39" s="32">
        <v>5.0</v>
      </c>
      <c r="T39" s="32">
        <v>4.0</v>
      </c>
      <c r="U39" s="32">
        <v>5.0</v>
      </c>
      <c r="V39" s="20">
        <f>ROUND((P39*'Business Analysis'!$B$35+Q39*'Business Analysis'!$B$36+R39*'Business Analysis'!$B$37+S39*'Business Analysis'!$B$38+T39*'Business Analysis'!$B$39+U39*'Business Analysis'!$B$40)/5*100,0)</f>
        <v>89</v>
      </c>
      <c r="W39" s="20" t="str">
        <f t="shared" si="2"/>
        <v>High</v>
      </c>
      <c r="X39" s="30" t="s">
        <v>444</v>
      </c>
      <c r="Y39" s="20" t="s">
        <v>388</v>
      </c>
      <c r="Z39" s="8" t="s">
        <v>626</v>
      </c>
      <c r="AA39" s="20" t="s">
        <v>508</v>
      </c>
    </row>
    <row r="40" ht="15.75" customHeight="1">
      <c r="A40" s="12" t="s">
        <v>651</v>
      </c>
      <c r="B40" s="12" t="s">
        <v>87</v>
      </c>
      <c r="C40" s="6" t="s">
        <v>534</v>
      </c>
      <c r="D40" s="6" t="s">
        <v>152</v>
      </c>
      <c r="E40" s="11" t="s">
        <v>29</v>
      </c>
      <c r="F40" s="11" t="s">
        <v>31</v>
      </c>
      <c r="G40" s="11" t="s">
        <v>191</v>
      </c>
      <c r="H40" s="14">
        <v>210.0</v>
      </c>
      <c r="I40" s="12" t="s">
        <v>107</v>
      </c>
      <c r="J40" s="15">
        <v>27.0</v>
      </c>
      <c r="K40" s="12" t="s">
        <v>112</v>
      </c>
      <c r="L40" s="16">
        <v>11.1</v>
      </c>
      <c r="M40" s="12" t="s">
        <v>118</v>
      </c>
      <c r="N40" s="11" t="str">
        <f t="shared" si="1"/>
        <v>Moderate</v>
      </c>
      <c r="O40" s="6" t="s">
        <v>537</v>
      </c>
      <c r="P40" s="15">
        <v>5.0</v>
      </c>
      <c r="Q40" s="15">
        <v>4.0</v>
      </c>
      <c r="R40" s="15">
        <v>3.0</v>
      </c>
      <c r="S40" s="15">
        <v>5.0</v>
      </c>
      <c r="T40" s="15">
        <v>4.0</v>
      </c>
      <c r="U40" s="15">
        <v>5.0</v>
      </c>
      <c r="V40" s="11">
        <f>ROUND((P40*'Business Analysis'!$B$35+Q40*'Business Analysis'!$B$36+R40*'Business Analysis'!$B$37+S40*'Business Analysis'!$B$38+T40*'Business Analysis'!$B$39+U40*'Business Analysis'!$B$40)/5*100,0)</f>
        <v>86</v>
      </c>
      <c r="W40" s="11" t="str">
        <f t="shared" si="2"/>
        <v>High</v>
      </c>
      <c r="X40" s="12" t="s">
        <v>444</v>
      </c>
      <c r="Y40" s="11" t="s">
        <v>388</v>
      </c>
      <c r="Z40" s="6" t="s">
        <v>626</v>
      </c>
      <c r="AA40" s="11" t="s">
        <v>508</v>
      </c>
    </row>
    <row r="41" ht="15.75" customHeight="1">
      <c r="A41" s="30" t="s">
        <v>664</v>
      </c>
      <c r="B41" s="30" t="s">
        <v>87</v>
      </c>
      <c r="C41" s="8" t="s">
        <v>534</v>
      </c>
      <c r="D41" s="8" t="s">
        <v>152</v>
      </c>
      <c r="E41" s="20" t="s">
        <v>29</v>
      </c>
      <c r="F41" s="20" t="s">
        <v>31</v>
      </c>
      <c r="G41" s="20" t="s">
        <v>191</v>
      </c>
      <c r="H41" s="31">
        <v>40.0</v>
      </c>
      <c r="I41" s="30" t="s">
        <v>107</v>
      </c>
      <c r="J41" s="32">
        <v>14.0</v>
      </c>
      <c r="K41" s="30" t="s">
        <v>112</v>
      </c>
      <c r="L41" s="33">
        <v>10.7</v>
      </c>
      <c r="M41" s="30" t="s">
        <v>118</v>
      </c>
      <c r="N41" s="20" t="str">
        <f t="shared" si="1"/>
        <v>Easy</v>
      </c>
      <c r="O41" s="8" t="s">
        <v>537</v>
      </c>
      <c r="P41" s="32">
        <v>5.0</v>
      </c>
      <c r="Q41" s="32">
        <v>2.0</v>
      </c>
      <c r="R41" s="32">
        <v>5.0</v>
      </c>
      <c r="S41" s="32">
        <v>5.0</v>
      </c>
      <c r="T41" s="32">
        <v>5.0</v>
      </c>
      <c r="U41" s="32">
        <v>5.0</v>
      </c>
      <c r="V41" s="20">
        <f>ROUND((P41*'Business Analysis'!$B$35+Q41*'Business Analysis'!$B$36+R41*'Business Analysis'!$B$37+S41*'Business Analysis'!$B$38+T41*'Business Analysis'!$B$39+U41*'Business Analysis'!$B$40)/5*100,0)</f>
        <v>91</v>
      </c>
      <c r="W41" s="20" t="str">
        <f t="shared" si="2"/>
        <v>Critical</v>
      </c>
      <c r="X41" s="30" t="s">
        <v>444</v>
      </c>
      <c r="Y41" s="20" t="s">
        <v>388</v>
      </c>
      <c r="Z41" s="8" t="s">
        <v>213</v>
      </c>
      <c r="AA41" s="20" t="s">
        <v>183</v>
      </c>
    </row>
    <row r="42" ht="15.75" customHeight="1">
      <c r="A42" s="12" t="s">
        <v>679</v>
      </c>
      <c r="B42" s="12" t="s">
        <v>29</v>
      </c>
      <c r="C42" s="6" t="s">
        <v>534</v>
      </c>
      <c r="D42" s="6" t="s">
        <v>152</v>
      </c>
      <c r="E42" s="11" t="s">
        <v>29</v>
      </c>
      <c r="F42" s="11" t="s">
        <v>31</v>
      </c>
      <c r="G42" s="11" t="s">
        <v>191</v>
      </c>
      <c r="H42" s="14">
        <v>12100.0</v>
      </c>
      <c r="I42" s="12" t="s">
        <v>107</v>
      </c>
      <c r="J42" s="15">
        <v>60.0</v>
      </c>
      <c r="K42" s="12" t="s">
        <v>112</v>
      </c>
      <c r="L42" s="16">
        <v>11.9</v>
      </c>
      <c r="M42" s="12" t="s">
        <v>118</v>
      </c>
      <c r="N42" s="11" t="str">
        <f t="shared" si="1"/>
        <v>Competitive</v>
      </c>
      <c r="O42" s="6" t="s">
        <v>420</v>
      </c>
      <c r="P42" s="15">
        <v>3.0</v>
      </c>
      <c r="Q42" s="15">
        <v>5.0</v>
      </c>
      <c r="R42" s="15">
        <v>1.0</v>
      </c>
      <c r="S42" s="15">
        <v>5.0</v>
      </c>
      <c r="T42" s="15">
        <v>3.0</v>
      </c>
      <c r="U42" s="15">
        <v>5.0</v>
      </c>
      <c r="V42" s="11">
        <f>ROUND((P42*'Business Analysis'!$B$35+Q42*'Business Analysis'!$B$36+R42*'Business Analysis'!$B$37+S42*'Business Analysis'!$B$38+T42*'Business Analysis'!$B$39+U42*'Business Analysis'!$B$40)/5*100,0)</f>
        <v>68</v>
      </c>
      <c r="W42" s="11" t="str">
        <f t="shared" si="2"/>
        <v>Medium</v>
      </c>
      <c r="X42" s="12" t="s">
        <v>444</v>
      </c>
      <c r="Y42" s="11" t="s">
        <v>388</v>
      </c>
      <c r="Z42" s="6" t="s">
        <v>428</v>
      </c>
      <c r="AA42" s="11" t="s">
        <v>430</v>
      </c>
    </row>
    <row r="43" ht="15.75" customHeight="1">
      <c r="A43" s="30" t="s">
        <v>684</v>
      </c>
      <c r="B43" s="30" t="s">
        <v>29</v>
      </c>
      <c r="C43" s="8" t="s">
        <v>534</v>
      </c>
      <c r="D43" s="8" t="s">
        <v>152</v>
      </c>
      <c r="E43" s="20" t="s">
        <v>29</v>
      </c>
      <c r="F43" s="20" t="s">
        <v>31</v>
      </c>
      <c r="G43" s="20" t="s">
        <v>191</v>
      </c>
      <c r="H43" s="31">
        <v>2400.0</v>
      </c>
      <c r="I43" s="30" t="s">
        <v>107</v>
      </c>
      <c r="J43" s="32">
        <v>52.0</v>
      </c>
      <c r="K43" s="30" t="s">
        <v>112</v>
      </c>
      <c r="L43" s="33">
        <v>11.3</v>
      </c>
      <c r="M43" s="30" t="s">
        <v>118</v>
      </c>
      <c r="N43" s="20" t="str">
        <f t="shared" si="1"/>
        <v>Competitive</v>
      </c>
      <c r="O43" s="8" t="s">
        <v>420</v>
      </c>
      <c r="P43" s="32">
        <v>3.0</v>
      </c>
      <c r="Q43" s="32">
        <v>3.0</v>
      </c>
      <c r="R43" s="32">
        <v>1.0</v>
      </c>
      <c r="S43" s="32">
        <v>5.0</v>
      </c>
      <c r="T43" s="32">
        <v>3.0</v>
      </c>
      <c r="U43" s="32">
        <v>5.0</v>
      </c>
      <c r="V43" s="20">
        <f>ROUND((P43*'Business Analysis'!$B$35+Q43*'Business Analysis'!$B$36+R43*'Business Analysis'!$B$37+S43*'Business Analysis'!$B$38+T43*'Business Analysis'!$B$39+U43*'Business Analysis'!$B$40)/5*100,0)</f>
        <v>62</v>
      </c>
      <c r="W43" s="20" t="str">
        <f t="shared" si="2"/>
        <v>Medium</v>
      </c>
      <c r="X43" s="30" t="s">
        <v>444</v>
      </c>
      <c r="Y43" s="20" t="s">
        <v>388</v>
      </c>
      <c r="Z43" s="8" t="s">
        <v>428</v>
      </c>
      <c r="AA43" s="20" t="s">
        <v>430</v>
      </c>
    </row>
    <row r="44" ht="15.75" customHeight="1">
      <c r="A44" s="12" t="s">
        <v>690</v>
      </c>
      <c r="B44" s="12" t="s">
        <v>209</v>
      </c>
      <c r="C44" s="6" t="s">
        <v>534</v>
      </c>
      <c r="D44" s="6" t="s">
        <v>152</v>
      </c>
      <c r="E44" s="11" t="s">
        <v>209</v>
      </c>
      <c r="F44" s="11" t="s">
        <v>210</v>
      </c>
      <c r="G44" s="11" t="s">
        <v>98</v>
      </c>
      <c r="H44" s="14">
        <v>1300.0</v>
      </c>
      <c r="I44" s="12" t="s">
        <v>107</v>
      </c>
      <c r="J44" s="15">
        <v>34.0</v>
      </c>
      <c r="K44" s="12" t="s">
        <v>112</v>
      </c>
      <c r="L44" s="16">
        <v>3.2</v>
      </c>
      <c r="M44" s="12" t="s">
        <v>118</v>
      </c>
      <c r="N44" s="11" t="str">
        <f t="shared" si="1"/>
        <v>Moderate</v>
      </c>
      <c r="O44" s="6" t="s">
        <v>523</v>
      </c>
      <c r="P44" s="15">
        <v>2.0</v>
      </c>
      <c r="Q44" s="15">
        <v>3.0</v>
      </c>
      <c r="R44" s="15">
        <v>3.0</v>
      </c>
      <c r="S44" s="15">
        <v>1.0</v>
      </c>
      <c r="T44" s="15">
        <v>1.0</v>
      </c>
      <c r="U44" s="15">
        <v>5.0</v>
      </c>
      <c r="V44" s="11">
        <f>ROUND((P44*'Business Analysis'!$B$35+Q44*'Business Analysis'!$B$36+R44*'Business Analysis'!$B$37+S44*'Business Analysis'!$B$38+T44*'Business Analysis'!$B$39+U44*'Business Analysis'!$B$40)/5*100,0)</f>
        <v>47</v>
      </c>
      <c r="W44" s="11" t="str">
        <f t="shared" si="2"/>
        <v>Low</v>
      </c>
      <c r="X44" s="12" t="s">
        <v>694</v>
      </c>
      <c r="Y44" s="11" t="s">
        <v>388</v>
      </c>
      <c r="Z44" s="6" t="s">
        <v>528</v>
      </c>
      <c r="AA44" s="11" t="s">
        <v>430</v>
      </c>
    </row>
    <row r="45" ht="15.75" customHeight="1">
      <c r="A45" s="30" t="s">
        <v>695</v>
      </c>
      <c r="B45" s="30" t="s">
        <v>209</v>
      </c>
      <c r="C45" s="8" t="s">
        <v>534</v>
      </c>
      <c r="D45" s="8" t="s">
        <v>152</v>
      </c>
      <c r="E45" s="20" t="s">
        <v>209</v>
      </c>
      <c r="F45" s="20" t="s">
        <v>210</v>
      </c>
      <c r="G45" s="20" t="s">
        <v>191</v>
      </c>
      <c r="H45" s="31">
        <v>720.0</v>
      </c>
      <c r="I45" s="30" t="s">
        <v>107</v>
      </c>
      <c r="J45" s="32">
        <v>28.0</v>
      </c>
      <c r="K45" s="30" t="s">
        <v>112</v>
      </c>
      <c r="L45" s="33">
        <v>3.1</v>
      </c>
      <c r="M45" s="30" t="s">
        <v>118</v>
      </c>
      <c r="N45" s="20" t="str">
        <f t="shared" si="1"/>
        <v>Moderate</v>
      </c>
      <c r="O45" s="8" t="s">
        <v>523</v>
      </c>
      <c r="P45" s="32">
        <v>2.0</v>
      </c>
      <c r="Q45" s="32">
        <v>2.0</v>
      </c>
      <c r="R45" s="32">
        <v>3.0</v>
      </c>
      <c r="S45" s="32">
        <v>1.0</v>
      </c>
      <c r="T45" s="32">
        <v>1.0</v>
      </c>
      <c r="U45" s="32">
        <v>5.0</v>
      </c>
      <c r="V45" s="20">
        <f>ROUND((P45*'Business Analysis'!$B$35+Q45*'Business Analysis'!$B$36+R45*'Business Analysis'!$B$37+S45*'Business Analysis'!$B$38+T45*'Business Analysis'!$B$39+U45*'Business Analysis'!$B$40)/5*100,0)</f>
        <v>44</v>
      </c>
      <c r="W45" s="20" t="str">
        <f t="shared" si="2"/>
        <v>Low</v>
      </c>
      <c r="X45" s="30" t="s">
        <v>694</v>
      </c>
      <c r="Y45" s="20" t="s">
        <v>388</v>
      </c>
      <c r="Z45" s="8" t="s">
        <v>528</v>
      </c>
      <c r="AA45" s="20" t="s">
        <v>430</v>
      </c>
    </row>
    <row r="46" ht="15.75" customHeight="1">
      <c r="A46" s="12" t="s">
        <v>705</v>
      </c>
      <c r="B46" s="12" t="s">
        <v>130</v>
      </c>
      <c r="C46" s="6" t="s">
        <v>534</v>
      </c>
      <c r="D46" s="6" t="s">
        <v>152</v>
      </c>
      <c r="E46" s="11" t="s">
        <v>130</v>
      </c>
      <c r="F46" s="11" t="s">
        <v>131</v>
      </c>
      <c r="G46" s="11" t="s">
        <v>191</v>
      </c>
      <c r="H46" s="14">
        <v>880.0</v>
      </c>
      <c r="I46" s="12" t="s">
        <v>107</v>
      </c>
      <c r="J46" s="15">
        <v>31.0</v>
      </c>
      <c r="K46" s="12" t="s">
        <v>112</v>
      </c>
      <c r="L46" s="16">
        <v>3.5</v>
      </c>
      <c r="M46" s="12" t="s">
        <v>118</v>
      </c>
      <c r="N46" s="11" t="str">
        <f t="shared" si="1"/>
        <v>Moderate</v>
      </c>
      <c r="O46" s="6" t="s">
        <v>420</v>
      </c>
      <c r="P46" s="15">
        <v>3.0</v>
      </c>
      <c r="Q46" s="15">
        <v>2.0</v>
      </c>
      <c r="R46" s="15">
        <v>3.0</v>
      </c>
      <c r="S46" s="15">
        <v>3.0</v>
      </c>
      <c r="T46" s="15">
        <v>2.0</v>
      </c>
      <c r="U46" s="15">
        <v>5.0</v>
      </c>
      <c r="V46" s="11">
        <f>ROUND((P46*'Business Analysis'!$B$35+Q46*'Business Analysis'!$B$36+R46*'Business Analysis'!$B$37+S46*'Business Analysis'!$B$38+T46*'Business Analysis'!$B$39+U46*'Business Analysis'!$B$40)/5*100,0)</f>
        <v>58</v>
      </c>
      <c r="W46" s="11" t="str">
        <f t="shared" si="2"/>
        <v>Low</v>
      </c>
      <c r="X46" s="12" t="s">
        <v>701</v>
      </c>
      <c r="Y46" s="11" t="s">
        <v>388</v>
      </c>
      <c r="Z46" s="6" t="s">
        <v>507</v>
      </c>
      <c r="AA46" s="11" t="s">
        <v>430</v>
      </c>
    </row>
    <row r="47" ht="15.75" customHeight="1">
      <c r="A47" s="30" t="s">
        <v>702</v>
      </c>
      <c r="B47" s="30" t="s">
        <v>714</v>
      </c>
      <c r="C47" s="8" t="s">
        <v>534</v>
      </c>
      <c r="D47" s="8" t="s">
        <v>152</v>
      </c>
      <c r="E47" s="20" t="s">
        <v>130</v>
      </c>
      <c r="F47" s="20" t="s">
        <v>131</v>
      </c>
      <c r="G47" s="20" t="s">
        <v>98</v>
      </c>
      <c r="H47" s="31">
        <v>590.0</v>
      </c>
      <c r="I47" s="30" t="s">
        <v>107</v>
      </c>
      <c r="J47" s="32">
        <v>30.0</v>
      </c>
      <c r="K47" s="30" t="s">
        <v>112</v>
      </c>
      <c r="L47" s="33">
        <v>4.6</v>
      </c>
      <c r="M47" s="30" t="s">
        <v>118</v>
      </c>
      <c r="N47" s="20" t="str">
        <f t="shared" si="1"/>
        <v>Moderate</v>
      </c>
      <c r="O47" s="8" t="s">
        <v>420</v>
      </c>
      <c r="P47" s="32">
        <v>3.0</v>
      </c>
      <c r="Q47" s="32">
        <v>2.0</v>
      </c>
      <c r="R47" s="32">
        <v>3.0</v>
      </c>
      <c r="S47" s="32">
        <v>3.0</v>
      </c>
      <c r="T47" s="32">
        <v>2.0</v>
      </c>
      <c r="U47" s="32">
        <v>5.0</v>
      </c>
      <c r="V47" s="20">
        <f>ROUND((P47*'Business Analysis'!$B$35+Q47*'Business Analysis'!$B$36+R47*'Business Analysis'!$B$37+S47*'Business Analysis'!$B$38+T47*'Business Analysis'!$B$39+U47*'Business Analysis'!$B$40)/5*100,0)</f>
        <v>58</v>
      </c>
      <c r="W47" s="20" t="str">
        <f t="shared" si="2"/>
        <v>Low</v>
      </c>
      <c r="X47" s="30" t="s">
        <v>701</v>
      </c>
      <c r="Y47" s="20" t="s">
        <v>388</v>
      </c>
      <c r="Z47" s="8" t="s">
        <v>507</v>
      </c>
      <c r="AA47" s="20" t="s">
        <v>430</v>
      </c>
    </row>
    <row r="48" ht="15.75" customHeight="1">
      <c r="A48" s="12" t="s">
        <v>169</v>
      </c>
      <c r="B48" s="12" t="s">
        <v>29</v>
      </c>
      <c r="C48" s="6" t="s">
        <v>534</v>
      </c>
      <c r="D48" s="6" t="s">
        <v>168</v>
      </c>
      <c r="E48" s="11" t="s">
        <v>29</v>
      </c>
      <c r="F48" s="11" t="s">
        <v>31</v>
      </c>
      <c r="G48" s="11" t="s">
        <v>98</v>
      </c>
      <c r="H48" s="14">
        <v>70.0</v>
      </c>
      <c r="I48" s="12" t="s">
        <v>107</v>
      </c>
      <c r="J48" s="15">
        <v>17.0</v>
      </c>
      <c r="K48" s="12" t="s">
        <v>112</v>
      </c>
      <c r="L48" s="16">
        <v>9.6</v>
      </c>
      <c r="M48" s="12" t="s">
        <v>118</v>
      </c>
      <c r="N48" s="11" t="str">
        <f t="shared" si="1"/>
        <v>Easy</v>
      </c>
      <c r="O48" s="6" t="s">
        <v>537</v>
      </c>
      <c r="P48" s="15">
        <v>5.0</v>
      </c>
      <c r="Q48" s="15">
        <v>3.0</v>
      </c>
      <c r="R48" s="15">
        <v>4.0</v>
      </c>
      <c r="S48" s="15">
        <v>5.0</v>
      </c>
      <c r="T48" s="15">
        <v>5.0</v>
      </c>
      <c r="U48" s="15">
        <v>4.0</v>
      </c>
      <c r="V48" s="11">
        <f>ROUND((P48*'Business Analysis'!$B$35+Q48*'Business Analysis'!$B$36+R48*'Business Analysis'!$B$37+S48*'Business Analysis'!$B$38+T48*'Business Analysis'!$B$39+U48*'Business Analysis'!$B$40)/5*100,0)</f>
        <v>88</v>
      </c>
      <c r="W48" s="11" t="str">
        <f t="shared" si="2"/>
        <v>High</v>
      </c>
      <c r="X48" s="12" t="s">
        <v>448</v>
      </c>
      <c r="Y48" s="11" t="s">
        <v>388</v>
      </c>
      <c r="Z48" s="6" t="s">
        <v>213</v>
      </c>
      <c r="AA48" s="11" t="s">
        <v>183</v>
      </c>
    </row>
    <row r="49" ht="15.75" customHeight="1">
      <c r="A49" s="30" t="s">
        <v>736</v>
      </c>
      <c r="B49" s="30" t="s">
        <v>130</v>
      </c>
      <c r="C49" s="8" t="s">
        <v>534</v>
      </c>
      <c r="D49" s="8" t="s">
        <v>168</v>
      </c>
      <c r="E49" s="20" t="s">
        <v>130</v>
      </c>
      <c r="F49" s="20" t="s">
        <v>131</v>
      </c>
      <c r="G49" s="20" t="s">
        <v>191</v>
      </c>
      <c r="H49" s="31">
        <v>60.0</v>
      </c>
      <c r="I49" s="30" t="s">
        <v>107</v>
      </c>
      <c r="J49" s="32">
        <v>16.0</v>
      </c>
      <c r="K49" s="30" t="s">
        <v>112</v>
      </c>
      <c r="L49" s="33">
        <v>9.2</v>
      </c>
      <c r="M49" s="30" t="s">
        <v>118</v>
      </c>
      <c r="N49" s="20" t="str">
        <f t="shared" si="1"/>
        <v>Easy</v>
      </c>
      <c r="O49" s="8" t="s">
        <v>537</v>
      </c>
      <c r="P49" s="32">
        <v>5.0</v>
      </c>
      <c r="Q49" s="32">
        <v>3.0</v>
      </c>
      <c r="R49" s="32">
        <v>4.0</v>
      </c>
      <c r="S49" s="32">
        <v>4.0</v>
      </c>
      <c r="T49" s="32">
        <v>4.0</v>
      </c>
      <c r="U49" s="32">
        <v>4.0</v>
      </c>
      <c r="V49" s="20">
        <f>ROUND((P49*'Business Analysis'!$B$35+Q49*'Business Analysis'!$B$36+R49*'Business Analysis'!$B$37+S49*'Business Analysis'!$B$38+T49*'Business Analysis'!$B$39+U49*'Business Analysis'!$B$40)/5*100,0)</f>
        <v>82</v>
      </c>
      <c r="W49" s="20" t="str">
        <f t="shared" si="2"/>
        <v>High</v>
      </c>
      <c r="X49" s="30" t="s">
        <v>448</v>
      </c>
      <c r="Y49" s="20" t="s">
        <v>388</v>
      </c>
      <c r="Z49" s="8" t="s">
        <v>234</v>
      </c>
      <c r="AA49" s="20" t="s">
        <v>183</v>
      </c>
    </row>
    <row r="50" ht="15.75" customHeight="1">
      <c r="A50" s="12" t="s">
        <v>744</v>
      </c>
      <c r="B50" s="12" t="s">
        <v>130</v>
      </c>
      <c r="C50" s="6" t="s">
        <v>534</v>
      </c>
      <c r="D50" s="6" t="s">
        <v>168</v>
      </c>
      <c r="E50" s="11" t="s">
        <v>130</v>
      </c>
      <c r="F50" s="11" t="s">
        <v>131</v>
      </c>
      <c r="G50" s="11" t="s">
        <v>191</v>
      </c>
      <c r="H50" s="14">
        <v>40.0</v>
      </c>
      <c r="I50" s="12" t="s">
        <v>107</v>
      </c>
      <c r="J50" s="15">
        <v>15.0</v>
      </c>
      <c r="K50" s="12" t="s">
        <v>112</v>
      </c>
      <c r="L50" s="16">
        <v>8.4</v>
      </c>
      <c r="M50" s="12" t="s">
        <v>118</v>
      </c>
      <c r="N50" s="11" t="str">
        <f t="shared" si="1"/>
        <v>Easy</v>
      </c>
      <c r="O50" s="6" t="s">
        <v>537</v>
      </c>
      <c r="P50" s="15">
        <v>5.0</v>
      </c>
      <c r="Q50" s="15">
        <v>2.0</v>
      </c>
      <c r="R50" s="15">
        <v>5.0</v>
      </c>
      <c r="S50" s="15">
        <v>4.0</v>
      </c>
      <c r="T50" s="15">
        <v>4.0</v>
      </c>
      <c r="U50" s="15">
        <v>4.0</v>
      </c>
      <c r="V50" s="11">
        <f>ROUND((P50*'Business Analysis'!$B$35+Q50*'Business Analysis'!$B$36+R50*'Business Analysis'!$B$37+S50*'Business Analysis'!$B$38+T50*'Business Analysis'!$B$39+U50*'Business Analysis'!$B$40)/5*100,0)</f>
        <v>83</v>
      </c>
      <c r="W50" s="11" t="str">
        <f t="shared" si="2"/>
        <v>High</v>
      </c>
      <c r="X50" s="12" t="s">
        <v>448</v>
      </c>
      <c r="Y50" s="11" t="s">
        <v>388</v>
      </c>
      <c r="Z50" s="6" t="s">
        <v>234</v>
      </c>
      <c r="AA50" s="11" t="s">
        <v>183</v>
      </c>
    </row>
    <row r="51" ht="15.75" customHeight="1">
      <c r="A51" s="30" t="s">
        <v>755</v>
      </c>
      <c r="B51" s="30" t="s">
        <v>29</v>
      </c>
      <c r="C51" s="8" t="s">
        <v>534</v>
      </c>
      <c r="D51" s="8" t="s">
        <v>168</v>
      </c>
      <c r="E51" s="20" t="s">
        <v>29</v>
      </c>
      <c r="F51" s="20" t="s">
        <v>31</v>
      </c>
      <c r="G51" s="20" t="s">
        <v>191</v>
      </c>
      <c r="H51" s="31">
        <v>140.0</v>
      </c>
      <c r="I51" s="30" t="s">
        <v>107</v>
      </c>
      <c r="J51" s="32">
        <v>24.0</v>
      </c>
      <c r="K51" s="30" t="s">
        <v>112</v>
      </c>
      <c r="L51" s="33">
        <v>9.8</v>
      </c>
      <c r="M51" s="30" t="s">
        <v>118</v>
      </c>
      <c r="N51" s="20" t="str">
        <f t="shared" si="1"/>
        <v>Moderate</v>
      </c>
      <c r="O51" s="8" t="s">
        <v>537</v>
      </c>
      <c r="P51" s="32">
        <v>5.0</v>
      </c>
      <c r="Q51" s="32">
        <v>4.0</v>
      </c>
      <c r="R51" s="32">
        <v>4.0</v>
      </c>
      <c r="S51" s="32">
        <v>5.0</v>
      </c>
      <c r="T51" s="32">
        <v>4.0</v>
      </c>
      <c r="U51" s="32">
        <v>4.0</v>
      </c>
      <c r="V51" s="20">
        <f>ROUND((P51*'Business Analysis'!$B$35+Q51*'Business Analysis'!$B$36+R51*'Business Analysis'!$B$37+S51*'Business Analysis'!$B$38+T51*'Business Analysis'!$B$39+U51*'Business Analysis'!$B$40)/5*100,0)</f>
        <v>88</v>
      </c>
      <c r="W51" s="20" t="str">
        <f t="shared" si="2"/>
        <v>High</v>
      </c>
      <c r="X51" s="30" t="s">
        <v>448</v>
      </c>
      <c r="Y51" s="20" t="s">
        <v>388</v>
      </c>
      <c r="Z51" s="8" t="s">
        <v>626</v>
      </c>
      <c r="AA51" s="20" t="s">
        <v>508</v>
      </c>
    </row>
    <row r="52" ht="15.75" customHeight="1">
      <c r="A52" s="12" t="s">
        <v>766</v>
      </c>
      <c r="B52" s="12" t="s">
        <v>130</v>
      </c>
      <c r="C52" s="6" t="s">
        <v>534</v>
      </c>
      <c r="D52" s="6" t="s">
        <v>168</v>
      </c>
      <c r="E52" s="11" t="s">
        <v>130</v>
      </c>
      <c r="F52" s="11" t="s">
        <v>131</v>
      </c>
      <c r="G52" s="11" t="s">
        <v>191</v>
      </c>
      <c r="H52" s="14">
        <v>8100.0</v>
      </c>
      <c r="I52" s="12" t="s">
        <v>107</v>
      </c>
      <c r="J52" s="15">
        <v>57.0</v>
      </c>
      <c r="K52" s="12" t="s">
        <v>112</v>
      </c>
      <c r="L52" s="16">
        <v>10.1</v>
      </c>
      <c r="M52" s="12" t="s">
        <v>118</v>
      </c>
      <c r="N52" s="11" t="str">
        <f t="shared" si="1"/>
        <v>Competitive</v>
      </c>
      <c r="O52" s="6" t="s">
        <v>420</v>
      </c>
      <c r="P52" s="15">
        <v>3.0</v>
      </c>
      <c r="Q52" s="15">
        <v>4.0</v>
      </c>
      <c r="R52" s="15">
        <v>1.0</v>
      </c>
      <c r="S52" s="15">
        <v>3.0</v>
      </c>
      <c r="T52" s="15">
        <v>2.0</v>
      </c>
      <c r="U52" s="15">
        <v>4.0</v>
      </c>
      <c r="V52" s="11">
        <f>ROUND((P52*'Business Analysis'!$B$35+Q52*'Business Analysis'!$B$36+R52*'Business Analysis'!$B$37+S52*'Business Analysis'!$B$38+T52*'Business Analysis'!$B$39+U52*'Business Analysis'!$B$40)/5*100,0)</f>
        <v>54</v>
      </c>
      <c r="W52" s="11" t="str">
        <f t="shared" si="2"/>
        <v>Low</v>
      </c>
      <c r="X52" s="12" t="s">
        <v>448</v>
      </c>
      <c r="Y52" s="11" t="s">
        <v>388</v>
      </c>
      <c r="Z52" s="6" t="s">
        <v>507</v>
      </c>
      <c r="AA52" s="11" t="s">
        <v>430</v>
      </c>
    </row>
    <row r="53" ht="15.75" customHeight="1">
      <c r="A53" s="30" t="s">
        <v>772</v>
      </c>
      <c r="B53" s="30" t="s">
        <v>130</v>
      </c>
      <c r="C53" s="8" t="s">
        <v>534</v>
      </c>
      <c r="D53" s="8" t="s">
        <v>168</v>
      </c>
      <c r="E53" s="20" t="s">
        <v>130</v>
      </c>
      <c r="F53" s="20" t="s">
        <v>131</v>
      </c>
      <c r="G53" s="20" t="s">
        <v>191</v>
      </c>
      <c r="H53" s="31">
        <v>5400.0</v>
      </c>
      <c r="I53" s="30" t="s">
        <v>107</v>
      </c>
      <c r="J53" s="32">
        <v>54.0</v>
      </c>
      <c r="K53" s="30" t="s">
        <v>112</v>
      </c>
      <c r="L53" s="33">
        <v>8.9</v>
      </c>
      <c r="M53" s="30" t="s">
        <v>118</v>
      </c>
      <c r="N53" s="20" t="str">
        <f t="shared" si="1"/>
        <v>Competitive</v>
      </c>
      <c r="O53" s="8" t="s">
        <v>420</v>
      </c>
      <c r="P53" s="32">
        <v>3.0</v>
      </c>
      <c r="Q53" s="32">
        <v>4.0</v>
      </c>
      <c r="R53" s="32">
        <v>1.0</v>
      </c>
      <c r="S53" s="32">
        <v>3.0</v>
      </c>
      <c r="T53" s="32">
        <v>2.0</v>
      </c>
      <c r="U53" s="32">
        <v>4.0</v>
      </c>
      <c r="V53" s="20">
        <f>ROUND((P53*'Business Analysis'!$B$35+Q53*'Business Analysis'!$B$36+R53*'Business Analysis'!$B$37+S53*'Business Analysis'!$B$38+T53*'Business Analysis'!$B$39+U53*'Business Analysis'!$B$40)/5*100,0)</f>
        <v>54</v>
      </c>
      <c r="W53" s="20" t="str">
        <f t="shared" si="2"/>
        <v>Low</v>
      </c>
      <c r="X53" s="30" t="s">
        <v>448</v>
      </c>
      <c r="Y53" s="20" t="s">
        <v>388</v>
      </c>
      <c r="Z53" s="8" t="s">
        <v>507</v>
      </c>
      <c r="AA53" s="20" t="s">
        <v>430</v>
      </c>
    </row>
    <row r="54" ht="15.75" customHeight="1">
      <c r="A54" s="12" t="s">
        <v>774</v>
      </c>
      <c r="B54" s="12" t="s">
        <v>130</v>
      </c>
      <c r="C54" s="6" t="s">
        <v>534</v>
      </c>
      <c r="D54" s="6" t="s">
        <v>168</v>
      </c>
      <c r="E54" s="11" t="s">
        <v>130</v>
      </c>
      <c r="F54" s="11" t="s">
        <v>131</v>
      </c>
      <c r="G54" s="11" t="s">
        <v>191</v>
      </c>
      <c r="H54" s="14">
        <v>2400.0</v>
      </c>
      <c r="I54" s="12" t="s">
        <v>107</v>
      </c>
      <c r="J54" s="15">
        <v>45.0</v>
      </c>
      <c r="K54" s="12" t="s">
        <v>112</v>
      </c>
      <c r="L54" s="16">
        <v>8.2</v>
      </c>
      <c r="M54" s="12" t="s">
        <v>118</v>
      </c>
      <c r="N54" s="11" t="str">
        <f t="shared" si="1"/>
        <v>Competitive</v>
      </c>
      <c r="O54" s="6" t="s">
        <v>420</v>
      </c>
      <c r="P54" s="15">
        <v>3.0</v>
      </c>
      <c r="Q54" s="15">
        <v>3.0</v>
      </c>
      <c r="R54" s="15">
        <v>2.0</v>
      </c>
      <c r="S54" s="15">
        <v>3.0</v>
      </c>
      <c r="T54" s="15">
        <v>2.0</v>
      </c>
      <c r="U54" s="15">
        <v>4.0</v>
      </c>
      <c r="V54" s="11">
        <f>ROUND((P54*'Business Analysis'!$B$35+Q54*'Business Analysis'!$B$36+R54*'Business Analysis'!$B$37+S54*'Business Analysis'!$B$38+T54*'Business Analysis'!$B$39+U54*'Business Analysis'!$B$40)/5*100,0)</f>
        <v>55</v>
      </c>
      <c r="W54" s="11" t="str">
        <f t="shared" si="2"/>
        <v>Low</v>
      </c>
      <c r="X54" s="12" t="s">
        <v>448</v>
      </c>
      <c r="Y54" s="11" t="s">
        <v>388</v>
      </c>
      <c r="Z54" s="6" t="s">
        <v>507</v>
      </c>
      <c r="AA54" s="11" t="s">
        <v>430</v>
      </c>
    </row>
    <row r="55" ht="15.75" customHeight="1">
      <c r="A55" s="30" t="s">
        <v>704</v>
      </c>
      <c r="B55" s="30" t="s">
        <v>130</v>
      </c>
      <c r="C55" s="8" t="s">
        <v>534</v>
      </c>
      <c r="D55" s="8" t="s">
        <v>168</v>
      </c>
      <c r="E55" s="20" t="s">
        <v>130</v>
      </c>
      <c r="F55" s="20" t="s">
        <v>131</v>
      </c>
      <c r="G55" s="20" t="s">
        <v>98</v>
      </c>
      <c r="H55" s="31">
        <v>27100.0</v>
      </c>
      <c r="I55" s="30" t="s">
        <v>107</v>
      </c>
      <c r="J55" s="32">
        <v>58.0</v>
      </c>
      <c r="K55" s="30" t="s">
        <v>112</v>
      </c>
      <c r="L55" s="33">
        <v>6.8</v>
      </c>
      <c r="M55" s="30" t="s">
        <v>118</v>
      </c>
      <c r="N55" s="20" t="str">
        <f t="shared" si="1"/>
        <v>Competitive</v>
      </c>
      <c r="O55" s="8" t="s">
        <v>420</v>
      </c>
      <c r="P55" s="32">
        <v>3.0</v>
      </c>
      <c r="Q55" s="32">
        <v>5.0</v>
      </c>
      <c r="R55" s="32">
        <v>1.0</v>
      </c>
      <c r="S55" s="32">
        <v>3.0</v>
      </c>
      <c r="T55" s="32">
        <v>2.0</v>
      </c>
      <c r="U55" s="32">
        <v>4.0</v>
      </c>
      <c r="V55" s="20">
        <f>ROUND((P55*'Business Analysis'!$B$35+Q55*'Business Analysis'!$B$36+R55*'Business Analysis'!$B$37+S55*'Business Analysis'!$B$38+T55*'Business Analysis'!$B$39+U55*'Business Analysis'!$B$40)/5*100,0)</f>
        <v>57</v>
      </c>
      <c r="W55" s="20" t="str">
        <f t="shared" si="2"/>
        <v>Low</v>
      </c>
      <c r="X55" s="30" t="s">
        <v>703</v>
      </c>
      <c r="Y55" s="20" t="s">
        <v>388</v>
      </c>
      <c r="Z55" s="8" t="s">
        <v>507</v>
      </c>
      <c r="AA55" s="20" t="s">
        <v>430</v>
      </c>
    </row>
    <row r="56" ht="15.75" customHeight="1">
      <c r="A56" s="12" t="s">
        <v>792</v>
      </c>
      <c r="B56" s="12" t="s">
        <v>130</v>
      </c>
      <c r="C56" s="6" t="s">
        <v>534</v>
      </c>
      <c r="D56" s="6" t="s">
        <v>168</v>
      </c>
      <c r="E56" s="11" t="s">
        <v>130</v>
      </c>
      <c r="F56" s="11" t="s">
        <v>131</v>
      </c>
      <c r="G56" s="11" t="s">
        <v>191</v>
      </c>
      <c r="H56" s="14">
        <v>4400.0</v>
      </c>
      <c r="I56" s="12" t="s">
        <v>107</v>
      </c>
      <c r="J56" s="15">
        <v>47.0</v>
      </c>
      <c r="K56" s="12" t="s">
        <v>112</v>
      </c>
      <c r="L56" s="16">
        <v>6.2</v>
      </c>
      <c r="M56" s="12" t="s">
        <v>118</v>
      </c>
      <c r="N56" s="11" t="str">
        <f t="shared" si="1"/>
        <v>Competitive</v>
      </c>
      <c r="O56" s="6" t="s">
        <v>420</v>
      </c>
      <c r="P56" s="15">
        <v>3.0</v>
      </c>
      <c r="Q56" s="15">
        <v>4.0</v>
      </c>
      <c r="R56" s="15">
        <v>2.0</v>
      </c>
      <c r="S56" s="15">
        <v>3.0</v>
      </c>
      <c r="T56" s="15">
        <v>2.0</v>
      </c>
      <c r="U56" s="15">
        <v>4.0</v>
      </c>
      <c r="V56" s="11">
        <f>ROUND((P56*'Business Analysis'!$B$35+Q56*'Business Analysis'!$B$36+R56*'Business Analysis'!$B$37+S56*'Business Analysis'!$B$38+T56*'Business Analysis'!$B$39+U56*'Business Analysis'!$B$40)/5*100,0)</f>
        <v>58</v>
      </c>
      <c r="W56" s="11" t="str">
        <f t="shared" si="2"/>
        <v>Low</v>
      </c>
      <c r="X56" s="12" t="s">
        <v>703</v>
      </c>
      <c r="Y56" s="11" t="s">
        <v>388</v>
      </c>
      <c r="Z56" s="6" t="s">
        <v>507</v>
      </c>
      <c r="AA56" s="11" t="s">
        <v>430</v>
      </c>
    </row>
    <row r="57" ht="15.75" customHeight="1">
      <c r="A57" s="30" t="s">
        <v>794</v>
      </c>
      <c r="B57" s="30" t="s">
        <v>130</v>
      </c>
      <c r="C57" s="8" t="s">
        <v>534</v>
      </c>
      <c r="D57" s="8" t="s">
        <v>168</v>
      </c>
      <c r="E57" s="20" t="s">
        <v>130</v>
      </c>
      <c r="F57" s="20" t="s">
        <v>131</v>
      </c>
      <c r="G57" s="20" t="s">
        <v>191</v>
      </c>
      <c r="H57" s="31">
        <v>1600.0</v>
      </c>
      <c r="I57" s="30" t="s">
        <v>107</v>
      </c>
      <c r="J57" s="32">
        <v>41.0</v>
      </c>
      <c r="K57" s="30" t="s">
        <v>112</v>
      </c>
      <c r="L57" s="33">
        <v>6.4</v>
      </c>
      <c r="M57" s="30" t="s">
        <v>118</v>
      </c>
      <c r="N57" s="20" t="str">
        <f t="shared" si="1"/>
        <v>Competitive</v>
      </c>
      <c r="O57" s="8" t="s">
        <v>420</v>
      </c>
      <c r="P57" s="32">
        <v>3.0</v>
      </c>
      <c r="Q57" s="32">
        <v>3.0</v>
      </c>
      <c r="R57" s="32">
        <v>2.0</v>
      </c>
      <c r="S57" s="32">
        <v>3.0</v>
      </c>
      <c r="T57" s="32">
        <v>2.0</v>
      </c>
      <c r="U57" s="32">
        <v>4.0</v>
      </c>
      <c r="V57" s="20">
        <f>ROUND((P57*'Business Analysis'!$B$35+Q57*'Business Analysis'!$B$36+R57*'Business Analysis'!$B$37+S57*'Business Analysis'!$B$38+T57*'Business Analysis'!$B$39+U57*'Business Analysis'!$B$40)/5*100,0)</f>
        <v>55</v>
      </c>
      <c r="W57" s="20" t="str">
        <f t="shared" si="2"/>
        <v>Low</v>
      </c>
      <c r="X57" s="30" t="s">
        <v>703</v>
      </c>
      <c r="Y57" s="20" t="s">
        <v>388</v>
      </c>
      <c r="Z57" s="8" t="s">
        <v>507</v>
      </c>
      <c r="AA57" s="20" t="s">
        <v>430</v>
      </c>
    </row>
    <row r="58" ht="15.75" customHeight="1">
      <c r="A58" s="12" t="s">
        <v>185</v>
      </c>
      <c r="B58" s="12" t="s">
        <v>87</v>
      </c>
      <c r="C58" s="6" t="s">
        <v>534</v>
      </c>
      <c r="D58" s="6" t="s">
        <v>184</v>
      </c>
      <c r="E58" s="11" t="s">
        <v>29</v>
      </c>
      <c r="F58" s="11" t="s">
        <v>31</v>
      </c>
      <c r="G58" s="11" t="s">
        <v>98</v>
      </c>
      <c r="H58" s="14">
        <v>50.0</v>
      </c>
      <c r="I58" s="12" t="s">
        <v>107</v>
      </c>
      <c r="J58" s="15">
        <v>17.0</v>
      </c>
      <c r="K58" s="12" t="s">
        <v>112</v>
      </c>
      <c r="L58" s="16">
        <v>9.1</v>
      </c>
      <c r="M58" s="12" t="s">
        <v>118</v>
      </c>
      <c r="N58" s="11" t="str">
        <f t="shared" si="1"/>
        <v>Easy</v>
      </c>
      <c r="O58" s="6" t="s">
        <v>537</v>
      </c>
      <c r="P58" s="15">
        <v>4.0</v>
      </c>
      <c r="Q58" s="15">
        <v>3.0</v>
      </c>
      <c r="R58" s="15">
        <v>4.0</v>
      </c>
      <c r="S58" s="15">
        <v>5.0</v>
      </c>
      <c r="T58" s="15">
        <v>5.0</v>
      </c>
      <c r="U58" s="15">
        <v>4.0</v>
      </c>
      <c r="V58" s="11">
        <f>ROUND((P58*'Business Analysis'!$B$35+Q58*'Business Analysis'!$B$36+R58*'Business Analysis'!$B$37+S58*'Business Analysis'!$B$38+T58*'Business Analysis'!$B$39+U58*'Business Analysis'!$B$40)/5*100,0)</f>
        <v>83</v>
      </c>
      <c r="W58" s="11" t="str">
        <f t="shared" si="2"/>
        <v>High</v>
      </c>
      <c r="X58" s="12" t="s">
        <v>452</v>
      </c>
      <c r="Y58" s="11" t="s">
        <v>388</v>
      </c>
      <c r="Z58" s="6" t="s">
        <v>213</v>
      </c>
      <c r="AA58" s="11" t="s">
        <v>183</v>
      </c>
    </row>
    <row r="59" ht="15.75" customHeight="1">
      <c r="A59" s="30" t="s">
        <v>797</v>
      </c>
      <c r="B59" s="30" t="s">
        <v>87</v>
      </c>
      <c r="C59" s="8" t="s">
        <v>534</v>
      </c>
      <c r="D59" s="8" t="s">
        <v>184</v>
      </c>
      <c r="E59" s="20" t="s">
        <v>29</v>
      </c>
      <c r="F59" s="20" t="s">
        <v>31</v>
      </c>
      <c r="G59" s="20" t="s">
        <v>191</v>
      </c>
      <c r="H59" s="31">
        <v>20.0</v>
      </c>
      <c r="I59" s="30" t="s">
        <v>107</v>
      </c>
      <c r="J59" s="32">
        <v>13.0</v>
      </c>
      <c r="K59" s="30" t="s">
        <v>112</v>
      </c>
      <c r="L59" s="33">
        <v>8.6</v>
      </c>
      <c r="M59" s="30" t="s">
        <v>118</v>
      </c>
      <c r="N59" s="20" t="str">
        <f t="shared" si="1"/>
        <v>Easy</v>
      </c>
      <c r="O59" s="8" t="s">
        <v>537</v>
      </c>
      <c r="P59" s="32">
        <v>4.0</v>
      </c>
      <c r="Q59" s="32">
        <v>2.0</v>
      </c>
      <c r="R59" s="32">
        <v>5.0</v>
      </c>
      <c r="S59" s="32">
        <v>5.0</v>
      </c>
      <c r="T59" s="32">
        <v>5.0</v>
      </c>
      <c r="U59" s="32">
        <v>4.0</v>
      </c>
      <c r="V59" s="20">
        <f>ROUND((P59*'Business Analysis'!$B$35+Q59*'Business Analysis'!$B$36+R59*'Business Analysis'!$B$37+S59*'Business Analysis'!$B$38+T59*'Business Analysis'!$B$39+U59*'Business Analysis'!$B$40)/5*100,0)</f>
        <v>84</v>
      </c>
      <c r="W59" s="20" t="str">
        <f t="shared" si="2"/>
        <v>High</v>
      </c>
      <c r="X59" s="30" t="s">
        <v>452</v>
      </c>
      <c r="Y59" s="20" t="s">
        <v>388</v>
      </c>
      <c r="Z59" s="8" t="s">
        <v>213</v>
      </c>
      <c r="AA59" s="20" t="s">
        <v>183</v>
      </c>
    </row>
    <row r="60" ht="15.75" customHeight="1">
      <c r="A60" s="12" t="s">
        <v>805</v>
      </c>
      <c r="B60" s="12" t="s">
        <v>29</v>
      </c>
      <c r="C60" s="6" t="s">
        <v>534</v>
      </c>
      <c r="D60" s="6" t="s">
        <v>184</v>
      </c>
      <c r="E60" s="11" t="s">
        <v>29</v>
      </c>
      <c r="F60" s="11" t="s">
        <v>31</v>
      </c>
      <c r="G60" s="11" t="s">
        <v>191</v>
      </c>
      <c r="H60" s="14">
        <v>14800.0</v>
      </c>
      <c r="I60" s="12" t="s">
        <v>107</v>
      </c>
      <c r="J60" s="15">
        <v>61.0</v>
      </c>
      <c r="K60" s="12" t="s">
        <v>112</v>
      </c>
      <c r="L60" s="16">
        <v>9.6</v>
      </c>
      <c r="M60" s="12" t="s">
        <v>118</v>
      </c>
      <c r="N60" s="11" t="str">
        <f t="shared" si="1"/>
        <v>Competitive</v>
      </c>
      <c r="O60" s="6" t="s">
        <v>420</v>
      </c>
      <c r="P60" s="15">
        <v>2.0</v>
      </c>
      <c r="Q60" s="15">
        <v>5.0</v>
      </c>
      <c r="R60" s="15">
        <v>1.0</v>
      </c>
      <c r="S60" s="15">
        <v>5.0</v>
      </c>
      <c r="T60" s="15">
        <v>3.0</v>
      </c>
      <c r="U60" s="15">
        <v>4.0</v>
      </c>
      <c r="V60" s="11">
        <f>ROUND((P60*'Business Analysis'!$B$35+Q60*'Business Analysis'!$B$36+R60*'Business Analysis'!$B$37+S60*'Business Analysis'!$B$38+T60*'Business Analysis'!$B$39+U60*'Business Analysis'!$B$40)/5*100,0)</f>
        <v>61</v>
      </c>
      <c r="W60" s="11" t="str">
        <f t="shared" si="2"/>
        <v>Medium</v>
      </c>
      <c r="X60" s="12" t="s">
        <v>452</v>
      </c>
      <c r="Y60" s="11" t="s">
        <v>388</v>
      </c>
      <c r="Z60" s="6" t="s">
        <v>428</v>
      </c>
      <c r="AA60" s="11" t="s">
        <v>430</v>
      </c>
    </row>
    <row r="61" ht="15.75" customHeight="1">
      <c r="A61" s="30" t="s">
        <v>810</v>
      </c>
      <c r="B61" s="30" t="s">
        <v>130</v>
      </c>
      <c r="C61" s="8" t="s">
        <v>534</v>
      </c>
      <c r="D61" s="8" t="s">
        <v>184</v>
      </c>
      <c r="E61" s="20" t="s">
        <v>130</v>
      </c>
      <c r="F61" s="20" t="s">
        <v>131</v>
      </c>
      <c r="G61" s="20" t="s">
        <v>191</v>
      </c>
      <c r="H61" s="31">
        <v>8100.0</v>
      </c>
      <c r="I61" s="30" t="s">
        <v>107</v>
      </c>
      <c r="J61" s="32">
        <v>50.0</v>
      </c>
      <c r="K61" s="30" t="s">
        <v>112</v>
      </c>
      <c r="L61" s="33">
        <v>5.9</v>
      </c>
      <c r="M61" s="30" t="s">
        <v>118</v>
      </c>
      <c r="N61" s="20" t="str">
        <f t="shared" si="1"/>
        <v>Competitive</v>
      </c>
      <c r="O61" s="8" t="s">
        <v>420</v>
      </c>
      <c r="P61" s="32">
        <v>2.0</v>
      </c>
      <c r="Q61" s="32">
        <v>4.0</v>
      </c>
      <c r="R61" s="32">
        <v>2.0</v>
      </c>
      <c r="S61" s="32">
        <v>3.0</v>
      </c>
      <c r="T61" s="32">
        <v>2.0</v>
      </c>
      <c r="U61" s="32">
        <v>4.0</v>
      </c>
      <c r="V61" s="20">
        <f>ROUND((P61*'Business Analysis'!$B$35+Q61*'Business Analysis'!$B$36+R61*'Business Analysis'!$B$37+S61*'Business Analysis'!$B$38+T61*'Business Analysis'!$B$39+U61*'Business Analysis'!$B$40)/5*100,0)</f>
        <v>53</v>
      </c>
      <c r="W61" s="20" t="str">
        <f t="shared" si="2"/>
        <v>Low</v>
      </c>
      <c r="X61" s="30" t="s">
        <v>452</v>
      </c>
      <c r="Y61" s="20" t="s">
        <v>388</v>
      </c>
      <c r="Z61" s="8" t="s">
        <v>507</v>
      </c>
      <c r="AA61" s="20" t="s">
        <v>430</v>
      </c>
    </row>
    <row r="62" ht="15.75" customHeight="1">
      <c r="A62" s="12" t="s">
        <v>812</v>
      </c>
      <c r="B62" s="12" t="s">
        <v>618</v>
      </c>
      <c r="C62" s="6" t="s">
        <v>534</v>
      </c>
      <c r="D62" s="6" t="s">
        <v>184</v>
      </c>
      <c r="E62" s="11" t="s">
        <v>130</v>
      </c>
      <c r="F62" s="11" t="s">
        <v>131</v>
      </c>
      <c r="G62" s="11" t="s">
        <v>191</v>
      </c>
      <c r="H62" s="14">
        <v>3600.0</v>
      </c>
      <c r="I62" s="12" t="s">
        <v>107</v>
      </c>
      <c r="J62" s="15">
        <v>42.0</v>
      </c>
      <c r="K62" s="12" t="s">
        <v>112</v>
      </c>
      <c r="L62" s="16">
        <v>4.8</v>
      </c>
      <c r="M62" s="12" t="s">
        <v>118</v>
      </c>
      <c r="N62" s="11" t="str">
        <f t="shared" si="1"/>
        <v>Competitive</v>
      </c>
      <c r="O62" s="6" t="s">
        <v>420</v>
      </c>
      <c r="P62" s="15">
        <v>2.0</v>
      </c>
      <c r="Q62" s="15">
        <v>4.0</v>
      </c>
      <c r="R62" s="15">
        <v>2.0</v>
      </c>
      <c r="S62" s="15">
        <v>3.0</v>
      </c>
      <c r="T62" s="15">
        <v>2.0</v>
      </c>
      <c r="U62" s="15">
        <v>4.0</v>
      </c>
      <c r="V62" s="11">
        <f>ROUND((P62*'Business Analysis'!$B$35+Q62*'Business Analysis'!$B$36+R62*'Business Analysis'!$B$37+S62*'Business Analysis'!$B$38+T62*'Business Analysis'!$B$39+U62*'Business Analysis'!$B$40)/5*100,0)</f>
        <v>53</v>
      </c>
      <c r="W62" s="11" t="str">
        <f t="shared" si="2"/>
        <v>Low</v>
      </c>
      <c r="X62" s="12" t="s">
        <v>452</v>
      </c>
      <c r="Y62" s="11" t="s">
        <v>388</v>
      </c>
      <c r="Z62" s="6" t="s">
        <v>507</v>
      </c>
      <c r="AA62" s="11" t="s">
        <v>430</v>
      </c>
    </row>
    <row r="63" ht="15.75" customHeight="1">
      <c r="A63" s="30" t="s">
        <v>815</v>
      </c>
      <c r="B63" s="30" t="s">
        <v>618</v>
      </c>
      <c r="C63" s="8" t="s">
        <v>534</v>
      </c>
      <c r="D63" s="8" t="s">
        <v>184</v>
      </c>
      <c r="E63" s="20" t="s">
        <v>130</v>
      </c>
      <c r="F63" s="20" t="s">
        <v>131</v>
      </c>
      <c r="G63" s="20" t="s">
        <v>191</v>
      </c>
      <c r="H63" s="31">
        <v>1900.0</v>
      </c>
      <c r="I63" s="30" t="s">
        <v>107</v>
      </c>
      <c r="J63" s="32">
        <v>33.0</v>
      </c>
      <c r="K63" s="30" t="s">
        <v>112</v>
      </c>
      <c r="L63" s="33">
        <v>3.9</v>
      </c>
      <c r="M63" s="30" t="s">
        <v>118</v>
      </c>
      <c r="N63" s="20" t="str">
        <f t="shared" si="1"/>
        <v>Moderate</v>
      </c>
      <c r="O63" s="8" t="s">
        <v>420</v>
      </c>
      <c r="P63" s="32">
        <v>2.0</v>
      </c>
      <c r="Q63" s="32">
        <v>3.0</v>
      </c>
      <c r="R63" s="32">
        <v>3.0</v>
      </c>
      <c r="S63" s="32">
        <v>3.0</v>
      </c>
      <c r="T63" s="32">
        <v>2.0</v>
      </c>
      <c r="U63" s="32">
        <v>4.0</v>
      </c>
      <c r="V63" s="20">
        <f>ROUND((P63*'Business Analysis'!$B$35+Q63*'Business Analysis'!$B$36+R63*'Business Analysis'!$B$37+S63*'Business Analysis'!$B$38+T63*'Business Analysis'!$B$39+U63*'Business Analysis'!$B$40)/5*100,0)</f>
        <v>54</v>
      </c>
      <c r="W63" s="20" t="str">
        <f t="shared" si="2"/>
        <v>Low</v>
      </c>
      <c r="X63" s="30" t="s">
        <v>452</v>
      </c>
      <c r="Y63" s="20" t="s">
        <v>388</v>
      </c>
      <c r="Z63" s="8" t="s">
        <v>507</v>
      </c>
      <c r="AA63" s="20" t="s">
        <v>430</v>
      </c>
    </row>
    <row r="64" ht="15.75" customHeight="1">
      <c r="A64" s="12" t="s">
        <v>820</v>
      </c>
      <c r="B64" s="12" t="s">
        <v>130</v>
      </c>
      <c r="C64" s="6" t="s">
        <v>534</v>
      </c>
      <c r="D64" s="6" t="s">
        <v>184</v>
      </c>
      <c r="E64" s="11" t="s">
        <v>130</v>
      </c>
      <c r="F64" s="11" t="s">
        <v>131</v>
      </c>
      <c r="G64" s="11" t="s">
        <v>191</v>
      </c>
      <c r="H64" s="14">
        <v>3600.0</v>
      </c>
      <c r="I64" s="12" t="s">
        <v>107</v>
      </c>
      <c r="J64" s="15">
        <v>39.0</v>
      </c>
      <c r="K64" s="12" t="s">
        <v>112</v>
      </c>
      <c r="L64" s="16">
        <v>4.1</v>
      </c>
      <c r="M64" s="12" t="s">
        <v>118</v>
      </c>
      <c r="N64" s="11" t="str">
        <f t="shared" si="1"/>
        <v>Moderate</v>
      </c>
      <c r="O64" s="6" t="s">
        <v>420</v>
      </c>
      <c r="P64" s="15">
        <v>2.0</v>
      </c>
      <c r="Q64" s="15">
        <v>4.0</v>
      </c>
      <c r="R64" s="15">
        <v>2.0</v>
      </c>
      <c r="S64" s="15">
        <v>3.0</v>
      </c>
      <c r="T64" s="15">
        <v>2.0</v>
      </c>
      <c r="U64" s="15">
        <v>4.0</v>
      </c>
      <c r="V64" s="11">
        <f>ROUND((P64*'Business Analysis'!$B$35+Q64*'Business Analysis'!$B$36+R64*'Business Analysis'!$B$37+S64*'Business Analysis'!$B$38+T64*'Business Analysis'!$B$39+U64*'Business Analysis'!$B$40)/5*100,0)</f>
        <v>53</v>
      </c>
      <c r="W64" s="11" t="str">
        <f t="shared" si="2"/>
        <v>Low</v>
      </c>
      <c r="X64" s="12" t="s">
        <v>452</v>
      </c>
      <c r="Y64" s="11" t="s">
        <v>388</v>
      </c>
      <c r="Z64" s="6" t="s">
        <v>507</v>
      </c>
      <c r="AA64" s="11" t="s">
        <v>430</v>
      </c>
    </row>
    <row r="65" ht="15.75" customHeight="1">
      <c r="A65" s="30" t="s">
        <v>825</v>
      </c>
      <c r="B65" s="30" t="s">
        <v>618</v>
      </c>
      <c r="C65" s="8" t="s">
        <v>534</v>
      </c>
      <c r="D65" s="8" t="s">
        <v>184</v>
      </c>
      <c r="E65" s="20" t="s">
        <v>209</v>
      </c>
      <c r="F65" s="20" t="s">
        <v>210</v>
      </c>
      <c r="G65" s="20" t="s">
        <v>191</v>
      </c>
      <c r="H65" s="31">
        <v>1300.0</v>
      </c>
      <c r="I65" s="30" t="s">
        <v>107</v>
      </c>
      <c r="J65" s="32">
        <v>30.0</v>
      </c>
      <c r="K65" s="30" t="s">
        <v>112</v>
      </c>
      <c r="L65" s="33">
        <v>3.2</v>
      </c>
      <c r="M65" s="30" t="s">
        <v>118</v>
      </c>
      <c r="N65" s="20" t="str">
        <f t="shared" si="1"/>
        <v>Moderate</v>
      </c>
      <c r="O65" s="8" t="s">
        <v>523</v>
      </c>
      <c r="P65" s="32">
        <v>1.0</v>
      </c>
      <c r="Q65" s="32">
        <v>3.0</v>
      </c>
      <c r="R65" s="32">
        <v>3.0</v>
      </c>
      <c r="S65" s="32">
        <v>1.0</v>
      </c>
      <c r="T65" s="32">
        <v>1.0</v>
      </c>
      <c r="U65" s="32">
        <v>4.0</v>
      </c>
      <c r="V65" s="20">
        <f>ROUND((P65*'Business Analysis'!$B$35+Q65*'Business Analysis'!$B$36+R65*'Business Analysis'!$B$37+S65*'Business Analysis'!$B$38+T65*'Business Analysis'!$B$39+U65*'Business Analysis'!$B$40)/5*100,0)</f>
        <v>40</v>
      </c>
      <c r="W65" s="20" t="str">
        <f t="shared" si="2"/>
        <v>Low</v>
      </c>
      <c r="X65" s="30" t="s">
        <v>721</v>
      </c>
      <c r="Y65" s="20" t="s">
        <v>388</v>
      </c>
      <c r="Z65" s="8" t="s">
        <v>528</v>
      </c>
      <c r="AA65" s="20" t="s">
        <v>430</v>
      </c>
    </row>
    <row r="66" ht="15.75" customHeight="1">
      <c r="A66" s="12" t="s">
        <v>722</v>
      </c>
      <c r="B66" s="12" t="s">
        <v>209</v>
      </c>
      <c r="C66" s="6" t="s">
        <v>534</v>
      </c>
      <c r="D66" s="6" t="s">
        <v>184</v>
      </c>
      <c r="E66" s="11" t="s">
        <v>209</v>
      </c>
      <c r="F66" s="11" t="s">
        <v>210</v>
      </c>
      <c r="G66" s="11" t="s">
        <v>98</v>
      </c>
      <c r="H66" s="14">
        <v>1600.0</v>
      </c>
      <c r="I66" s="12" t="s">
        <v>107</v>
      </c>
      <c r="J66" s="15">
        <v>33.0</v>
      </c>
      <c r="K66" s="12" t="s">
        <v>112</v>
      </c>
      <c r="L66" s="16">
        <v>3.0</v>
      </c>
      <c r="M66" s="12" t="s">
        <v>118</v>
      </c>
      <c r="N66" s="11" t="str">
        <f t="shared" si="1"/>
        <v>Moderate</v>
      </c>
      <c r="O66" s="6" t="s">
        <v>523</v>
      </c>
      <c r="P66" s="15">
        <v>1.0</v>
      </c>
      <c r="Q66" s="15">
        <v>3.0</v>
      </c>
      <c r="R66" s="15">
        <v>3.0</v>
      </c>
      <c r="S66" s="15">
        <v>1.0</v>
      </c>
      <c r="T66" s="15">
        <v>1.0</v>
      </c>
      <c r="U66" s="15">
        <v>4.0</v>
      </c>
      <c r="V66" s="11">
        <f>ROUND((P66*'Business Analysis'!$B$35+Q66*'Business Analysis'!$B$36+R66*'Business Analysis'!$B$37+S66*'Business Analysis'!$B$38+T66*'Business Analysis'!$B$39+U66*'Business Analysis'!$B$40)/5*100,0)</f>
        <v>40</v>
      </c>
      <c r="W66" s="11" t="str">
        <f t="shared" si="2"/>
        <v>Low</v>
      </c>
      <c r="X66" s="12" t="s">
        <v>721</v>
      </c>
      <c r="Y66" s="11" t="s">
        <v>388</v>
      </c>
      <c r="Z66" s="6" t="s">
        <v>528</v>
      </c>
      <c r="AA66" s="11" t="s">
        <v>430</v>
      </c>
    </row>
    <row r="67" ht="15.75" customHeight="1">
      <c r="A67" s="30" t="s">
        <v>720</v>
      </c>
      <c r="B67" s="30" t="s">
        <v>714</v>
      </c>
      <c r="C67" s="8" t="s">
        <v>534</v>
      </c>
      <c r="D67" s="8" t="s">
        <v>184</v>
      </c>
      <c r="E67" s="20" t="s">
        <v>130</v>
      </c>
      <c r="F67" s="20" t="s">
        <v>131</v>
      </c>
      <c r="G67" s="20" t="s">
        <v>98</v>
      </c>
      <c r="H67" s="31">
        <v>720.0</v>
      </c>
      <c r="I67" s="30" t="s">
        <v>107</v>
      </c>
      <c r="J67" s="32">
        <v>29.0</v>
      </c>
      <c r="K67" s="30" t="s">
        <v>112</v>
      </c>
      <c r="L67" s="33">
        <v>3.8</v>
      </c>
      <c r="M67" s="30" t="s">
        <v>118</v>
      </c>
      <c r="N67" s="20" t="str">
        <f t="shared" si="1"/>
        <v>Moderate</v>
      </c>
      <c r="O67" s="8" t="s">
        <v>420</v>
      </c>
      <c r="P67" s="32">
        <v>2.0</v>
      </c>
      <c r="Q67" s="32">
        <v>2.0</v>
      </c>
      <c r="R67" s="32">
        <v>3.0</v>
      </c>
      <c r="S67" s="32">
        <v>3.0</v>
      </c>
      <c r="T67" s="32">
        <v>2.0</v>
      </c>
      <c r="U67" s="32">
        <v>4.0</v>
      </c>
      <c r="V67" s="20">
        <f>ROUND((P67*'Business Analysis'!$B$35+Q67*'Business Analysis'!$B$36+R67*'Business Analysis'!$B$37+S67*'Business Analysis'!$B$38+T67*'Business Analysis'!$B$39+U67*'Business Analysis'!$B$40)/5*100,0)</f>
        <v>51</v>
      </c>
      <c r="W67" s="20" t="str">
        <f t="shared" si="2"/>
        <v>Low</v>
      </c>
      <c r="X67" s="30" t="s">
        <v>718</v>
      </c>
      <c r="Y67" s="20" t="s">
        <v>388</v>
      </c>
      <c r="Z67" s="8" t="s">
        <v>507</v>
      </c>
      <c r="AA67" s="20" t="s">
        <v>430</v>
      </c>
    </row>
    <row r="68" ht="15.75" customHeight="1">
      <c r="A68" s="12" t="s">
        <v>193</v>
      </c>
      <c r="B68" s="12" t="s">
        <v>87</v>
      </c>
      <c r="C68" s="6" t="s">
        <v>534</v>
      </c>
      <c r="D68" s="6" t="s">
        <v>192</v>
      </c>
      <c r="E68" s="11" t="s">
        <v>29</v>
      </c>
      <c r="F68" s="11" t="s">
        <v>31</v>
      </c>
      <c r="G68" s="11" t="s">
        <v>98</v>
      </c>
      <c r="H68" s="14">
        <v>30.0</v>
      </c>
      <c r="I68" s="12" t="s">
        <v>107</v>
      </c>
      <c r="J68" s="15">
        <v>14.0</v>
      </c>
      <c r="K68" s="12" t="s">
        <v>112</v>
      </c>
      <c r="L68" s="16">
        <v>10.2</v>
      </c>
      <c r="M68" s="12" t="s">
        <v>118</v>
      </c>
      <c r="N68" s="11" t="str">
        <f t="shared" si="1"/>
        <v>Easy</v>
      </c>
      <c r="O68" s="6" t="s">
        <v>537</v>
      </c>
      <c r="P68" s="15">
        <v>5.0</v>
      </c>
      <c r="Q68" s="15">
        <v>2.0</v>
      </c>
      <c r="R68" s="15">
        <v>5.0</v>
      </c>
      <c r="S68" s="15">
        <v>5.0</v>
      </c>
      <c r="T68" s="15">
        <v>5.0</v>
      </c>
      <c r="U68" s="15">
        <v>4.0</v>
      </c>
      <c r="V68" s="11">
        <f>ROUND((P68*'Business Analysis'!$B$35+Q68*'Business Analysis'!$B$36+R68*'Business Analysis'!$B$37+S68*'Business Analysis'!$B$38+T68*'Business Analysis'!$B$39+U68*'Business Analysis'!$B$40)/5*100,0)</f>
        <v>89</v>
      </c>
      <c r="W68" s="11" t="str">
        <f t="shared" si="2"/>
        <v>High</v>
      </c>
      <c r="X68" s="12" t="s">
        <v>493</v>
      </c>
      <c r="Y68" s="11" t="s">
        <v>388</v>
      </c>
      <c r="Z68" s="6" t="s">
        <v>213</v>
      </c>
      <c r="AA68" s="11" t="s">
        <v>183</v>
      </c>
    </row>
    <row r="69" ht="15.75" customHeight="1">
      <c r="A69" s="30" t="s">
        <v>843</v>
      </c>
      <c r="B69" s="30" t="s">
        <v>844</v>
      </c>
      <c r="C69" s="8" t="s">
        <v>534</v>
      </c>
      <c r="D69" s="8" t="s">
        <v>192</v>
      </c>
      <c r="E69" s="20" t="s">
        <v>29</v>
      </c>
      <c r="F69" s="20" t="s">
        <v>31</v>
      </c>
      <c r="G69" s="20" t="s">
        <v>191</v>
      </c>
      <c r="H69" s="31">
        <v>20.0</v>
      </c>
      <c r="I69" s="30" t="s">
        <v>107</v>
      </c>
      <c r="J69" s="32">
        <v>10.0</v>
      </c>
      <c r="K69" s="30" t="s">
        <v>112</v>
      </c>
      <c r="L69" s="33">
        <v>9.4</v>
      </c>
      <c r="M69" s="30" t="s">
        <v>118</v>
      </c>
      <c r="N69" s="20" t="str">
        <f t="shared" si="1"/>
        <v>Easy</v>
      </c>
      <c r="O69" s="8" t="s">
        <v>537</v>
      </c>
      <c r="P69" s="32">
        <v>5.0</v>
      </c>
      <c r="Q69" s="32">
        <v>2.0</v>
      </c>
      <c r="R69" s="32">
        <v>5.0</v>
      </c>
      <c r="S69" s="32">
        <v>5.0</v>
      </c>
      <c r="T69" s="32">
        <v>5.0</v>
      </c>
      <c r="U69" s="32">
        <v>4.0</v>
      </c>
      <c r="V69" s="20">
        <f>ROUND((P69*'Business Analysis'!$B$35+Q69*'Business Analysis'!$B$36+R69*'Business Analysis'!$B$37+S69*'Business Analysis'!$B$38+T69*'Business Analysis'!$B$39+U69*'Business Analysis'!$B$40)/5*100,0)</f>
        <v>89</v>
      </c>
      <c r="W69" s="20" t="str">
        <f t="shared" si="2"/>
        <v>High</v>
      </c>
      <c r="X69" s="30" t="s">
        <v>493</v>
      </c>
      <c r="Y69" s="20" t="s">
        <v>388</v>
      </c>
      <c r="Z69" s="8" t="s">
        <v>213</v>
      </c>
      <c r="AA69" s="20" t="s">
        <v>183</v>
      </c>
    </row>
    <row r="70" ht="15.75" customHeight="1">
      <c r="A70" s="12" t="s">
        <v>851</v>
      </c>
      <c r="B70" s="12" t="s">
        <v>29</v>
      </c>
      <c r="C70" s="6" t="s">
        <v>534</v>
      </c>
      <c r="D70" s="6" t="s">
        <v>192</v>
      </c>
      <c r="E70" s="11" t="s">
        <v>29</v>
      </c>
      <c r="F70" s="11" t="s">
        <v>31</v>
      </c>
      <c r="G70" s="11" t="s">
        <v>191</v>
      </c>
      <c r="H70" s="14">
        <v>5400.0</v>
      </c>
      <c r="I70" s="12" t="s">
        <v>107</v>
      </c>
      <c r="J70" s="15">
        <v>55.0</v>
      </c>
      <c r="K70" s="12" t="s">
        <v>112</v>
      </c>
      <c r="L70" s="16">
        <v>9.9</v>
      </c>
      <c r="M70" s="12" t="s">
        <v>118</v>
      </c>
      <c r="N70" s="11" t="str">
        <f t="shared" si="1"/>
        <v>Competitive</v>
      </c>
      <c r="O70" s="6" t="s">
        <v>420</v>
      </c>
      <c r="P70" s="15">
        <v>3.0</v>
      </c>
      <c r="Q70" s="15">
        <v>4.0</v>
      </c>
      <c r="R70" s="15">
        <v>1.0</v>
      </c>
      <c r="S70" s="15">
        <v>5.0</v>
      </c>
      <c r="T70" s="15">
        <v>3.0</v>
      </c>
      <c r="U70" s="15">
        <v>4.0</v>
      </c>
      <c r="V70" s="11">
        <f>ROUND((P70*'Business Analysis'!$B$35+Q70*'Business Analysis'!$B$36+R70*'Business Analysis'!$B$37+S70*'Business Analysis'!$B$38+T70*'Business Analysis'!$B$39+U70*'Business Analysis'!$B$40)/5*100,0)</f>
        <v>63</v>
      </c>
      <c r="W70" s="11" t="str">
        <f t="shared" si="2"/>
        <v>Medium</v>
      </c>
      <c r="X70" s="12" t="s">
        <v>493</v>
      </c>
      <c r="Y70" s="11" t="s">
        <v>388</v>
      </c>
      <c r="Z70" s="6" t="s">
        <v>428</v>
      </c>
      <c r="AA70" s="11" t="s">
        <v>430</v>
      </c>
    </row>
    <row r="71" ht="15.75" customHeight="1">
      <c r="A71" s="30" t="s">
        <v>856</v>
      </c>
      <c r="B71" s="30" t="s">
        <v>130</v>
      </c>
      <c r="C71" s="8" t="s">
        <v>534</v>
      </c>
      <c r="D71" s="8" t="s">
        <v>192</v>
      </c>
      <c r="E71" s="20" t="s">
        <v>130</v>
      </c>
      <c r="F71" s="20" t="s">
        <v>131</v>
      </c>
      <c r="G71" s="20" t="s">
        <v>191</v>
      </c>
      <c r="H71" s="31">
        <v>3600.0</v>
      </c>
      <c r="I71" s="30" t="s">
        <v>107</v>
      </c>
      <c r="J71" s="32">
        <v>44.0</v>
      </c>
      <c r="K71" s="30" t="s">
        <v>112</v>
      </c>
      <c r="L71" s="33">
        <v>7.4</v>
      </c>
      <c r="M71" s="30" t="s">
        <v>118</v>
      </c>
      <c r="N71" s="20" t="str">
        <f t="shared" si="1"/>
        <v>Competitive</v>
      </c>
      <c r="O71" s="8" t="s">
        <v>420</v>
      </c>
      <c r="P71" s="32">
        <v>3.0</v>
      </c>
      <c r="Q71" s="32">
        <v>4.0</v>
      </c>
      <c r="R71" s="32">
        <v>2.0</v>
      </c>
      <c r="S71" s="32">
        <v>3.0</v>
      </c>
      <c r="T71" s="32">
        <v>2.0</v>
      </c>
      <c r="U71" s="32">
        <v>4.0</v>
      </c>
      <c r="V71" s="20">
        <f>ROUND((P71*'Business Analysis'!$B$35+Q71*'Business Analysis'!$B$36+R71*'Business Analysis'!$B$37+S71*'Business Analysis'!$B$38+T71*'Business Analysis'!$B$39+U71*'Business Analysis'!$B$40)/5*100,0)</f>
        <v>58</v>
      </c>
      <c r="W71" s="20" t="str">
        <f t="shared" si="2"/>
        <v>Low</v>
      </c>
      <c r="X71" s="30" t="s">
        <v>493</v>
      </c>
      <c r="Y71" s="20" t="s">
        <v>388</v>
      </c>
      <c r="Z71" s="8" t="s">
        <v>507</v>
      </c>
      <c r="AA71" s="20" t="s">
        <v>430</v>
      </c>
    </row>
    <row r="72" ht="15.75" customHeight="1">
      <c r="A72" s="12" t="s">
        <v>864</v>
      </c>
      <c r="B72" s="12" t="s">
        <v>844</v>
      </c>
      <c r="C72" s="6" t="s">
        <v>534</v>
      </c>
      <c r="D72" s="6" t="s">
        <v>192</v>
      </c>
      <c r="E72" s="11" t="s">
        <v>130</v>
      </c>
      <c r="F72" s="11" t="s">
        <v>131</v>
      </c>
      <c r="G72" s="11" t="s">
        <v>191</v>
      </c>
      <c r="H72" s="14">
        <v>1900.0</v>
      </c>
      <c r="I72" s="12" t="s">
        <v>107</v>
      </c>
      <c r="J72" s="15">
        <v>34.0</v>
      </c>
      <c r="K72" s="12" t="s">
        <v>112</v>
      </c>
      <c r="L72" s="16">
        <v>7.8</v>
      </c>
      <c r="M72" s="12" t="s">
        <v>118</v>
      </c>
      <c r="N72" s="11" t="str">
        <f t="shared" si="1"/>
        <v>Moderate</v>
      </c>
      <c r="O72" s="6" t="s">
        <v>420</v>
      </c>
      <c r="P72" s="15">
        <v>3.0</v>
      </c>
      <c r="Q72" s="15">
        <v>3.0</v>
      </c>
      <c r="R72" s="15">
        <v>3.0</v>
      </c>
      <c r="S72" s="15">
        <v>3.0</v>
      </c>
      <c r="T72" s="15">
        <v>2.0</v>
      </c>
      <c r="U72" s="15">
        <v>4.0</v>
      </c>
      <c r="V72" s="11">
        <f>ROUND((P72*'Business Analysis'!$B$35+Q72*'Business Analysis'!$B$36+R72*'Business Analysis'!$B$37+S72*'Business Analysis'!$B$38+T72*'Business Analysis'!$B$39+U72*'Business Analysis'!$B$40)/5*100,0)</f>
        <v>59</v>
      </c>
      <c r="W72" s="11" t="str">
        <f t="shared" si="2"/>
        <v>Low</v>
      </c>
      <c r="X72" s="12" t="s">
        <v>716</v>
      </c>
      <c r="Y72" s="11" t="s">
        <v>388</v>
      </c>
      <c r="Z72" s="6" t="s">
        <v>507</v>
      </c>
      <c r="AA72" s="11" t="s">
        <v>430</v>
      </c>
    </row>
    <row r="73" ht="15.75" customHeight="1">
      <c r="A73" s="30" t="s">
        <v>869</v>
      </c>
      <c r="B73" s="30" t="s">
        <v>130</v>
      </c>
      <c r="C73" s="8" t="s">
        <v>534</v>
      </c>
      <c r="D73" s="8" t="s">
        <v>192</v>
      </c>
      <c r="E73" s="20" t="s">
        <v>130</v>
      </c>
      <c r="F73" s="20" t="s">
        <v>131</v>
      </c>
      <c r="G73" s="20" t="s">
        <v>191</v>
      </c>
      <c r="H73" s="31">
        <v>8100.0</v>
      </c>
      <c r="I73" s="30" t="s">
        <v>107</v>
      </c>
      <c r="J73" s="32">
        <v>48.0</v>
      </c>
      <c r="K73" s="30" t="s">
        <v>112</v>
      </c>
      <c r="L73" s="33">
        <v>7.1</v>
      </c>
      <c r="M73" s="30" t="s">
        <v>118</v>
      </c>
      <c r="N73" s="20" t="str">
        <f t="shared" si="1"/>
        <v>Competitive</v>
      </c>
      <c r="O73" s="8" t="s">
        <v>420</v>
      </c>
      <c r="P73" s="32">
        <v>3.0</v>
      </c>
      <c r="Q73" s="32">
        <v>4.0</v>
      </c>
      <c r="R73" s="32">
        <v>2.0</v>
      </c>
      <c r="S73" s="32">
        <v>3.0</v>
      </c>
      <c r="T73" s="32">
        <v>2.0</v>
      </c>
      <c r="U73" s="32">
        <v>4.0</v>
      </c>
      <c r="V73" s="20">
        <f>ROUND((P73*'Business Analysis'!$B$35+Q73*'Business Analysis'!$B$36+R73*'Business Analysis'!$B$37+S73*'Business Analysis'!$B$38+T73*'Business Analysis'!$B$39+U73*'Business Analysis'!$B$40)/5*100,0)</f>
        <v>58</v>
      </c>
      <c r="W73" s="20" t="str">
        <f t="shared" si="2"/>
        <v>Low</v>
      </c>
      <c r="X73" s="30" t="s">
        <v>716</v>
      </c>
      <c r="Y73" s="20" t="s">
        <v>388</v>
      </c>
      <c r="Z73" s="8" t="s">
        <v>507</v>
      </c>
      <c r="AA73" s="20" t="s">
        <v>430</v>
      </c>
    </row>
    <row r="74" ht="15.75" customHeight="1">
      <c r="A74" s="12" t="s">
        <v>717</v>
      </c>
      <c r="B74" s="12" t="s">
        <v>209</v>
      </c>
      <c r="C74" s="6" t="s">
        <v>534</v>
      </c>
      <c r="D74" s="6" t="s">
        <v>192</v>
      </c>
      <c r="E74" s="11" t="s">
        <v>209</v>
      </c>
      <c r="F74" s="11" t="s">
        <v>210</v>
      </c>
      <c r="G74" s="11" t="s">
        <v>98</v>
      </c>
      <c r="H74" s="14">
        <v>2400.0</v>
      </c>
      <c r="I74" s="12" t="s">
        <v>107</v>
      </c>
      <c r="J74" s="15">
        <v>36.0</v>
      </c>
      <c r="K74" s="12" t="s">
        <v>112</v>
      </c>
      <c r="L74" s="16">
        <v>3.1</v>
      </c>
      <c r="M74" s="12" t="s">
        <v>118</v>
      </c>
      <c r="N74" s="11" t="str">
        <f t="shared" si="1"/>
        <v>Moderate</v>
      </c>
      <c r="O74" s="6" t="s">
        <v>523</v>
      </c>
      <c r="P74" s="15">
        <v>2.0</v>
      </c>
      <c r="Q74" s="15">
        <v>3.0</v>
      </c>
      <c r="R74" s="15">
        <v>2.0</v>
      </c>
      <c r="S74" s="15">
        <v>1.0</v>
      </c>
      <c r="T74" s="15">
        <v>1.0</v>
      </c>
      <c r="U74" s="15">
        <v>4.0</v>
      </c>
      <c r="V74" s="11">
        <f>ROUND((P74*'Business Analysis'!$B$35+Q74*'Business Analysis'!$B$36+R74*'Business Analysis'!$B$37+S74*'Business Analysis'!$B$38+T74*'Business Analysis'!$B$39+U74*'Business Analysis'!$B$40)/5*100,0)</f>
        <v>41</v>
      </c>
      <c r="W74" s="11" t="str">
        <f t="shared" si="2"/>
        <v>Low</v>
      </c>
      <c r="X74" s="12" t="s">
        <v>716</v>
      </c>
      <c r="Y74" s="11" t="s">
        <v>388</v>
      </c>
      <c r="Z74" s="6" t="s">
        <v>528</v>
      </c>
      <c r="AA74" s="11" t="s">
        <v>430</v>
      </c>
    </row>
    <row r="75" ht="15.75" customHeight="1">
      <c r="A75" s="30" t="s">
        <v>884</v>
      </c>
      <c r="B75" s="30" t="s">
        <v>209</v>
      </c>
      <c r="C75" s="8" t="s">
        <v>534</v>
      </c>
      <c r="D75" s="8" t="s">
        <v>192</v>
      </c>
      <c r="E75" s="20" t="s">
        <v>209</v>
      </c>
      <c r="F75" s="20" t="s">
        <v>210</v>
      </c>
      <c r="G75" s="20" t="s">
        <v>191</v>
      </c>
      <c r="H75" s="31">
        <v>1600.0</v>
      </c>
      <c r="I75" s="30" t="s">
        <v>107</v>
      </c>
      <c r="J75" s="32">
        <v>31.0</v>
      </c>
      <c r="K75" s="30" t="s">
        <v>112</v>
      </c>
      <c r="L75" s="33">
        <v>2.6</v>
      </c>
      <c r="M75" s="30" t="s">
        <v>118</v>
      </c>
      <c r="N75" s="20" t="str">
        <f t="shared" si="1"/>
        <v>Moderate</v>
      </c>
      <c r="O75" s="8" t="s">
        <v>523</v>
      </c>
      <c r="P75" s="32">
        <v>2.0</v>
      </c>
      <c r="Q75" s="32">
        <v>3.0</v>
      </c>
      <c r="R75" s="32">
        <v>3.0</v>
      </c>
      <c r="S75" s="32">
        <v>1.0</v>
      </c>
      <c r="T75" s="32">
        <v>1.0</v>
      </c>
      <c r="U75" s="32">
        <v>4.0</v>
      </c>
      <c r="V75" s="20">
        <f>ROUND((P75*'Business Analysis'!$B$35+Q75*'Business Analysis'!$B$36+R75*'Business Analysis'!$B$37+S75*'Business Analysis'!$B$38+T75*'Business Analysis'!$B$39+U75*'Business Analysis'!$B$40)/5*100,0)</f>
        <v>45</v>
      </c>
      <c r="W75" s="20" t="str">
        <f t="shared" si="2"/>
        <v>Low</v>
      </c>
      <c r="X75" s="30" t="s">
        <v>716</v>
      </c>
      <c r="Y75" s="20" t="s">
        <v>388</v>
      </c>
      <c r="Z75" s="8" t="s">
        <v>528</v>
      </c>
      <c r="AA75" s="20" t="s">
        <v>430</v>
      </c>
    </row>
    <row r="76" ht="15.75" customHeight="1">
      <c r="A76" s="12" t="s">
        <v>199</v>
      </c>
      <c r="B76" s="12" t="s">
        <v>87</v>
      </c>
      <c r="C76" s="6" t="s">
        <v>534</v>
      </c>
      <c r="D76" s="6" t="s">
        <v>198</v>
      </c>
      <c r="E76" s="11" t="s">
        <v>29</v>
      </c>
      <c r="F76" s="11" t="s">
        <v>31</v>
      </c>
      <c r="G76" s="11" t="s">
        <v>98</v>
      </c>
      <c r="H76" s="14">
        <v>90.0</v>
      </c>
      <c r="I76" s="12" t="s">
        <v>107</v>
      </c>
      <c r="J76" s="15">
        <v>16.0</v>
      </c>
      <c r="K76" s="12" t="s">
        <v>112</v>
      </c>
      <c r="L76" s="16">
        <v>8.9</v>
      </c>
      <c r="M76" s="12" t="s">
        <v>118</v>
      </c>
      <c r="N76" s="11" t="str">
        <f t="shared" si="1"/>
        <v>Easy</v>
      </c>
      <c r="O76" s="6" t="s">
        <v>537</v>
      </c>
      <c r="P76" s="15">
        <v>4.0</v>
      </c>
      <c r="Q76" s="15">
        <v>3.0</v>
      </c>
      <c r="R76" s="15">
        <v>4.0</v>
      </c>
      <c r="S76" s="15">
        <v>5.0</v>
      </c>
      <c r="T76" s="15">
        <v>5.0</v>
      </c>
      <c r="U76" s="15">
        <v>4.0</v>
      </c>
      <c r="V76" s="11">
        <f>ROUND((P76*'Business Analysis'!$B$35+Q76*'Business Analysis'!$B$36+R76*'Business Analysis'!$B$37+S76*'Business Analysis'!$B$38+T76*'Business Analysis'!$B$39+U76*'Business Analysis'!$B$40)/5*100,0)</f>
        <v>83</v>
      </c>
      <c r="W76" s="11" t="str">
        <f t="shared" si="2"/>
        <v>High</v>
      </c>
      <c r="X76" s="12" t="s">
        <v>511</v>
      </c>
      <c r="Y76" s="11" t="s">
        <v>388</v>
      </c>
      <c r="Z76" s="6" t="s">
        <v>213</v>
      </c>
      <c r="AA76" s="11" t="s">
        <v>183</v>
      </c>
    </row>
    <row r="77" ht="15.75" customHeight="1">
      <c r="A77" s="30" t="s">
        <v>896</v>
      </c>
      <c r="B77" s="30" t="s">
        <v>87</v>
      </c>
      <c r="C77" s="8" t="s">
        <v>534</v>
      </c>
      <c r="D77" s="8" t="s">
        <v>198</v>
      </c>
      <c r="E77" s="20" t="s">
        <v>29</v>
      </c>
      <c r="F77" s="20" t="s">
        <v>31</v>
      </c>
      <c r="G77" s="20" t="s">
        <v>191</v>
      </c>
      <c r="H77" s="31">
        <v>30.0</v>
      </c>
      <c r="I77" s="30" t="s">
        <v>107</v>
      </c>
      <c r="J77" s="32">
        <v>12.0</v>
      </c>
      <c r="K77" s="30" t="s">
        <v>112</v>
      </c>
      <c r="L77" s="33">
        <v>7.8</v>
      </c>
      <c r="M77" s="30" t="s">
        <v>118</v>
      </c>
      <c r="N77" s="20" t="str">
        <f t="shared" si="1"/>
        <v>Easy</v>
      </c>
      <c r="O77" s="8" t="s">
        <v>537</v>
      </c>
      <c r="P77" s="32">
        <v>4.0</v>
      </c>
      <c r="Q77" s="32">
        <v>2.0</v>
      </c>
      <c r="R77" s="32">
        <v>5.0</v>
      </c>
      <c r="S77" s="32">
        <v>5.0</v>
      </c>
      <c r="T77" s="32">
        <v>5.0</v>
      </c>
      <c r="U77" s="32">
        <v>4.0</v>
      </c>
      <c r="V77" s="20">
        <f>ROUND((P77*'Business Analysis'!$B$35+Q77*'Business Analysis'!$B$36+R77*'Business Analysis'!$B$37+S77*'Business Analysis'!$B$38+T77*'Business Analysis'!$B$39+U77*'Business Analysis'!$B$40)/5*100,0)</f>
        <v>84</v>
      </c>
      <c r="W77" s="20" t="str">
        <f t="shared" si="2"/>
        <v>High</v>
      </c>
      <c r="X77" s="30" t="s">
        <v>511</v>
      </c>
      <c r="Y77" s="20" t="s">
        <v>388</v>
      </c>
      <c r="Z77" s="8" t="s">
        <v>213</v>
      </c>
      <c r="AA77" s="20" t="s">
        <v>183</v>
      </c>
    </row>
    <row r="78" ht="15.75" customHeight="1">
      <c r="A78" s="12" t="s">
        <v>863</v>
      </c>
      <c r="B78" s="12" t="s">
        <v>130</v>
      </c>
      <c r="C78" s="6" t="s">
        <v>534</v>
      </c>
      <c r="D78" s="6" t="s">
        <v>198</v>
      </c>
      <c r="E78" s="11" t="s">
        <v>130</v>
      </c>
      <c r="F78" s="11" t="s">
        <v>131</v>
      </c>
      <c r="G78" s="11" t="s">
        <v>191</v>
      </c>
      <c r="H78" s="14">
        <v>20.0</v>
      </c>
      <c r="I78" s="12" t="s">
        <v>107</v>
      </c>
      <c r="J78" s="15">
        <v>9.0</v>
      </c>
      <c r="K78" s="12" t="s">
        <v>112</v>
      </c>
      <c r="L78" s="16">
        <v>6.1</v>
      </c>
      <c r="M78" s="12" t="s">
        <v>118</v>
      </c>
      <c r="N78" s="11" t="str">
        <f t="shared" si="1"/>
        <v>Easy</v>
      </c>
      <c r="O78" s="6" t="s">
        <v>537</v>
      </c>
      <c r="P78" s="15">
        <v>4.0</v>
      </c>
      <c r="Q78" s="15">
        <v>2.0</v>
      </c>
      <c r="R78" s="15">
        <v>5.0</v>
      </c>
      <c r="S78" s="15">
        <v>4.0</v>
      </c>
      <c r="T78" s="15">
        <v>4.0</v>
      </c>
      <c r="U78" s="15">
        <v>4.0</v>
      </c>
      <c r="V78" s="11">
        <f>ROUND((P78*'Business Analysis'!$B$35+Q78*'Business Analysis'!$B$36+R78*'Business Analysis'!$B$37+S78*'Business Analysis'!$B$38+T78*'Business Analysis'!$B$39+U78*'Business Analysis'!$B$40)/5*100,0)</f>
        <v>78</v>
      </c>
      <c r="W78" s="11" t="str">
        <f t="shared" si="2"/>
        <v>High</v>
      </c>
      <c r="X78" s="12" t="s">
        <v>511</v>
      </c>
      <c r="Y78" s="11" t="s">
        <v>388</v>
      </c>
      <c r="Z78" s="6" t="s">
        <v>909</v>
      </c>
      <c r="AA78" s="11" t="s">
        <v>183</v>
      </c>
    </row>
    <row r="79" ht="15.75" customHeight="1">
      <c r="A79" s="30" t="s">
        <v>910</v>
      </c>
      <c r="B79" s="30" t="s">
        <v>87</v>
      </c>
      <c r="C79" s="8" t="s">
        <v>534</v>
      </c>
      <c r="D79" s="8" t="s">
        <v>198</v>
      </c>
      <c r="E79" s="20" t="s">
        <v>29</v>
      </c>
      <c r="F79" s="20" t="s">
        <v>31</v>
      </c>
      <c r="G79" s="20" t="s">
        <v>191</v>
      </c>
      <c r="H79" s="31">
        <v>40.0</v>
      </c>
      <c r="I79" s="30" t="s">
        <v>107</v>
      </c>
      <c r="J79" s="32">
        <v>13.0</v>
      </c>
      <c r="K79" s="30" t="s">
        <v>112</v>
      </c>
      <c r="L79" s="33">
        <v>8.4</v>
      </c>
      <c r="M79" s="30" t="s">
        <v>118</v>
      </c>
      <c r="N79" s="20" t="str">
        <f t="shared" si="1"/>
        <v>Easy</v>
      </c>
      <c r="O79" s="8" t="s">
        <v>537</v>
      </c>
      <c r="P79" s="32">
        <v>4.0</v>
      </c>
      <c r="Q79" s="32">
        <v>2.0</v>
      </c>
      <c r="R79" s="32">
        <v>5.0</v>
      </c>
      <c r="S79" s="32">
        <v>5.0</v>
      </c>
      <c r="T79" s="32">
        <v>5.0</v>
      </c>
      <c r="U79" s="32">
        <v>4.0</v>
      </c>
      <c r="V79" s="20">
        <f>ROUND((P79*'Business Analysis'!$B$35+Q79*'Business Analysis'!$B$36+R79*'Business Analysis'!$B$37+S79*'Business Analysis'!$B$38+T79*'Business Analysis'!$B$39+U79*'Business Analysis'!$B$40)/5*100,0)</f>
        <v>84</v>
      </c>
      <c r="W79" s="20" t="str">
        <f t="shared" si="2"/>
        <v>High</v>
      </c>
      <c r="X79" s="30" t="s">
        <v>511</v>
      </c>
      <c r="Y79" s="20" t="s">
        <v>388</v>
      </c>
      <c r="Z79" s="8" t="s">
        <v>213</v>
      </c>
      <c r="AA79" s="20" t="s">
        <v>183</v>
      </c>
    </row>
    <row r="80" ht="15.75" customHeight="1">
      <c r="A80" s="12" t="s">
        <v>915</v>
      </c>
      <c r="B80" s="12" t="s">
        <v>29</v>
      </c>
      <c r="C80" s="6" t="s">
        <v>534</v>
      </c>
      <c r="D80" s="6" t="s">
        <v>198</v>
      </c>
      <c r="E80" s="11" t="s">
        <v>29</v>
      </c>
      <c r="F80" s="11" t="s">
        <v>31</v>
      </c>
      <c r="G80" s="11" t="s">
        <v>191</v>
      </c>
      <c r="H80" s="14">
        <v>14800.0</v>
      </c>
      <c r="I80" s="12" t="s">
        <v>107</v>
      </c>
      <c r="J80" s="15">
        <v>60.0</v>
      </c>
      <c r="K80" s="12" t="s">
        <v>112</v>
      </c>
      <c r="L80" s="16">
        <v>9.4</v>
      </c>
      <c r="M80" s="12" t="s">
        <v>118</v>
      </c>
      <c r="N80" s="11" t="str">
        <f t="shared" si="1"/>
        <v>Competitive</v>
      </c>
      <c r="O80" s="6" t="s">
        <v>420</v>
      </c>
      <c r="P80" s="15">
        <v>2.0</v>
      </c>
      <c r="Q80" s="15">
        <v>5.0</v>
      </c>
      <c r="R80" s="15">
        <v>1.0</v>
      </c>
      <c r="S80" s="15">
        <v>5.0</v>
      </c>
      <c r="T80" s="15">
        <v>3.0</v>
      </c>
      <c r="U80" s="15">
        <v>4.0</v>
      </c>
      <c r="V80" s="11">
        <f>ROUND((P80*'Business Analysis'!$B$35+Q80*'Business Analysis'!$B$36+R80*'Business Analysis'!$B$37+S80*'Business Analysis'!$B$38+T80*'Business Analysis'!$B$39+U80*'Business Analysis'!$B$40)/5*100,0)</f>
        <v>61</v>
      </c>
      <c r="W80" s="11" t="str">
        <f t="shared" si="2"/>
        <v>Medium</v>
      </c>
      <c r="X80" s="12" t="s">
        <v>511</v>
      </c>
      <c r="Y80" s="11" t="s">
        <v>388</v>
      </c>
      <c r="Z80" s="6" t="s">
        <v>428</v>
      </c>
      <c r="AA80" s="11" t="s">
        <v>430</v>
      </c>
    </row>
    <row r="81" ht="15.75" customHeight="1">
      <c r="A81" s="30" t="s">
        <v>923</v>
      </c>
      <c r="B81" s="30" t="s">
        <v>29</v>
      </c>
      <c r="C81" s="8" t="s">
        <v>534</v>
      </c>
      <c r="D81" s="8" t="s">
        <v>198</v>
      </c>
      <c r="E81" s="20" t="s">
        <v>29</v>
      </c>
      <c r="F81" s="20" t="s">
        <v>31</v>
      </c>
      <c r="G81" s="20" t="s">
        <v>191</v>
      </c>
      <c r="H81" s="31">
        <v>3600.0</v>
      </c>
      <c r="I81" s="30" t="s">
        <v>107</v>
      </c>
      <c r="J81" s="32">
        <v>48.0</v>
      </c>
      <c r="K81" s="30" t="s">
        <v>112</v>
      </c>
      <c r="L81" s="33">
        <v>9.1</v>
      </c>
      <c r="M81" s="30" t="s">
        <v>118</v>
      </c>
      <c r="N81" s="20" t="str">
        <f t="shared" si="1"/>
        <v>Competitive</v>
      </c>
      <c r="O81" s="8" t="s">
        <v>420</v>
      </c>
      <c r="P81" s="32">
        <v>2.0</v>
      </c>
      <c r="Q81" s="32">
        <v>4.0</v>
      </c>
      <c r="R81" s="32">
        <v>2.0</v>
      </c>
      <c r="S81" s="32">
        <v>5.0</v>
      </c>
      <c r="T81" s="32">
        <v>3.0</v>
      </c>
      <c r="U81" s="32">
        <v>4.0</v>
      </c>
      <c r="V81" s="20">
        <f>ROUND((P81*'Business Analysis'!$B$35+Q81*'Business Analysis'!$B$36+R81*'Business Analysis'!$B$37+S81*'Business Analysis'!$B$38+T81*'Business Analysis'!$B$39+U81*'Business Analysis'!$B$40)/5*100,0)</f>
        <v>62</v>
      </c>
      <c r="W81" s="20" t="str">
        <f t="shared" si="2"/>
        <v>Medium</v>
      </c>
      <c r="X81" s="30" t="s">
        <v>511</v>
      </c>
      <c r="Y81" s="20" t="s">
        <v>388</v>
      </c>
      <c r="Z81" s="8" t="s">
        <v>428</v>
      </c>
      <c r="AA81" s="20" t="s">
        <v>430</v>
      </c>
    </row>
    <row r="82" ht="15.75" customHeight="1">
      <c r="A82" s="12" t="s">
        <v>927</v>
      </c>
      <c r="B82" s="12" t="s">
        <v>530</v>
      </c>
      <c r="C82" s="6" t="s">
        <v>534</v>
      </c>
      <c r="D82" s="6" t="s">
        <v>198</v>
      </c>
      <c r="E82" s="11" t="s">
        <v>130</v>
      </c>
      <c r="F82" s="11" t="s">
        <v>131</v>
      </c>
      <c r="G82" s="11" t="s">
        <v>191</v>
      </c>
      <c r="H82" s="14">
        <v>2900.0</v>
      </c>
      <c r="I82" s="12" t="s">
        <v>107</v>
      </c>
      <c r="J82" s="15">
        <v>40.0</v>
      </c>
      <c r="K82" s="12" t="s">
        <v>112</v>
      </c>
      <c r="L82" s="16">
        <v>5.6</v>
      </c>
      <c r="M82" s="12" t="s">
        <v>118</v>
      </c>
      <c r="N82" s="11" t="str">
        <f t="shared" si="1"/>
        <v>Moderate</v>
      </c>
      <c r="O82" s="6" t="s">
        <v>420</v>
      </c>
      <c r="P82" s="15">
        <v>2.0</v>
      </c>
      <c r="Q82" s="15">
        <v>3.0</v>
      </c>
      <c r="R82" s="15">
        <v>2.0</v>
      </c>
      <c r="S82" s="15">
        <v>3.0</v>
      </c>
      <c r="T82" s="15">
        <v>2.0</v>
      </c>
      <c r="U82" s="15">
        <v>4.0</v>
      </c>
      <c r="V82" s="11">
        <f>ROUND((P82*'Business Analysis'!$B$35+Q82*'Business Analysis'!$B$36+R82*'Business Analysis'!$B$37+S82*'Business Analysis'!$B$38+T82*'Business Analysis'!$B$39+U82*'Business Analysis'!$B$40)/5*100,0)</f>
        <v>50</v>
      </c>
      <c r="W82" s="11" t="str">
        <f t="shared" si="2"/>
        <v>Low</v>
      </c>
      <c r="X82" s="12" t="s">
        <v>511</v>
      </c>
      <c r="Y82" s="11" t="s">
        <v>388</v>
      </c>
      <c r="Z82" s="6" t="s">
        <v>507</v>
      </c>
      <c r="AA82" s="11" t="s">
        <v>430</v>
      </c>
    </row>
    <row r="83" ht="15.75" customHeight="1">
      <c r="A83" s="30" t="s">
        <v>930</v>
      </c>
      <c r="B83" s="30" t="s">
        <v>130</v>
      </c>
      <c r="C83" s="8" t="s">
        <v>534</v>
      </c>
      <c r="D83" s="8" t="s">
        <v>198</v>
      </c>
      <c r="E83" s="20" t="s">
        <v>130</v>
      </c>
      <c r="F83" s="20" t="s">
        <v>131</v>
      </c>
      <c r="G83" s="20" t="s">
        <v>191</v>
      </c>
      <c r="H83" s="31">
        <v>3600.0</v>
      </c>
      <c r="I83" s="30" t="s">
        <v>107</v>
      </c>
      <c r="J83" s="32">
        <v>42.0</v>
      </c>
      <c r="K83" s="30" t="s">
        <v>112</v>
      </c>
      <c r="L83" s="33">
        <v>5.5</v>
      </c>
      <c r="M83" s="30" t="s">
        <v>118</v>
      </c>
      <c r="N83" s="20" t="str">
        <f t="shared" si="1"/>
        <v>Competitive</v>
      </c>
      <c r="O83" s="8" t="s">
        <v>420</v>
      </c>
      <c r="P83" s="32">
        <v>2.0</v>
      </c>
      <c r="Q83" s="32">
        <v>4.0</v>
      </c>
      <c r="R83" s="32">
        <v>2.0</v>
      </c>
      <c r="S83" s="32">
        <v>3.0</v>
      </c>
      <c r="T83" s="32">
        <v>2.0</v>
      </c>
      <c r="U83" s="32">
        <v>4.0</v>
      </c>
      <c r="V83" s="20">
        <f>ROUND((P83*'Business Analysis'!$B$35+Q83*'Business Analysis'!$B$36+R83*'Business Analysis'!$B$37+S83*'Business Analysis'!$B$38+T83*'Business Analysis'!$B$39+U83*'Business Analysis'!$B$40)/5*100,0)</f>
        <v>53</v>
      </c>
      <c r="W83" s="20" t="str">
        <f t="shared" si="2"/>
        <v>Low</v>
      </c>
      <c r="X83" s="30" t="s">
        <v>511</v>
      </c>
      <c r="Y83" s="20" t="s">
        <v>388</v>
      </c>
      <c r="Z83" s="8" t="s">
        <v>507</v>
      </c>
      <c r="AA83" s="20" t="s">
        <v>430</v>
      </c>
    </row>
    <row r="84" ht="15.75" customHeight="1">
      <c r="A84" s="12" t="s">
        <v>932</v>
      </c>
      <c r="B84" s="12" t="s">
        <v>530</v>
      </c>
      <c r="C84" s="6" t="s">
        <v>534</v>
      </c>
      <c r="D84" s="6" t="s">
        <v>198</v>
      </c>
      <c r="E84" s="11" t="s">
        <v>209</v>
      </c>
      <c r="F84" s="11" t="s">
        <v>210</v>
      </c>
      <c r="G84" s="11" t="s">
        <v>191</v>
      </c>
      <c r="H84" s="14">
        <v>1600.0</v>
      </c>
      <c r="I84" s="12" t="s">
        <v>107</v>
      </c>
      <c r="J84" s="15">
        <v>35.0</v>
      </c>
      <c r="K84" s="12" t="s">
        <v>112</v>
      </c>
      <c r="L84" s="16">
        <v>2.9</v>
      </c>
      <c r="M84" s="12" t="s">
        <v>118</v>
      </c>
      <c r="N84" s="11" t="str">
        <f t="shared" si="1"/>
        <v>Moderate</v>
      </c>
      <c r="O84" s="6" t="s">
        <v>523</v>
      </c>
      <c r="P84" s="15">
        <v>1.0</v>
      </c>
      <c r="Q84" s="15">
        <v>3.0</v>
      </c>
      <c r="R84" s="15">
        <v>3.0</v>
      </c>
      <c r="S84" s="15">
        <v>2.0</v>
      </c>
      <c r="T84" s="15">
        <v>1.0</v>
      </c>
      <c r="U84" s="15">
        <v>4.0</v>
      </c>
      <c r="V84" s="11">
        <f>ROUND((P84*'Business Analysis'!$B$35+Q84*'Business Analysis'!$B$36+R84*'Business Analysis'!$B$37+S84*'Business Analysis'!$B$38+T84*'Business Analysis'!$B$39+U84*'Business Analysis'!$B$40)/5*100,0)</f>
        <v>43</v>
      </c>
      <c r="W84" s="11" t="str">
        <f t="shared" si="2"/>
        <v>Low</v>
      </c>
      <c r="X84" s="12" t="s">
        <v>511</v>
      </c>
      <c r="Y84" s="11" t="s">
        <v>388</v>
      </c>
      <c r="Z84" s="6" t="s">
        <v>528</v>
      </c>
      <c r="AA84" s="11" t="s">
        <v>430</v>
      </c>
    </row>
    <row r="85" ht="15.75" customHeight="1">
      <c r="A85" s="30" t="s">
        <v>938</v>
      </c>
      <c r="B85" s="30" t="s">
        <v>530</v>
      </c>
      <c r="C85" s="8" t="s">
        <v>534</v>
      </c>
      <c r="D85" s="8" t="s">
        <v>198</v>
      </c>
      <c r="E85" s="20" t="s">
        <v>209</v>
      </c>
      <c r="F85" s="20" t="s">
        <v>210</v>
      </c>
      <c r="G85" s="20" t="s">
        <v>191</v>
      </c>
      <c r="H85" s="31">
        <v>1300.0</v>
      </c>
      <c r="I85" s="30" t="s">
        <v>107</v>
      </c>
      <c r="J85" s="32">
        <v>32.0</v>
      </c>
      <c r="K85" s="30" t="s">
        <v>112</v>
      </c>
      <c r="L85" s="33">
        <v>2.4</v>
      </c>
      <c r="M85" s="30" t="s">
        <v>118</v>
      </c>
      <c r="N85" s="20" t="str">
        <f t="shared" si="1"/>
        <v>Moderate</v>
      </c>
      <c r="O85" s="8" t="s">
        <v>523</v>
      </c>
      <c r="P85" s="32">
        <v>1.0</v>
      </c>
      <c r="Q85" s="32">
        <v>3.0</v>
      </c>
      <c r="R85" s="32">
        <v>3.0</v>
      </c>
      <c r="S85" s="32">
        <v>2.0</v>
      </c>
      <c r="T85" s="32">
        <v>1.0</v>
      </c>
      <c r="U85" s="32">
        <v>4.0</v>
      </c>
      <c r="V85" s="20">
        <f>ROUND((P85*'Business Analysis'!$B$35+Q85*'Business Analysis'!$B$36+R85*'Business Analysis'!$B$37+S85*'Business Analysis'!$B$38+T85*'Business Analysis'!$B$39+U85*'Business Analysis'!$B$40)/5*100,0)</f>
        <v>43</v>
      </c>
      <c r="W85" s="20" t="str">
        <f t="shared" si="2"/>
        <v>Low</v>
      </c>
      <c r="X85" s="30" t="s">
        <v>706</v>
      </c>
      <c r="Y85" s="20" t="s">
        <v>388</v>
      </c>
      <c r="Z85" s="8" t="s">
        <v>528</v>
      </c>
      <c r="AA85" s="20" t="s">
        <v>430</v>
      </c>
    </row>
    <row r="86" ht="15.75" customHeight="1">
      <c r="A86" s="12" t="s">
        <v>205</v>
      </c>
      <c r="B86" s="12" t="s">
        <v>209</v>
      </c>
      <c r="C86" s="6" t="s">
        <v>534</v>
      </c>
      <c r="D86" s="6" t="s">
        <v>204</v>
      </c>
      <c r="E86" s="11" t="s">
        <v>209</v>
      </c>
      <c r="F86" s="11" t="s">
        <v>210</v>
      </c>
      <c r="G86" s="11" t="s">
        <v>98</v>
      </c>
      <c r="H86" s="14">
        <v>6600.0</v>
      </c>
      <c r="I86" s="12" t="s">
        <v>107</v>
      </c>
      <c r="J86" s="15">
        <v>45.0</v>
      </c>
      <c r="K86" s="12" t="s">
        <v>112</v>
      </c>
      <c r="L86" s="16">
        <v>2.1</v>
      </c>
      <c r="M86" s="12" t="s">
        <v>118</v>
      </c>
      <c r="N86" s="11" t="str">
        <f t="shared" si="1"/>
        <v>Competitive</v>
      </c>
      <c r="O86" s="6" t="s">
        <v>523</v>
      </c>
      <c r="P86" s="15">
        <v>1.0</v>
      </c>
      <c r="Q86" s="15">
        <v>4.0</v>
      </c>
      <c r="R86" s="15">
        <v>2.0</v>
      </c>
      <c r="S86" s="15">
        <v>1.0</v>
      </c>
      <c r="T86" s="15">
        <v>1.0</v>
      </c>
      <c r="U86" s="15">
        <v>3.0</v>
      </c>
      <c r="V86" s="11">
        <f>ROUND((P86*'Business Analysis'!$B$35+Q86*'Business Analysis'!$B$36+R86*'Business Analysis'!$B$37+S86*'Business Analysis'!$B$38+T86*'Business Analysis'!$B$39+U86*'Business Analysis'!$B$40)/5*100,0)</f>
        <v>37</v>
      </c>
      <c r="W86" s="11" t="str">
        <f t="shared" si="2"/>
        <v>Optional</v>
      </c>
      <c r="X86" s="12" t="s">
        <v>712</v>
      </c>
      <c r="Y86" s="11" t="s">
        <v>388</v>
      </c>
      <c r="Z86" s="6" t="s">
        <v>528</v>
      </c>
      <c r="AA86" s="11" t="s">
        <v>430</v>
      </c>
    </row>
    <row r="87" ht="15.75" customHeight="1">
      <c r="A87" s="30" t="s">
        <v>711</v>
      </c>
      <c r="B87" s="30" t="s">
        <v>209</v>
      </c>
      <c r="C87" s="8" t="s">
        <v>534</v>
      </c>
      <c r="D87" s="8" t="s">
        <v>204</v>
      </c>
      <c r="E87" s="20" t="s">
        <v>209</v>
      </c>
      <c r="F87" s="20" t="s">
        <v>210</v>
      </c>
      <c r="G87" s="20" t="s">
        <v>98</v>
      </c>
      <c r="H87" s="31">
        <v>22200.0</v>
      </c>
      <c r="I87" s="30" t="s">
        <v>107</v>
      </c>
      <c r="J87" s="32">
        <v>52.0</v>
      </c>
      <c r="K87" s="30" t="s">
        <v>112</v>
      </c>
      <c r="L87" s="33">
        <v>1.6</v>
      </c>
      <c r="M87" s="30" t="s">
        <v>118</v>
      </c>
      <c r="N87" s="20" t="str">
        <f t="shared" si="1"/>
        <v>Competitive</v>
      </c>
      <c r="O87" s="8" t="s">
        <v>523</v>
      </c>
      <c r="P87" s="32">
        <v>1.0</v>
      </c>
      <c r="Q87" s="32">
        <v>5.0</v>
      </c>
      <c r="R87" s="32">
        <v>1.0</v>
      </c>
      <c r="S87" s="32">
        <v>1.0</v>
      </c>
      <c r="T87" s="32">
        <v>1.0</v>
      </c>
      <c r="U87" s="32">
        <v>3.0</v>
      </c>
      <c r="V87" s="20">
        <f>ROUND((P87*'Business Analysis'!$B$35+Q87*'Business Analysis'!$B$36+R87*'Business Analysis'!$B$37+S87*'Business Analysis'!$B$38+T87*'Business Analysis'!$B$39+U87*'Business Analysis'!$B$40)/5*100,0)</f>
        <v>36</v>
      </c>
      <c r="W87" s="20" t="str">
        <f t="shared" si="2"/>
        <v>Optional</v>
      </c>
      <c r="X87" s="30" t="s">
        <v>710</v>
      </c>
      <c r="Y87" s="20" t="s">
        <v>388</v>
      </c>
      <c r="Z87" s="8" t="s">
        <v>528</v>
      </c>
      <c r="AA87" s="20" t="s">
        <v>430</v>
      </c>
    </row>
    <row r="88" ht="15.75" customHeight="1">
      <c r="A88" s="12" t="s">
        <v>709</v>
      </c>
      <c r="B88" s="12" t="s">
        <v>209</v>
      </c>
      <c r="C88" s="6" t="s">
        <v>534</v>
      </c>
      <c r="D88" s="6" t="s">
        <v>204</v>
      </c>
      <c r="E88" s="11" t="s">
        <v>209</v>
      </c>
      <c r="F88" s="11" t="s">
        <v>210</v>
      </c>
      <c r="G88" s="11" t="s">
        <v>98</v>
      </c>
      <c r="H88" s="14">
        <v>8100.0</v>
      </c>
      <c r="I88" s="12" t="s">
        <v>107</v>
      </c>
      <c r="J88" s="15">
        <v>42.0</v>
      </c>
      <c r="K88" s="12" t="s">
        <v>112</v>
      </c>
      <c r="L88" s="16">
        <v>1.8</v>
      </c>
      <c r="M88" s="12" t="s">
        <v>118</v>
      </c>
      <c r="N88" s="11" t="str">
        <f t="shared" si="1"/>
        <v>Competitive</v>
      </c>
      <c r="O88" s="6" t="s">
        <v>523</v>
      </c>
      <c r="P88" s="15">
        <v>1.0</v>
      </c>
      <c r="Q88" s="15">
        <v>4.0</v>
      </c>
      <c r="R88" s="15">
        <v>2.0</v>
      </c>
      <c r="S88" s="15">
        <v>1.0</v>
      </c>
      <c r="T88" s="15">
        <v>1.0</v>
      </c>
      <c r="U88" s="15">
        <v>3.0</v>
      </c>
      <c r="V88" s="11">
        <f>ROUND((P88*'Business Analysis'!$B$35+Q88*'Business Analysis'!$B$36+R88*'Business Analysis'!$B$37+S88*'Business Analysis'!$B$38+T88*'Business Analysis'!$B$39+U88*'Business Analysis'!$B$40)/5*100,0)</f>
        <v>37</v>
      </c>
      <c r="W88" s="11" t="str">
        <f t="shared" si="2"/>
        <v>Optional</v>
      </c>
      <c r="X88" s="12" t="s">
        <v>706</v>
      </c>
      <c r="Y88" s="11" t="s">
        <v>388</v>
      </c>
      <c r="Z88" s="6" t="s">
        <v>528</v>
      </c>
      <c r="AA88" s="11" t="s">
        <v>430</v>
      </c>
    </row>
    <row r="89" ht="15.75" customHeight="1">
      <c r="A89" s="30" t="s">
        <v>952</v>
      </c>
      <c r="B89" s="30" t="s">
        <v>209</v>
      </c>
      <c r="C89" s="8" t="s">
        <v>534</v>
      </c>
      <c r="D89" s="8" t="s">
        <v>204</v>
      </c>
      <c r="E89" s="20" t="s">
        <v>209</v>
      </c>
      <c r="F89" s="20" t="s">
        <v>210</v>
      </c>
      <c r="G89" s="20" t="s">
        <v>191</v>
      </c>
      <c r="H89" s="31">
        <v>6600.0</v>
      </c>
      <c r="I89" s="30" t="s">
        <v>107</v>
      </c>
      <c r="J89" s="32">
        <v>40.0</v>
      </c>
      <c r="K89" s="30" t="s">
        <v>112</v>
      </c>
      <c r="L89" s="33">
        <v>1.4</v>
      </c>
      <c r="M89" s="30" t="s">
        <v>118</v>
      </c>
      <c r="N89" s="20" t="str">
        <f t="shared" si="1"/>
        <v>Moderate</v>
      </c>
      <c r="O89" s="8" t="s">
        <v>523</v>
      </c>
      <c r="P89" s="32">
        <v>1.0</v>
      </c>
      <c r="Q89" s="32">
        <v>4.0</v>
      </c>
      <c r="R89" s="32">
        <v>2.0</v>
      </c>
      <c r="S89" s="32">
        <v>1.0</v>
      </c>
      <c r="T89" s="32">
        <v>1.0</v>
      </c>
      <c r="U89" s="32">
        <v>3.0</v>
      </c>
      <c r="V89" s="20">
        <f>ROUND((P89*'Business Analysis'!$B$35+Q89*'Business Analysis'!$B$36+R89*'Business Analysis'!$B$37+S89*'Business Analysis'!$B$38+T89*'Business Analysis'!$B$39+U89*'Business Analysis'!$B$40)/5*100,0)</f>
        <v>37</v>
      </c>
      <c r="W89" s="20" t="str">
        <f t="shared" si="2"/>
        <v>Optional</v>
      </c>
      <c r="X89" s="30" t="s">
        <v>706</v>
      </c>
      <c r="Y89" s="20" t="s">
        <v>388</v>
      </c>
      <c r="Z89" s="8" t="s">
        <v>528</v>
      </c>
      <c r="AA89" s="20" t="s">
        <v>430</v>
      </c>
    </row>
    <row r="90" ht="15.75" customHeight="1">
      <c r="A90" s="12" t="s">
        <v>715</v>
      </c>
      <c r="B90" s="12" t="s">
        <v>714</v>
      </c>
      <c r="C90" s="6" t="s">
        <v>534</v>
      </c>
      <c r="D90" s="6" t="s">
        <v>204</v>
      </c>
      <c r="E90" s="11" t="s">
        <v>130</v>
      </c>
      <c r="F90" s="11" t="s">
        <v>131</v>
      </c>
      <c r="G90" s="11" t="s">
        <v>98</v>
      </c>
      <c r="H90" s="14">
        <v>12100.0</v>
      </c>
      <c r="I90" s="12" t="s">
        <v>107</v>
      </c>
      <c r="J90" s="15">
        <v>57.0</v>
      </c>
      <c r="K90" s="12" t="s">
        <v>112</v>
      </c>
      <c r="L90" s="16">
        <v>4.7</v>
      </c>
      <c r="M90" s="12" t="s">
        <v>118</v>
      </c>
      <c r="N90" s="11" t="str">
        <f t="shared" si="1"/>
        <v>Competitive</v>
      </c>
      <c r="O90" s="6" t="s">
        <v>420</v>
      </c>
      <c r="P90" s="15">
        <v>1.0</v>
      </c>
      <c r="Q90" s="15">
        <v>5.0</v>
      </c>
      <c r="R90" s="15">
        <v>1.0</v>
      </c>
      <c r="S90" s="15">
        <v>3.0</v>
      </c>
      <c r="T90" s="15">
        <v>2.0</v>
      </c>
      <c r="U90" s="15">
        <v>3.0</v>
      </c>
      <c r="V90" s="11">
        <f>ROUND((P90*'Business Analysis'!$B$35+Q90*'Business Analysis'!$B$36+R90*'Business Analysis'!$B$37+S90*'Business Analysis'!$B$38+T90*'Business Analysis'!$B$39+U90*'Business Analysis'!$B$40)/5*100,0)</f>
        <v>45</v>
      </c>
      <c r="W90" s="11" t="str">
        <f t="shared" si="2"/>
        <v>Low</v>
      </c>
      <c r="X90" s="12" t="s">
        <v>713</v>
      </c>
      <c r="Y90" s="11" t="s">
        <v>388</v>
      </c>
      <c r="Z90" s="6" t="s">
        <v>507</v>
      </c>
      <c r="AA90" s="11" t="s">
        <v>430</v>
      </c>
    </row>
    <row r="91" ht="15.75" customHeight="1">
      <c r="A91" s="30" t="s">
        <v>763</v>
      </c>
      <c r="B91" s="30" t="s">
        <v>530</v>
      </c>
      <c r="C91" s="8" t="s">
        <v>534</v>
      </c>
      <c r="D91" s="8" t="s">
        <v>204</v>
      </c>
      <c r="E91" s="20" t="s">
        <v>209</v>
      </c>
      <c r="F91" s="20" t="s">
        <v>210</v>
      </c>
      <c r="G91" s="20" t="s">
        <v>98</v>
      </c>
      <c r="H91" s="31">
        <v>1300.0</v>
      </c>
      <c r="I91" s="30" t="s">
        <v>107</v>
      </c>
      <c r="J91" s="32">
        <v>30.0</v>
      </c>
      <c r="K91" s="30" t="s">
        <v>112</v>
      </c>
      <c r="L91" s="33">
        <v>2.2</v>
      </c>
      <c r="M91" s="30" t="s">
        <v>118</v>
      </c>
      <c r="N91" s="20" t="str">
        <f t="shared" si="1"/>
        <v>Moderate</v>
      </c>
      <c r="O91" s="8" t="s">
        <v>523</v>
      </c>
      <c r="P91" s="32">
        <v>1.0</v>
      </c>
      <c r="Q91" s="32">
        <v>3.0</v>
      </c>
      <c r="R91" s="32">
        <v>3.0</v>
      </c>
      <c r="S91" s="32">
        <v>2.0</v>
      </c>
      <c r="T91" s="32">
        <v>1.0</v>
      </c>
      <c r="U91" s="32">
        <v>3.0</v>
      </c>
      <c r="V91" s="20">
        <f>ROUND((P91*'Business Analysis'!$B$35+Q91*'Business Analysis'!$B$36+R91*'Business Analysis'!$B$37+S91*'Business Analysis'!$B$38+T91*'Business Analysis'!$B$39+U91*'Business Analysis'!$B$40)/5*100,0)</f>
        <v>41</v>
      </c>
      <c r="W91" s="20" t="str">
        <f t="shared" si="2"/>
        <v>Low</v>
      </c>
      <c r="X91" s="30" t="s">
        <v>762</v>
      </c>
      <c r="Y91" s="20" t="s">
        <v>388</v>
      </c>
      <c r="Z91" s="8" t="s">
        <v>528</v>
      </c>
      <c r="AA91" s="20" t="s">
        <v>430</v>
      </c>
    </row>
    <row r="92" ht="15.75" customHeight="1">
      <c r="A92" s="12" t="s">
        <v>216</v>
      </c>
      <c r="B92" s="12" t="s">
        <v>87</v>
      </c>
      <c r="C92" s="6" t="s">
        <v>466</v>
      </c>
      <c r="D92" s="6" t="s">
        <v>215</v>
      </c>
      <c r="E92" s="11" t="s">
        <v>29</v>
      </c>
      <c r="F92" s="11" t="s">
        <v>31</v>
      </c>
      <c r="G92" s="11" t="s">
        <v>98</v>
      </c>
      <c r="H92" s="14">
        <v>90.0</v>
      </c>
      <c r="I92" s="12" t="s">
        <v>107</v>
      </c>
      <c r="J92" s="15">
        <v>19.0</v>
      </c>
      <c r="K92" s="12" t="s">
        <v>112</v>
      </c>
      <c r="L92" s="16">
        <v>9.2</v>
      </c>
      <c r="M92" s="12" t="s">
        <v>118</v>
      </c>
      <c r="N92" s="11" t="str">
        <f t="shared" si="1"/>
        <v>Easy</v>
      </c>
      <c r="O92" s="6" t="s">
        <v>142</v>
      </c>
      <c r="P92" s="15">
        <v>4.0</v>
      </c>
      <c r="Q92" s="15">
        <v>3.0</v>
      </c>
      <c r="R92" s="15">
        <v>4.0</v>
      </c>
      <c r="S92" s="15">
        <v>5.0</v>
      </c>
      <c r="T92" s="15">
        <v>5.0</v>
      </c>
      <c r="U92" s="15">
        <v>4.0</v>
      </c>
      <c r="V92" s="11">
        <f>ROUND((P92*'Business Analysis'!$B$35+Q92*'Business Analysis'!$B$36+R92*'Business Analysis'!$B$37+S92*'Business Analysis'!$B$38+T92*'Business Analysis'!$B$39+U92*'Business Analysis'!$B$40)/5*100,0)</f>
        <v>83</v>
      </c>
      <c r="W92" s="11" t="str">
        <f t="shared" si="2"/>
        <v>High</v>
      </c>
      <c r="X92" s="12" t="s">
        <v>520</v>
      </c>
      <c r="Y92" s="11" t="s">
        <v>388</v>
      </c>
      <c r="Z92" s="6" t="s">
        <v>213</v>
      </c>
      <c r="AA92" s="11" t="s">
        <v>183</v>
      </c>
    </row>
    <row r="93" ht="15.75" customHeight="1">
      <c r="A93" s="30" t="s">
        <v>963</v>
      </c>
      <c r="B93" s="30" t="s">
        <v>87</v>
      </c>
      <c r="C93" s="8" t="s">
        <v>466</v>
      </c>
      <c r="D93" s="8" t="s">
        <v>215</v>
      </c>
      <c r="E93" s="20" t="s">
        <v>29</v>
      </c>
      <c r="F93" s="20" t="s">
        <v>31</v>
      </c>
      <c r="G93" s="20" t="s">
        <v>191</v>
      </c>
      <c r="H93" s="31">
        <v>30.0</v>
      </c>
      <c r="I93" s="30" t="s">
        <v>107</v>
      </c>
      <c r="J93" s="32">
        <v>14.0</v>
      </c>
      <c r="K93" s="30" t="s">
        <v>112</v>
      </c>
      <c r="L93" s="33">
        <v>8.6</v>
      </c>
      <c r="M93" s="30" t="s">
        <v>118</v>
      </c>
      <c r="N93" s="20" t="str">
        <f t="shared" si="1"/>
        <v>Easy</v>
      </c>
      <c r="O93" s="8" t="s">
        <v>142</v>
      </c>
      <c r="P93" s="32">
        <v>4.0</v>
      </c>
      <c r="Q93" s="32">
        <v>2.0</v>
      </c>
      <c r="R93" s="32">
        <v>5.0</v>
      </c>
      <c r="S93" s="32">
        <v>5.0</v>
      </c>
      <c r="T93" s="32">
        <v>5.0</v>
      </c>
      <c r="U93" s="32">
        <v>4.0</v>
      </c>
      <c r="V93" s="20">
        <f>ROUND((P93*'Business Analysis'!$B$35+Q93*'Business Analysis'!$B$36+R93*'Business Analysis'!$B$37+S93*'Business Analysis'!$B$38+T93*'Business Analysis'!$B$39+U93*'Business Analysis'!$B$40)/5*100,0)</f>
        <v>84</v>
      </c>
      <c r="W93" s="20" t="str">
        <f t="shared" si="2"/>
        <v>High</v>
      </c>
      <c r="X93" s="30" t="s">
        <v>520</v>
      </c>
      <c r="Y93" s="20" t="s">
        <v>388</v>
      </c>
      <c r="Z93" s="8" t="s">
        <v>213</v>
      </c>
      <c r="AA93" s="20" t="s">
        <v>183</v>
      </c>
    </row>
    <row r="94" ht="15.75" customHeight="1">
      <c r="A94" s="12" t="s">
        <v>968</v>
      </c>
      <c r="B94" s="12" t="s">
        <v>29</v>
      </c>
      <c r="C94" s="6" t="s">
        <v>466</v>
      </c>
      <c r="D94" s="6" t="s">
        <v>215</v>
      </c>
      <c r="E94" s="11" t="s">
        <v>29</v>
      </c>
      <c r="F94" s="11" t="s">
        <v>31</v>
      </c>
      <c r="G94" s="11" t="s">
        <v>191</v>
      </c>
      <c r="H94" s="14">
        <v>40.0</v>
      </c>
      <c r="I94" s="12" t="s">
        <v>107</v>
      </c>
      <c r="J94" s="15">
        <v>14.0</v>
      </c>
      <c r="K94" s="12" t="s">
        <v>112</v>
      </c>
      <c r="L94" s="16">
        <v>9.4</v>
      </c>
      <c r="M94" s="12" t="s">
        <v>118</v>
      </c>
      <c r="N94" s="11" t="str">
        <f t="shared" si="1"/>
        <v>Easy</v>
      </c>
      <c r="O94" s="6" t="s">
        <v>142</v>
      </c>
      <c r="P94" s="15">
        <v>4.0</v>
      </c>
      <c r="Q94" s="15">
        <v>2.0</v>
      </c>
      <c r="R94" s="15">
        <v>5.0</v>
      </c>
      <c r="S94" s="15">
        <v>5.0</v>
      </c>
      <c r="T94" s="15">
        <v>5.0</v>
      </c>
      <c r="U94" s="15">
        <v>4.0</v>
      </c>
      <c r="V94" s="11">
        <f>ROUND((P94*'Business Analysis'!$B$35+Q94*'Business Analysis'!$B$36+R94*'Business Analysis'!$B$37+S94*'Business Analysis'!$B$38+T94*'Business Analysis'!$B$39+U94*'Business Analysis'!$B$40)/5*100,0)</f>
        <v>84</v>
      </c>
      <c r="W94" s="11" t="str">
        <f t="shared" si="2"/>
        <v>High</v>
      </c>
      <c r="X94" s="12" t="s">
        <v>520</v>
      </c>
      <c r="Y94" s="11" t="s">
        <v>388</v>
      </c>
      <c r="Z94" s="6" t="s">
        <v>213</v>
      </c>
      <c r="AA94" s="11" t="s">
        <v>183</v>
      </c>
    </row>
    <row r="95" ht="15.75" customHeight="1">
      <c r="A95" s="30" t="s">
        <v>516</v>
      </c>
      <c r="B95" s="30" t="s">
        <v>87</v>
      </c>
      <c r="C95" s="8" t="s">
        <v>466</v>
      </c>
      <c r="D95" s="8" t="s">
        <v>215</v>
      </c>
      <c r="E95" s="20" t="s">
        <v>29</v>
      </c>
      <c r="F95" s="20" t="s">
        <v>31</v>
      </c>
      <c r="G95" s="20" t="s">
        <v>98</v>
      </c>
      <c r="H95" s="31">
        <v>30.0</v>
      </c>
      <c r="I95" s="30" t="s">
        <v>107</v>
      </c>
      <c r="J95" s="32">
        <v>15.0</v>
      </c>
      <c r="K95" s="30" t="s">
        <v>112</v>
      </c>
      <c r="L95" s="33">
        <v>8.6</v>
      </c>
      <c r="M95" s="30" t="s">
        <v>118</v>
      </c>
      <c r="N95" s="20" t="str">
        <f t="shared" si="1"/>
        <v>Easy</v>
      </c>
      <c r="O95" s="8" t="s">
        <v>142</v>
      </c>
      <c r="P95" s="32">
        <v>4.0</v>
      </c>
      <c r="Q95" s="32">
        <v>2.0</v>
      </c>
      <c r="R95" s="32">
        <v>5.0</v>
      </c>
      <c r="S95" s="32">
        <v>5.0</v>
      </c>
      <c r="T95" s="32">
        <v>5.0</v>
      </c>
      <c r="U95" s="32">
        <v>4.0</v>
      </c>
      <c r="V95" s="20">
        <f>ROUND((P95*'Business Analysis'!$B$35+Q95*'Business Analysis'!$B$36+R95*'Business Analysis'!$B$37+S95*'Business Analysis'!$B$38+T95*'Business Analysis'!$B$39+U95*'Business Analysis'!$B$40)/5*100,0)</f>
        <v>84</v>
      </c>
      <c r="W95" s="20" t="str">
        <f t="shared" si="2"/>
        <v>High</v>
      </c>
      <c r="X95" s="30" t="s">
        <v>514</v>
      </c>
      <c r="Y95" s="20" t="s">
        <v>388</v>
      </c>
      <c r="Z95" s="8" t="s">
        <v>213</v>
      </c>
      <c r="AA95" s="20" t="s">
        <v>183</v>
      </c>
    </row>
    <row r="96" ht="15.75" customHeight="1">
      <c r="A96" s="12" t="s">
        <v>973</v>
      </c>
      <c r="B96" s="12" t="s">
        <v>29</v>
      </c>
      <c r="C96" s="6" t="s">
        <v>466</v>
      </c>
      <c r="D96" s="6" t="s">
        <v>215</v>
      </c>
      <c r="E96" s="11" t="s">
        <v>29</v>
      </c>
      <c r="F96" s="11" t="s">
        <v>31</v>
      </c>
      <c r="G96" s="11" t="s">
        <v>191</v>
      </c>
      <c r="H96" s="14">
        <v>14800.0</v>
      </c>
      <c r="I96" s="12" t="s">
        <v>107</v>
      </c>
      <c r="J96" s="15">
        <v>60.0</v>
      </c>
      <c r="K96" s="12" t="s">
        <v>112</v>
      </c>
      <c r="L96" s="16">
        <v>9.8</v>
      </c>
      <c r="M96" s="12" t="s">
        <v>118</v>
      </c>
      <c r="N96" s="11" t="str">
        <f t="shared" si="1"/>
        <v>Competitive</v>
      </c>
      <c r="O96" s="6" t="s">
        <v>420</v>
      </c>
      <c r="P96" s="15">
        <v>2.0</v>
      </c>
      <c r="Q96" s="15">
        <v>5.0</v>
      </c>
      <c r="R96" s="15">
        <v>1.0</v>
      </c>
      <c r="S96" s="15">
        <v>5.0</v>
      </c>
      <c r="T96" s="15">
        <v>3.0</v>
      </c>
      <c r="U96" s="15">
        <v>4.0</v>
      </c>
      <c r="V96" s="11">
        <f>ROUND((P96*'Business Analysis'!$B$35+Q96*'Business Analysis'!$B$36+R96*'Business Analysis'!$B$37+S96*'Business Analysis'!$B$38+T96*'Business Analysis'!$B$39+U96*'Business Analysis'!$B$40)/5*100,0)</f>
        <v>61</v>
      </c>
      <c r="W96" s="11" t="str">
        <f t="shared" si="2"/>
        <v>Medium</v>
      </c>
      <c r="X96" s="12" t="s">
        <v>520</v>
      </c>
      <c r="Y96" s="11" t="s">
        <v>388</v>
      </c>
      <c r="Z96" s="6" t="s">
        <v>428</v>
      </c>
      <c r="AA96" s="11" t="s">
        <v>430</v>
      </c>
    </row>
    <row r="97" ht="15.75" customHeight="1">
      <c r="A97" s="30" t="s">
        <v>724</v>
      </c>
      <c r="B97" s="30" t="s">
        <v>130</v>
      </c>
      <c r="C97" s="8" t="s">
        <v>466</v>
      </c>
      <c r="D97" s="8" t="s">
        <v>215</v>
      </c>
      <c r="E97" s="20" t="s">
        <v>130</v>
      </c>
      <c r="F97" s="20" t="s">
        <v>131</v>
      </c>
      <c r="G97" s="20" t="s">
        <v>98</v>
      </c>
      <c r="H97" s="31">
        <v>33100.0</v>
      </c>
      <c r="I97" s="30" t="s">
        <v>107</v>
      </c>
      <c r="J97" s="32">
        <v>62.0</v>
      </c>
      <c r="K97" s="30" t="s">
        <v>112</v>
      </c>
      <c r="L97" s="33">
        <v>7.6</v>
      </c>
      <c r="M97" s="30" t="s">
        <v>118</v>
      </c>
      <c r="N97" s="20" t="str">
        <f t="shared" si="1"/>
        <v>Competitive</v>
      </c>
      <c r="O97" s="8" t="s">
        <v>420</v>
      </c>
      <c r="P97" s="32">
        <v>2.0</v>
      </c>
      <c r="Q97" s="32">
        <v>5.0</v>
      </c>
      <c r="R97" s="32">
        <v>1.0</v>
      </c>
      <c r="S97" s="32">
        <v>3.0</v>
      </c>
      <c r="T97" s="32">
        <v>2.0</v>
      </c>
      <c r="U97" s="32">
        <v>4.0</v>
      </c>
      <c r="V97" s="20">
        <f>ROUND((P97*'Business Analysis'!$B$35+Q97*'Business Analysis'!$B$36+R97*'Business Analysis'!$B$37+S97*'Business Analysis'!$B$38+T97*'Business Analysis'!$B$39+U97*'Business Analysis'!$B$40)/5*100,0)</f>
        <v>52</v>
      </c>
      <c r="W97" s="20" t="str">
        <f t="shared" si="2"/>
        <v>Low</v>
      </c>
      <c r="X97" s="30" t="s">
        <v>723</v>
      </c>
      <c r="Y97" s="20" t="s">
        <v>388</v>
      </c>
      <c r="Z97" s="8" t="s">
        <v>507</v>
      </c>
      <c r="AA97" s="20" t="s">
        <v>430</v>
      </c>
    </row>
    <row r="98" ht="15.75" customHeight="1">
      <c r="A98" s="12" t="s">
        <v>976</v>
      </c>
      <c r="B98" s="12" t="s">
        <v>209</v>
      </c>
      <c r="C98" s="6" t="s">
        <v>466</v>
      </c>
      <c r="D98" s="6" t="s">
        <v>215</v>
      </c>
      <c r="E98" s="11" t="s">
        <v>209</v>
      </c>
      <c r="F98" s="11" t="s">
        <v>210</v>
      </c>
      <c r="G98" s="11" t="s">
        <v>191</v>
      </c>
      <c r="H98" s="14">
        <v>5400.0</v>
      </c>
      <c r="I98" s="12" t="s">
        <v>107</v>
      </c>
      <c r="J98" s="15">
        <v>44.0</v>
      </c>
      <c r="K98" s="12" t="s">
        <v>112</v>
      </c>
      <c r="L98" s="16">
        <v>2.7</v>
      </c>
      <c r="M98" s="12" t="s">
        <v>118</v>
      </c>
      <c r="N98" s="11" t="str">
        <f t="shared" si="1"/>
        <v>Competitive</v>
      </c>
      <c r="O98" s="6" t="s">
        <v>523</v>
      </c>
      <c r="P98" s="15">
        <v>1.0</v>
      </c>
      <c r="Q98" s="15">
        <v>4.0</v>
      </c>
      <c r="R98" s="15">
        <v>2.0</v>
      </c>
      <c r="S98" s="15">
        <v>1.0</v>
      </c>
      <c r="T98" s="15">
        <v>1.0</v>
      </c>
      <c r="U98" s="15">
        <v>4.0</v>
      </c>
      <c r="V98" s="11">
        <f>ROUND((P98*'Business Analysis'!$B$35+Q98*'Business Analysis'!$B$36+R98*'Business Analysis'!$B$37+S98*'Business Analysis'!$B$38+T98*'Business Analysis'!$B$39+U98*'Business Analysis'!$B$40)/5*100,0)</f>
        <v>39</v>
      </c>
      <c r="W98" s="11" t="str">
        <f t="shared" si="2"/>
        <v>Optional</v>
      </c>
      <c r="X98" s="12" t="s">
        <v>723</v>
      </c>
      <c r="Y98" s="11" t="s">
        <v>388</v>
      </c>
      <c r="Z98" s="6" t="s">
        <v>528</v>
      </c>
      <c r="AA98" s="11" t="s">
        <v>430</v>
      </c>
    </row>
    <row r="99" ht="15.75" customHeight="1">
      <c r="A99" s="30" t="s">
        <v>978</v>
      </c>
      <c r="B99" s="30" t="s">
        <v>209</v>
      </c>
      <c r="C99" s="8" t="s">
        <v>466</v>
      </c>
      <c r="D99" s="8" t="s">
        <v>215</v>
      </c>
      <c r="E99" s="20" t="s">
        <v>209</v>
      </c>
      <c r="F99" s="20" t="s">
        <v>210</v>
      </c>
      <c r="G99" s="20" t="s">
        <v>191</v>
      </c>
      <c r="H99" s="31">
        <v>8100.0</v>
      </c>
      <c r="I99" s="30" t="s">
        <v>107</v>
      </c>
      <c r="J99" s="32">
        <v>46.0</v>
      </c>
      <c r="K99" s="30" t="s">
        <v>112</v>
      </c>
      <c r="L99" s="33">
        <v>2.2</v>
      </c>
      <c r="M99" s="30" t="s">
        <v>118</v>
      </c>
      <c r="N99" s="20" t="str">
        <f t="shared" si="1"/>
        <v>Competitive</v>
      </c>
      <c r="O99" s="8" t="s">
        <v>523</v>
      </c>
      <c r="P99" s="32">
        <v>1.0</v>
      </c>
      <c r="Q99" s="32">
        <v>4.0</v>
      </c>
      <c r="R99" s="32">
        <v>2.0</v>
      </c>
      <c r="S99" s="32">
        <v>1.0</v>
      </c>
      <c r="T99" s="32">
        <v>1.0</v>
      </c>
      <c r="U99" s="32">
        <v>4.0</v>
      </c>
      <c r="V99" s="20">
        <f>ROUND((P99*'Business Analysis'!$B$35+Q99*'Business Analysis'!$B$36+R99*'Business Analysis'!$B$37+S99*'Business Analysis'!$B$38+T99*'Business Analysis'!$B$39+U99*'Business Analysis'!$B$40)/5*100,0)</f>
        <v>39</v>
      </c>
      <c r="W99" s="20" t="str">
        <f t="shared" si="2"/>
        <v>Optional</v>
      </c>
      <c r="X99" s="30" t="s">
        <v>723</v>
      </c>
      <c r="Y99" s="20" t="s">
        <v>388</v>
      </c>
      <c r="Z99" s="8" t="s">
        <v>528</v>
      </c>
      <c r="AA99" s="20" t="s">
        <v>430</v>
      </c>
    </row>
    <row r="100" ht="15.75" customHeight="1">
      <c r="A100" s="12" t="s">
        <v>726</v>
      </c>
      <c r="B100" s="12" t="s">
        <v>530</v>
      </c>
      <c r="C100" s="6" t="s">
        <v>466</v>
      </c>
      <c r="D100" s="6" t="s">
        <v>215</v>
      </c>
      <c r="E100" s="11" t="s">
        <v>209</v>
      </c>
      <c r="F100" s="11" t="s">
        <v>210</v>
      </c>
      <c r="G100" s="11" t="s">
        <v>98</v>
      </c>
      <c r="H100" s="14">
        <v>6600.0</v>
      </c>
      <c r="I100" s="12" t="s">
        <v>107</v>
      </c>
      <c r="J100" s="15">
        <v>38.0</v>
      </c>
      <c r="K100" s="12" t="s">
        <v>112</v>
      </c>
      <c r="L100" s="16">
        <v>2.6</v>
      </c>
      <c r="M100" s="12" t="s">
        <v>118</v>
      </c>
      <c r="N100" s="11" t="str">
        <f t="shared" si="1"/>
        <v>Moderate</v>
      </c>
      <c r="O100" s="6" t="s">
        <v>523</v>
      </c>
      <c r="P100" s="15">
        <v>1.0</v>
      </c>
      <c r="Q100" s="15">
        <v>4.0</v>
      </c>
      <c r="R100" s="15">
        <v>2.0</v>
      </c>
      <c r="S100" s="15">
        <v>2.0</v>
      </c>
      <c r="T100" s="15">
        <v>1.0</v>
      </c>
      <c r="U100" s="15">
        <v>4.0</v>
      </c>
      <c r="V100" s="11">
        <f>ROUND((P100*'Business Analysis'!$B$35+Q100*'Business Analysis'!$B$36+R100*'Business Analysis'!$B$37+S100*'Business Analysis'!$B$38+T100*'Business Analysis'!$B$39+U100*'Business Analysis'!$B$40)/5*100,0)</f>
        <v>42</v>
      </c>
      <c r="W100" s="11" t="str">
        <f t="shared" si="2"/>
        <v>Low</v>
      </c>
      <c r="X100" s="12" t="s">
        <v>725</v>
      </c>
      <c r="Y100" s="11" t="s">
        <v>388</v>
      </c>
      <c r="Z100" s="6" t="s">
        <v>528</v>
      </c>
      <c r="AA100" s="11" t="s">
        <v>430</v>
      </c>
    </row>
    <row r="101" ht="15.75" customHeight="1">
      <c r="A101" s="30" t="s">
        <v>981</v>
      </c>
      <c r="B101" s="30" t="s">
        <v>714</v>
      </c>
      <c r="C101" s="8" t="s">
        <v>466</v>
      </c>
      <c r="D101" s="8" t="s">
        <v>215</v>
      </c>
      <c r="E101" s="20" t="s">
        <v>130</v>
      </c>
      <c r="F101" s="20" t="s">
        <v>131</v>
      </c>
      <c r="G101" s="20" t="s">
        <v>191</v>
      </c>
      <c r="H101" s="31">
        <v>1300.0</v>
      </c>
      <c r="I101" s="30" t="s">
        <v>107</v>
      </c>
      <c r="J101" s="32">
        <v>30.0</v>
      </c>
      <c r="K101" s="30" t="s">
        <v>112</v>
      </c>
      <c r="L101" s="33">
        <v>3.4</v>
      </c>
      <c r="M101" s="30" t="s">
        <v>118</v>
      </c>
      <c r="N101" s="20" t="str">
        <f t="shared" si="1"/>
        <v>Moderate</v>
      </c>
      <c r="O101" s="8" t="s">
        <v>420</v>
      </c>
      <c r="P101" s="32">
        <v>2.0</v>
      </c>
      <c r="Q101" s="32">
        <v>3.0</v>
      </c>
      <c r="R101" s="32">
        <v>3.0</v>
      </c>
      <c r="S101" s="32">
        <v>3.0</v>
      </c>
      <c r="T101" s="32">
        <v>2.0</v>
      </c>
      <c r="U101" s="32">
        <v>4.0</v>
      </c>
      <c r="V101" s="20">
        <f>ROUND((P101*'Business Analysis'!$B$35+Q101*'Business Analysis'!$B$36+R101*'Business Analysis'!$B$37+S101*'Business Analysis'!$B$38+T101*'Business Analysis'!$B$39+U101*'Business Analysis'!$B$40)/5*100,0)</f>
        <v>54</v>
      </c>
      <c r="W101" s="20" t="str">
        <f t="shared" si="2"/>
        <v>Low</v>
      </c>
      <c r="X101" s="30" t="s">
        <v>723</v>
      </c>
      <c r="Y101" s="20" t="s">
        <v>388</v>
      </c>
      <c r="Z101" s="8" t="s">
        <v>507</v>
      </c>
      <c r="AA101" s="20" t="s">
        <v>430</v>
      </c>
    </row>
    <row r="102" ht="15.75" customHeight="1">
      <c r="A102" s="12" t="s">
        <v>983</v>
      </c>
      <c r="B102" s="12" t="s">
        <v>714</v>
      </c>
      <c r="C102" s="6" t="s">
        <v>466</v>
      </c>
      <c r="D102" s="6" t="s">
        <v>215</v>
      </c>
      <c r="E102" s="11" t="s">
        <v>130</v>
      </c>
      <c r="F102" s="11" t="s">
        <v>131</v>
      </c>
      <c r="G102" s="11" t="s">
        <v>191</v>
      </c>
      <c r="H102" s="14">
        <v>2900.0</v>
      </c>
      <c r="I102" s="12" t="s">
        <v>107</v>
      </c>
      <c r="J102" s="15">
        <v>36.0</v>
      </c>
      <c r="K102" s="12" t="s">
        <v>112</v>
      </c>
      <c r="L102" s="16">
        <v>3.8</v>
      </c>
      <c r="M102" s="12" t="s">
        <v>118</v>
      </c>
      <c r="N102" s="11" t="str">
        <f t="shared" si="1"/>
        <v>Moderate</v>
      </c>
      <c r="O102" s="6" t="s">
        <v>420</v>
      </c>
      <c r="P102" s="15">
        <v>2.0</v>
      </c>
      <c r="Q102" s="15">
        <v>3.0</v>
      </c>
      <c r="R102" s="15">
        <v>2.0</v>
      </c>
      <c r="S102" s="15">
        <v>3.0</v>
      </c>
      <c r="T102" s="15">
        <v>2.0</v>
      </c>
      <c r="U102" s="15">
        <v>4.0</v>
      </c>
      <c r="V102" s="11">
        <f>ROUND((P102*'Business Analysis'!$B$35+Q102*'Business Analysis'!$B$36+R102*'Business Analysis'!$B$37+S102*'Business Analysis'!$B$38+T102*'Business Analysis'!$B$39+U102*'Business Analysis'!$B$40)/5*100,0)</f>
        <v>50</v>
      </c>
      <c r="W102" s="11" t="str">
        <f t="shared" si="2"/>
        <v>Low</v>
      </c>
      <c r="X102" s="12" t="s">
        <v>723</v>
      </c>
      <c r="Y102" s="11" t="s">
        <v>388</v>
      </c>
      <c r="Z102" s="6" t="s">
        <v>507</v>
      </c>
      <c r="AA102" s="11" t="s">
        <v>430</v>
      </c>
    </row>
    <row r="103" ht="15.75" customHeight="1">
      <c r="A103" s="30" t="s">
        <v>222</v>
      </c>
      <c r="B103" s="30" t="s">
        <v>87</v>
      </c>
      <c r="C103" s="8" t="s">
        <v>466</v>
      </c>
      <c r="D103" s="8" t="s">
        <v>221</v>
      </c>
      <c r="E103" s="20" t="s">
        <v>29</v>
      </c>
      <c r="F103" s="20" t="s">
        <v>31</v>
      </c>
      <c r="G103" s="20" t="s">
        <v>98</v>
      </c>
      <c r="H103" s="31">
        <v>50.0</v>
      </c>
      <c r="I103" s="30" t="s">
        <v>107</v>
      </c>
      <c r="J103" s="32">
        <v>16.0</v>
      </c>
      <c r="K103" s="30" t="s">
        <v>112</v>
      </c>
      <c r="L103" s="33">
        <v>8.8</v>
      </c>
      <c r="M103" s="30" t="s">
        <v>118</v>
      </c>
      <c r="N103" s="20" t="str">
        <f t="shared" si="1"/>
        <v>Easy</v>
      </c>
      <c r="O103" s="8" t="s">
        <v>142</v>
      </c>
      <c r="P103" s="32">
        <v>4.0</v>
      </c>
      <c r="Q103" s="32">
        <v>3.0</v>
      </c>
      <c r="R103" s="32">
        <v>4.0</v>
      </c>
      <c r="S103" s="32">
        <v>5.0</v>
      </c>
      <c r="T103" s="32">
        <v>5.0</v>
      </c>
      <c r="U103" s="32">
        <v>4.0</v>
      </c>
      <c r="V103" s="20">
        <f>ROUND((P103*'Business Analysis'!$B$35+Q103*'Business Analysis'!$B$36+R103*'Business Analysis'!$B$37+S103*'Business Analysis'!$B$38+T103*'Business Analysis'!$B$39+U103*'Business Analysis'!$B$40)/5*100,0)</f>
        <v>83</v>
      </c>
      <c r="W103" s="20" t="str">
        <f t="shared" si="2"/>
        <v>High</v>
      </c>
      <c r="X103" s="30" t="s">
        <v>531</v>
      </c>
      <c r="Y103" s="20" t="s">
        <v>388</v>
      </c>
      <c r="Z103" s="8" t="s">
        <v>213</v>
      </c>
      <c r="AA103" s="20" t="s">
        <v>183</v>
      </c>
    </row>
    <row r="104" ht="15.75" customHeight="1">
      <c r="A104" s="12" t="s">
        <v>986</v>
      </c>
      <c r="B104" s="12" t="s">
        <v>844</v>
      </c>
      <c r="C104" s="6" t="s">
        <v>466</v>
      </c>
      <c r="D104" s="6" t="s">
        <v>221</v>
      </c>
      <c r="E104" s="11" t="s">
        <v>29</v>
      </c>
      <c r="F104" s="11" t="s">
        <v>31</v>
      </c>
      <c r="G104" s="11" t="s">
        <v>191</v>
      </c>
      <c r="H104" s="14">
        <v>20.0</v>
      </c>
      <c r="I104" s="12" t="s">
        <v>107</v>
      </c>
      <c r="J104" s="15">
        <v>12.0</v>
      </c>
      <c r="K104" s="12" t="s">
        <v>112</v>
      </c>
      <c r="L104" s="16">
        <v>7.9</v>
      </c>
      <c r="M104" s="12" t="s">
        <v>118</v>
      </c>
      <c r="N104" s="11" t="str">
        <f t="shared" si="1"/>
        <v>Easy</v>
      </c>
      <c r="O104" s="6" t="s">
        <v>142</v>
      </c>
      <c r="P104" s="15">
        <v>4.0</v>
      </c>
      <c r="Q104" s="15">
        <v>2.0</v>
      </c>
      <c r="R104" s="15">
        <v>5.0</v>
      </c>
      <c r="S104" s="15">
        <v>5.0</v>
      </c>
      <c r="T104" s="15">
        <v>5.0</v>
      </c>
      <c r="U104" s="15">
        <v>4.0</v>
      </c>
      <c r="V104" s="11">
        <f>ROUND((P104*'Business Analysis'!$B$35+Q104*'Business Analysis'!$B$36+R104*'Business Analysis'!$B$37+S104*'Business Analysis'!$B$38+T104*'Business Analysis'!$B$39+U104*'Business Analysis'!$B$40)/5*100,0)</f>
        <v>84</v>
      </c>
      <c r="W104" s="11" t="str">
        <f t="shared" si="2"/>
        <v>High</v>
      </c>
      <c r="X104" s="12" t="s">
        <v>531</v>
      </c>
      <c r="Y104" s="11" t="s">
        <v>388</v>
      </c>
      <c r="Z104" s="6" t="s">
        <v>213</v>
      </c>
      <c r="AA104" s="11" t="s">
        <v>183</v>
      </c>
    </row>
    <row r="105" ht="15.75" customHeight="1">
      <c r="A105" s="30" t="s">
        <v>988</v>
      </c>
      <c r="B105" s="30" t="s">
        <v>29</v>
      </c>
      <c r="C105" s="8" t="s">
        <v>466</v>
      </c>
      <c r="D105" s="8" t="s">
        <v>221</v>
      </c>
      <c r="E105" s="20" t="s">
        <v>29</v>
      </c>
      <c r="F105" s="20" t="s">
        <v>31</v>
      </c>
      <c r="G105" s="20" t="s">
        <v>191</v>
      </c>
      <c r="H105" s="31">
        <v>5400.0</v>
      </c>
      <c r="I105" s="30" t="s">
        <v>107</v>
      </c>
      <c r="J105" s="32">
        <v>56.0</v>
      </c>
      <c r="K105" s="30" t="s">
        <v>112</v>
      </c>
      <c r="L105" s="33">
        <v>9.1</v>
      </c>
      <c r="M105" s="30" t="s">
        <v>118</v>
      </c>
      <c r="N105" s="20" t="str">
        <f t="shared" si="1"/>
        <v>Competitive</v>
      </c>
      <c r="O105" s="8" t="s">
        <v>420</v>
      </c>
      <c r="P105" s="32">
        <v>2.0</v>
      </c>
      <c r="Q105" s="32">
        <v>4.0</v>
      </c>
      <c r="R105" s="32">
        <v>1.0</v>
      </c>
      <c r="S105" s="32">
        <v>5.0</v>
      </c>
      <c r="T105" s="32">
        <v>3.0</v>
      </c>
      <c r="U105" s="32">
        <v>4.0</v>
      </c>
      <c r="V105" s="20">
        <f>ROUND((P105*'Business Analysis'!$B$35+Q105*'Business Analysis'!$B$36+R105*'Business Analysis'!$B$37+S105*'Business Analysis'!$B$38+T105*'Business Analysis'!$B$39+U105*'Business Analysis'!$B$40)/5*100,0)</f>
        <v>58</v>
      </c>
      <c r="W105" s="20" t="str">
        <f t="shared" si="2"/>
        <v>Low</v>
      </c>
      <c r="X105" s="30" t="s">
        <v>531</v>
      </c>
      <c r="Y105" s="20" t="s">
        <v>388</v>
      </c>
      <c r="Z105" s="8" t="s">
        <v>428</v>
      </c>
      <c r="AA105" s="20" t="s">
        <v>430</v>
      </c>
    </row>
    <row r="106" ht="15.75" customHeight="1">
      <c r="A106" s="12" t="s">
        <v>989</v>
      </c>
      <c r="B106" s="12" t="s">
        <v>130</v>
      </c>
      <c r="C106" s="6" t="s">
        <v>466</v>
      </c>
      <c r="D106" s="6" t="s">
        <v>221</v>
      </c>
      <c r="E106" s="11" t="s">
        <v>130</v>
      </c>
      <c r="F106" s="11" t="s">
        <v>131</v>
      </c>
      <c r="G106" s="11" t="s">
        <v>191</v>
      </c>
      <c r="H106" s="14">
        <v>14800.0</v>
      </c>
      <c r="I106" s="12" t="s">
        <v>107</v>
      </c>
      <c r="J106" s="15">
        <v>55.0</v>
      </c>
      <c r="K106" s="12" t="s">
        <v>112</v>
      </c>
      <c r="L106" s="16">
        <v>6.7</v>
      </c>
      <c r="M106" s="12" t="s">
        <v>118</v>
      </c>
      <c r="N106" s="11" t="str">
        <f t="shared" si="1"/>
        <v>Competitive</v>
      </c>
      <c r="O106" s="6" t="s">
        <v>420</v>
      </c>
      <c r="P106" s="15">
        <v>2.0</v>
      </c>
      <c r="Q106" s="15">
        <v>5.0</v>
      </c>
      <c r="R106" s="15">
        <v>1.0</v>
      </c>
      <c r="S106" s="15">
        <v>3.0</v>
      </c>
      <c r="T106" s="15">
        <v>2.0</v>
      </c>
      <c r="U106" s="15">
        <v>4.0</v>
      </c>
      <c r="V106" s="11">
        <f>ROUND((P106*'Business Analysis'!$B$35+Q106*'Business Analysis'!$B$36+R106*'Business Analysis'!$B$37+S106*'Business Analysis'!$B$38+T106*'Business Analysis'!$B$39+U106*'Business Analysis'!$B$40)/5*100,0)</f>
        <v>52</v>
      </c>
      <c r="W106" s="11" t="str">
        <f t="shared" si="2"/>
        <v>Low</v>
      </c>
      <c r="X106" s="12" t="s">
        <v>531</v>
      </c>
      <c r="Y106" s="11" t="s">
        <v>388</v>
      </c>
      <c r="Z106" s="6" t="s">
        <v>507</v>
      </c>
      <c r="AA106" s="11" t="s">
        <v>430</v>
      </c>
    </row>
    <row r="107" ht="15.75" customHeight="1">
      <c r="A107" s="30" t="s">
        <v>990</v>
      </c>
      <c r="B107" s="30" t="s">
        <v>130</v>
      </c>
      <c r="C107" s="8" t="s">
        <v>466</v>
      </c>
      <c r="D107" s="8" t="s">
        <v>221</v>
      </c>
      <c r="E107" s="20" t="s">
        <v>130</v>
      </c>
      <c r="F107" s="20" t="s">
        <v>131</v>
      </c>
      <c r="G107" s="20" t="s">
        <v>191</v>
      </c>
      <c r="H107" s="31">
        <v>12100.0</v>
      </c>
      <c r="I107" s="30" t="s">
        <v>107</v>
      </c>
      <c r="J107" s="32">
        <v>53.0</v>
      </c>
      <c r="K107" s="30" t="s">
        <v>112</v>
      </c>
      <c r="L107" s="33">
        <v>6.5</v>
      </c>
      <c r="M107" s="30" t="s">
        <v>118</v>
      </c>
      <c r="N107" s="20" t="str">
        <f t="shared" si="1"/>
        <v>Competitive</v>
      </c>
      <c r="O107" s="8" t="s">
        <v>420</v>
      </c>
      <c r="P107" s="32">
        <v>2.0</v>
      </c>
      <c r="Q107" s="32">
        <v>5.0</v>
      </c>
      <c r="R107" s="32">
        <v>1.0</v>
      </c>
      <c r="S107" s="32">
        <v>3.0</v>
      </c>
      <c r="T107" s="32">
        <v>2.0</v>
      </c>
      <c r="U107" s="32">
        <v>4.0</v>
      </c>
      <c r="V107" s="20">
        <f>ROUND((P107*'Business Analysis'!$B$35+Q107*'Business Analysis'!$B$36+R107*'Business Analysis'!$B$37+S107*'Business Analysis'!$B$38+T107*'Business Analysis'!$B$39+U107*'Business Analysis'!$B$40)/5*100,0)</f>
        <v>52</v>
      </c>
      <c r="W107" s="20" t="str">
        <f t="shared" si="2"/>
        <v>Low</v>
      </c>
      <c r="X107" s="30" t="s">
        <v>531</v>
      </c>
      <c r="Y107" s="20" t="s">
        <v>388</v>
      </c>
      <c r="Z107" s="8" t="s">
        <v>507</v>
      </c>
      <c r="AA107" s="20" t="s">
        <v>430</v>
      </c>
    </row>
    <row r="108" ht="15.75" customHeight="1">
      <c r="A108" s="12" t="s">
        <v>991</v>
      </c>
      <c r="B108" s="12" t="s">
        <v>209</v>
      </c>
      <c r="C108" s="6" t="s">
        <v>466</v>
      </c>
      <c r="D108" s="6" t="s">
        <v>221</v>
      </c>
      <c r="E108" s="11" t="s">
        <v>209</v>
      </c>
      <c r="F108" s="11" t="s">
        <v>210</v>
      </c>
      <c r="G108" s="11" t="s">
        <v>191</v>
      </c>
      <c r="H108" s="14">
        <v>5400.0</v>
      </c>
      <c r="I108" s="12" t="s">
        <v>107</v>
      </c>
      <c r="J108" s="15">
        <v>41.0</v>
      </c>
      <c r="K108" s="12" t="s">
        <v>112</v>
      </c>
      <c r="L108" s="16">
        <v>2.3</v>
      </c>
      <c r="M108" s="12" t="s">
        <v>118</v>
      </c>
      <c r="N108" s="11" t="str">
        <f t="shared" si="1"/>
        <v>Competitive</v>
      </c>
      <c r="O108" s="6" t="s">
        <v>523</v>
      </c>
      <c r="P108" s="15">
        <v>1.0</v>
      </c>
      <c r="Q108" s="15">
        <v>4.0</v>
      </c>
      <c r="R108" s="15">
        <v>2.0</v>
      </c>
      <c r="S108" s="15">
        <v>1.0</v>
      </c>
      <c r="T108" s="15">
        <v>1.0</v>
      </c>
      <c r="U108" s="15">
        <v>4.0</v>
      </c>
      <c r="V108" s="11">
        <f>ROUND((P108*'Business Analysis'!$B$35+Q108*'Business Analysis'!$B$36+R108*'Business Analysis'!$B$37+S108*'Business Analysis'!$B$38+T108*'Business Analysis'!$B$39+U108*'Business Analysis'!$B$40)/5*100,0)</f>
        <v>39</v>
      </c>
      <c r="W108" s="11" t="str">
        <f t="shared" si="2"/>
        <v>Optional</v>
      </c>
      <c r="X108" s="12" t="s">
        <v>531</v>
      </c>
      <c r="Y108" s="11" t="s">
        <v>388</v>
      </c>
      <c r="Z108" s="6" t="s">
        <v>528</v>
      </c>
      <c r="AA108" s="11" t="s">
        <v>430</v>
      </c>
    </row>
    <row r="109" ht="15.75" customHeight="1">
      <c r="A109" s="30" t="s">
        <v>728</v>
      </c>
      <c r="B109" s="30" t="s">
        <v>714</v>
      </c>
      <c r="C109" s="8" t="s">
        <v>466</v>
      </c>
      <c r="D109" s="8" t="s">
        <v>221</v>
      </c>
      <c r="E109" s="20" t="s">
        <v>130</v>
      </c>
      <c r="F109" s="20" t="s">
        <v>131</v>
      </c>
      <c r="G109" s="20" t="s">
        <v>98</v>
      </c>
      <c r="H109" s="31">
        <v>4400.0</v>
      </c>
      <c r="I109" s="30" t="s">
        <v>107</v>
      </c>
      <c r="J109" s="32">
        <v>45.0</v>
      </c>
      <c r="K109" s="30" t="s">
        <v>112</v>
      </c>
      <c r="L109" s="33">
        <v>5.2</v>
      </c>
      <c r="M109" s="30" t="s">
        <v>118</v>
      </c>
      <c r="N109" s="20" t="str">
        <f t="shared" si="1"/>
        <v>Competitive</v>
      </c>
      <c r="O109" s="8" t="s">
        <v>420</v>
      </c>
      <c r="P109" s="32">
        <v>2.0</v>
      </c>
      <c r="Q109" s="32">
        <v>4.0</v>
      </c>
      <c r="R109" s="32">
        <v>2.0</v>
      </c>
      <c r="S109" s="32">
        <v>3.0</v>
      </c>
      <c r="T109" s="32">
        <v>2.0</v>
      </c>
      <c r="U109" s="32">
        <v>4.0</v>
      </c>
      <c r="V109" s="20">
        <f>ROUND((P109*'Business Analysis'!$B$35+Q109*'Business Analysis'!$B$36+R109*'Business Analysis'!$B$37+S109*'Business Analysis'!$B$38+T109*'Business Analysis'!$B$39+U109*'Business Analysis'!$B$40)/5*100,0)</f>
        <v>53</v>
      </c>
      <c r="W109" s="20" t="str">
        <f t="shared" si="2"/>
        <v>Low</v>
      </c>
      <c r="X109" s="30" t="s">
        <v>727</v>
      </c>
      <c r="Y109" s="20" t="s">
        <v>388</v>
      </c>
      <c r="Z109" s="8" t="s">
        <v>507</v>
      </c>
      <c r="AA109" s="20" t="s">
        <v>430</v>
      </c>
    </row>
    <row r="110" ht="15.75" customHeight="1">
      <c r="A110" s="12" t="s">
        <v>993</v>
      </c>
      <c r="B110" s="12" t="s">
        <v>714</v>
      </c>
      <c r="C110" s="6" t="s">
        <v>466</v>
      </c>
      <c r="D110" s="6" t="s">
        <v>221</v>
      </c>
      <c r="E110" s="11" t="s">
        <v>130</v>
      </c>
      <c r="F110" s="11" t="s">
        <v>131</v>
      </c>
      <c r="G110" s="11" t="s">
        <v>191</v>
      </c>
      <c r="H110" s="14">
        <v>590.0</v>
      </c>
      <c r="I110" s="12" t="s">
        <v>107</v>
      </c>
      <c r="J110" s="15">
        <v>27.0</v>
      </c>
      <c r="K110" s="12" t="s">
        <v>112</v>
      </c>
      <c r="L110" s="16">
        <v>3.6</v>
      </c>
      <c r="M110" s="12" t="s">
        <v>118</v>
      </c>
      <c r="N110" s="11" t="str">
        <f t="shared" si="1"/>
        <v>Moderate</v>
      </c>
      <c r="O110" s="6" t="s">
        <v>420</v>
      </c>
      <c r="P110" s="15">
        <v>2.0</v>
      </c>
      <c r="Q110" s="15">
        <v>2.0</v>
      </c>
      <c r="R110" s="15">
        <v>3.0</v>
      </c>
      <c r="S110" s="15">
        <v>3.0</v>
      </c>
      <c r="T110" s="15">
        <v>2.0</v>
      </c>
      <c r="U110" s="15">
        <v>4.0</v>
      </c>
      <c r="V110" s="11">
        <f>ROUND((P110*'Business Analysis'!$B$35+Q110*'Business Analysis'!$B$36+R110*'Business Analysis'!$B$37+S110*'Business Analysis'!$B$38+T110*'Business Analysis'!$B$39+U110*'Business Analysis'!$B$40)/5*100,0)</f>
        <v>51</v>
      </c>
      <c r="W110" s="11" t="str">
        <f t="shared" si="2"/>
        <v>Low</v>
      </c>
      <c r="X110" s="12" t="s">
        <v>727</v>
      </c>
      <c r="Y110" s="11" t="s">
        <v>388</v>
      </c>
      <c r="Z110" s="6" t="s">
        <v>507</v>
      </c>
      <c r="AA110" s="11" t="s">
        <v>430</v>
      </c>
    </row>
    <row r="111" ht="15.75" customHeight="1">
      <c r="A111" s="30" t="s">
        <v>994</v>
      </c>
      <c r="B111" s="30" t="s">
        <v>844</v>
      </c>
      <c r="C111" s="8" t="s">
        <v>466</v>
      </c>
      <c r="D111" s="8" t="s">
        <v>221</v>
      </c>
      <c r="E111" s="20" t="s">
        <v>209</v>
      </c>
      <c r="F111" s="20" t="s">
        <v>131</v>
      </c>
      <c r="G111" s="20" t="s">
        <v>191</v>
      </c>
      <c r="H111" s="31">
        <v>2400.0</v>
      </c>
      <c r="I111" s="30" t="s">
        <v>107</v>
      </c>
      <c r="J111" s="32">
        <v>38.0</v>
      </c>
      <c r="K111" s="30" t="s">
        <v>112</v>
      </c>
      <c r="L111" s="33">
        <v>4.2</v>
      </c>
      <c r="M111" s="30" t="s">
        <v>118</v>
      </c>
      <c r="N111" s="20" t="str">
        <f t="shared" si="1"/>
        <v>Moderate</v>
      </c>
      <c r="O111" s="8" t="s">
        <v>523</v>
      </c>
      <c r="P111" s="32">
        <v>1.0</v>
      </c>
      <c r="Q111" s="32">
        <v>3.0</v>
      </c>
      <c r="R111" s="32">
        <v>2.0</v>
      </c>
      <c r="S111" s="32">
        <v>1.0</v>
      </c>
      <c r="T111" s="32">
        <v>1.0</v>
      </c>
      <c r="U111" s="32">
        <v>4.0</v>
      </c>
      <c r="V111" s="20">
        <f>ROUND((P111*'Business Analysis'!$B$35+Q111*'Business Analysis'!$B$36+R111*'Business Analysis'!$B$37+S111*'Business Analysis'!$B$38+T111*'Business Analysis'!$B$39+U111*'Business Analysis'!$B$40)/5*100,0)</f>
        <v>36</v>
      </c>
      <c r="W111" s="20" t="str">
        <f t="shared" si="2"/>
        <v>Optional</v>
      </c>
      <c r="X111" s="30" t="s">
        <v>727</v>
      </c>
      <c r="Y111" s="20" t="s">
        <v>388</v>
      </c>
      <c r="Z111" s="8" t="s">
        <v>528</v>
      </c>
      <c r="AA111" s="20" t="s">
        <v>430</v>
      </c>
    </row>
    <row r="112" ht="15.75" customHeight="1">
      <c r="A112" s="12" t="s">
        <v>229</v>
      </c>
      <c r="B112" s="12" t="s">
        <v>87</v>
      </c>
      <c r="C112" s="6" t="s">
        <v>466</v>
      </c>
      <c r="D112" s="6" t="s">
        <v>228</v>
      </c>
      <c r="E112" s="11" t="s">
        <v>29</v>
      </c>
      <c r="F112" s="11" t="s">
        <v>31</v>
      </c>
      <c r="G112" s="11" t="s">
        <v>98</v>
      </c>
      <c r="H112" s="14">
        <v>110.0</v>
      </c>
      <c r="I112" s="12" t="s">
        <v>107</v>
      </c>
      <c r="J112" s="15">
        <v>22.0</v>
      </c>
      <c r="K112" s="12" t="s">
        <v>112</v>
      </c>
      <c r="L112" s="16">
        <v>10.4</v>
      </c>
      <c r="M112" s="12" t="s">
        <v>118</v>
      </c>
      <c r="N112" s="11" t="str">
        <f t="shared" si="1"/>
        <v>Moderate</v>
      </c>
      <c r="O112" s="6" t="s">
        <v>142</v>
      </c>
      <c r="P112" s="15">
        <v>4.0</v>
      </c>
      <c r="Q112" s="15">
        <v>3.0</v>
      </c>
      <c r="R112" s="15">
        <v>4.0</v>
      </c>
      <c r="S112" s="15">
        <v>5.0</v>
      </c>
      <c r="T112" s="15">
        <v>5.0</v>
      </c>
      <c r="U112" s="15">
        <v>4.0</v>
      </c>
      <c r="V112" s="11">
        <f>ROUND((P112*'Business Analysis'!$B$35+Q112*'Business Analysis'!$B$36+R112*'Business Analysis'!$B$37+S112*'Business Analysis'!$B$38+T112*'Business Analysis'!$B$39+U112*'Business Analysis'!$B$40)/5*100,0)</f>
        <v>83</v>
      </c>
      <c r="W112" s="11" t="str">
        <f t="shared" si="2"/>
        <v>High</v>
      </c>
      <c r="X112" s="12" t="s">
        <v>535</v>
      </c>
      <c r="Y112" s="11" t="s">
        <v>388</v>
      </c>
      <c r="Z112" s="6" t="s">
        <v>213</v>
      </c>
      <c r="AA112" s="11" t="s">
        <v>183</v>
      </c>
    </row>
    <row r="113" ht="15.75" customHeight="1">
      <c r="A113" s="30" t="s">
        <v>995</v>
      </c>
      <c r="B113" s="30" t="s">
        <v>87</v>
      </c>
      <c r="C113" s="8" t="s">
        <v>466</v>
      </c>
      <c r="D113" s="8" t="s">
        <v>228</v>
      </c>
      <c r="E113" s="20" t="s">
        <v>29</v>
      </c>
      <c r="F113" s="20" t="s">
        <v>31</v>
      </c>
      <c r="G113" s="20" t="s">
        <v>191</v>
      </c>
      <c r="H113" s="31">
        <v>70.0</v>
      </c>
      <c r="I113" s="30" t="s">
        <v>107</v>
      </c>
      <c r="J113" s="32">
        <v>20.0</v>
      </c>
      <c r="K113" s="30" t="s">
        <v>112</v>
      </c>
      <c r="L113" s="33">
        <v>10.1</v>
      </c>
      <c r="M113" s="30" t="s">
        <v>118</v>
      </c>
      <c r="N113" s="20" t="str">
        <f t="shared" si="1"/>
        <v>Easy</v>
      </c>
      <c r="O113" s="8" t="s">
        <v>142</v>
      </c>
      <c r="P113" s="32">
        <v>4.0</v>
      </c>
      <c r="Q113" s="32">
        <v>3.0</v>
      </c>
      <c r="R113" s="32">
        <v>4.0</v>
      </c>
      <c r="S113" s="32">
        <v>5.0</v>
      </c>
      <c r="T113" s="32">
        <v>5.0</v>
      </c>
      <c r="U113" s="32">
        <v>4.0</v>
      </c>
      <c r="V113" s="20">
        <f>ROUND((P113*'Business Analysis'!$B$35+Q113*'Business Analysis'!$B$36+R113*'Business Analysis'!$B$37+S113*'Business Analysis'!$B$38+T113*'Business Analysis'!$B$39+U113*'Business Analysis'!$B$40)/5*100,0)</f>
        <v>83</v>
      </c>
      <c r="W113" s="20" t="str">
        <f t="shared" si="2"/>
        <v>High</v>
      </c>
      <c r="X113" s="30" t="s">
        <v>535</v>
      </c>
      <c r="Y113" s="20" t="s">
        <v>388</v>
      </c>
      <c r="Z113" s="8" t="s">
        <v>213</v>
      </c>
      <c r="AA113" s="20" t="s">
        <v>183</v>
      </c>
    </row>
    <row r="114" ht="15.75" customHeight="1">
      <c r="A114" s="12" t="s">
        <v>996</v>
      </c>
      <c r="B114" s="12" t="s">
        <v>29</v>
      </c>
      <c r="C114" s="6" t="s">
        <v>466</v>
      </c>
      <c r="D114" s="6" t="s">
        <v>228</v>
      </c>
      <c r="E114" s="11" t="s">
        <v>29</v>
      </c>
      <c r="F114" s="11" t="s">
        <v>31</v>
      </c>
      <c r="G114" s="11" t="s">
        <v>191</v>
      </c>
      <c r="H114" s="14">
        <v>40.0</v>
      </c>
      <c r="I114" s="12" t="s">
        <v>107</v>
      </c>
      <c r="J114" s="15">
        <v>15.0</v>
      </c>
      <c r="K114" s="12" t="s">
        <v>112</v>
      </c>
      <c r="L114" s="16">
        <v>10.8</v>
      </c>
      <c r="M114" s="12" t="s">
        <v>118</v>
      </c>
      <c r="N114" s="11" t="str">
        <f t="shared" si="1"/>
        <v>Easy</v>
      </c>
      <c r="O114" s="6" t="s">
        <v>142</v>
      </c>
      <c r="P114" s="15">
        <v>4.0</v>
      </c>
      <c r="Q114" s="15">
        <v>2.0</v>
      </c>
      <c r="R114" s="15">
        <v>5.0</v>
      </c>
      <c r="S114" s="15">
        <v>5.0</v>
      </c>
      <c r="T114" s="15">
        <v>5.0</v>
      </c>
      <c r="U114" s="15">
        <v>4.0</v>
      </c>
      <c r="V114" s="11">
        <f>ROUND((P114*'Business Analysis'!$B$35+Q114*'Business Analysis'!$B$36+R114*'Business Analysis'!$B$37+S114*'Business Analysis'!$B$38+T114*'Business Analysis'!$B$39+U114*'Business Analysis'!$B$40)/5*100,0)</f>
        <v>84</v>
      </c>
      <c r="W114" s="11" t="str">
        <f t="shared" si="2"/>
        <v>High</v>
      </c>
      <c r="X114" s="12" t="s">
        <v>535</v>
      </c>
      <c r="Y114" s="11" t="s">
        <v>388</v>
      </c>
      <c r="Z114" s="6" t="s">
        <v>213</v>
      </c>
      <c r="AA114" s="11" t="s">
        <v>183</v>
      </c>
    </row>
    <row r="115" ht="15.75" customHeight="1">
      <c r="A115" s="30" t="s">
        <v>997</v>
      </c>
      <c r="B115" s="30" t="s">
        <v>29</v>
      </c>
      <c r="C115" s="8" t="s">
        <v>466</v>
      </c>
      <c r="D115" s="8" t="s">
        <v>228</v>
      </c>
      <c r="E115" s="20" t="s">
        <v>29</v>
      </c>
      <c r="F115" s="20" t="s">
        <v>31</v>
      </c>
      <c r="G115" s="20" t="s">
        <v>191</v>
      </c>
      <c r="H115" s="31">
        <v>33100.0</v>
      </c>
      <c r="I115" s="30" t="s">
        <v>107</v>
      </c>
      <c r="J115" s="32">
        <v>64.0</v>
      </c>
      <c r="K115" s="30" t="s">
        <v>112</v>
      </c>
      <c r="L115" s="33">
        <v>11.1</v>
      </c>
      <c r="M115" s="30" t="s">
        <v>118</v>
      </c>
      <c r="N115" s="20" t="str">
        <f t="shared" si="1"/>
        <v>Competitive</v>
      </c>
      <c r="O115" s="8" t="s">
        <v>420</v>
      </c>
      <c r="P115" s="32">
        <v>2.0</v>
      </c>
      <c r="Q115" s="32">
        <v>5.0</v>
      </c>
      <c r="R115" s="32">
        <v>1.0</v>
      </c>
      <c r="S115" s="32">
        <v>5.0</v>
      </c>
      <c r="T115" s="32">
        <v>3.0</v>
      </c>
      <c r="U115" s="32">
        <v>4.0</v>
      </c>
      <c r="V115" s="20">
        <f>ROUND((P115*'Business Analysis'!$B$35+Q115*'Business Analysis'!$B$36+R115*'Business Analysis'!$B$37+S115*'Business Analysis'!$B$38+T115*'Business Analysis'!$B$39+U115*'Business Analysis'!$B$40)/5*100,0)</f>
        <v>61</v>
      </c>
      <c r="W115" s="20" t="str">
        <f t="shared" si="2"/>
        <v>Medium</v>
      </c>
      <c r="X115" s="30" t="s">
        <v>535</v>
      </c>
      <c r="Y115" s="20" t="s">
        <v>388</v>
      </c>
      <c r="Z115" s="8" t="s">
        <v>428</v>
      </c>
      <c r="AA115" s="20" t="s">
        <v>430</v>
      </c>
    </row>
    <row r="116" ht="15.75" customHeight="1">
      <c r="A116" s="12" t="s">
        <v>998</v>
      </c>
      <c r="B116" s="12" t="s">
        <v>130</v>
      </c>
      <c r="C116" s="6" t="s">
        <v>466</v>
      </c>
      <c r="D116" s="6" t="s">
        <v>228</v>
      </c>
      <c r="E116" s="11" t="s">
        <v>130</v>
      </c>
      <c r="F116" s="11" t="s">
        <v>131</v>
      </c>
      <c r="G116" s="11" t="s">
        <v>191</v>
      </c>
      <c r="H116" s="14">
        <v>49500.0</v>
      </c>
      <c r="I116" s="12" t="s">
        <v>107</v>
      </c>
      <c r="J116" s="15">
        <v>66.0</v>
      </c>
      <c r="K116" s="12" t="s">
        <v>112</v>
      </c>
      <c r="L116" s="16">
        <v>8.2</v>
      </c>
      <c r="M116" s="12" t="s">
        <v>118</v>
      </c>
      <c r="N116" s="11" t="str">
        <f t="shared" si="1"/>
        <v>Competitive</v>
      </c>
      <c r="O116" s="6" t="s">
        <v>420</v>
      </c>
      <c r="P116" s="15">
        <v>2.0</v>
      </c>
      <c r="Q116" s="15">
        <v>5.0</v>
      </c>
      <c r="R116" s="15">
        <v>1.0</v>
      </c>
      <c r="S116" s="15">
        <v>3.0</v>
      </c>
      <c r="T116" s="15">
        <v>2.0</v>
      </c>
      <c r="U116" s="15">
        <v>4.0</v>
      </c>
      <c r="V116" s="11">
        <f>ROUND((P116*'Business Analysis'!$B$35+Q116*'Business Analysis'!$B$36+R116*'Business Analysis'!$B$37+S116*'Business Analysis'!$B$38+T116*'Business Analysis'!$B$39+U116*'Business Analysis'!$B$40)/5*100,0)</f>
        <v>52</v>
      </c>
      <c r="W116" s="11" t="str">
        <f t="shared" si="2"/>
        <v>Low</v>
      </c>
      <c r="X116" s="12" t="s">
        <v>535</v>
      </c>
      <c r="Y116" s="11" t="s">
        <v>388</v>
      </c>
      <c r="Z116" s="6" t="s">
        <v>507</v>
      </c>
      <c r="AA116" s="11" t="s">
        <v>430</v>
      </c>
    </row>
    <row r="117" ht="15.75" customHeight="1">
      <c r="A117" s="30" t="s">
        <v>999</v>
      </c>
      <c r="B117" s="30" t="s">
        <v>209</v>
      </c>
      <c r="C117" s="8" t="s">
        <v>466</v>
      </c>
      <c r="D117" s="8" t="s">
        <v>228</v>
      </c>
      <c r="E117" s="20" t="s">
        <v>209</v>
      </c>
      <c r="F117" s="20" t="s">
        <v>210</v>
      </c>
      <c r="G117" s="20" t="s">
        <v>191</v>
      </c>
      <c r="H117" s="31">
        <v>14800.0</v>
      </c>
      <c r="I117" s="30" t="s">
        <v>107</v>
      </c>
      <c r="J117" s="32">
        <v>48.0</v>
      </c>
      <c r="K117" s="30" t="s">
        <v>112</v>
      </c>
      <c r="L117" s="33">
        <v>2.4</v>
      </c>
      <c r="M117" s="30" t="s">
        <v>118</v>
      </c>
      <c r="N117" s="20" t="str">
        <f t="shared" si="1"/>
        <v>Competitive</v>
      </c>
      <c r="O117" s="8" t="s">
        <v>523</v>
      </c>
      <c r="P117" s="32">
        <v>1.0</v>
      </c>
      <c r="Q117" s="32">
        <v>5.0</v>
      </c>
      <c r="R117" s="32">
        <v>2.0</v>
      </c>
      <c r="S117" s="32">
        <v>1.0</v>
      </c>
      <c r="T117" s="32">
        <v>1.0</v>
      </c>
      <c r="U117" s="32">
        <v>4.0</v>
      </c>
      <c r="V117" s="20">
        <f>ROUND((P117*'Business Analysis'!$B$35+Q117*'Business Analysis'!$B$36+R117*'Business Analysis'!$B$37+S117*'Business Analysis'!$B$38+T117*'Business Analysis'!$B$39+U117*'Business Analysis'!$B$40)/5*100,0)</f>
        <v>42</v>
      </c>
      <c r="W117" s="20" t="str">
        <f t="shared" si="2"/>
        <v>Low</v>
      </c>
      <c r="X117" s="30" t="s">
        <v>729</v>
      </c>
      <c r="Y117" s="20" t="s">
        <v>388</v>
      </c>
      <c r="Z117" s="8" t="s">
        <v>528</v>
      </c>
      <c r="AA117" s="20" t="s">
        <v>430</v>
      </c>
    </row>
    <row r="118" ht="15.75" customHeight="1">
      <c r="A118" s="12" t="s">
        <v>730</v>
      </c>
      <c r="B118" s="12" t="s">
        <v>209</v>
      </c>
      <c r="C118" s="6" t="s">
        <v>466</v>
      </c>
      <c r="D118" s="6" t="s">
        <v>228</v>
      </c>
      <c r="E118" s="11" t="s">
        <v>209</v>
      </c>
      <c r="F118" s="11" t="s">
        <v>210</v>
      </c>
      <c r="G118" s="11" t="s">
        <v>98</v>
      </c>
      <c r="H118" s="14">
        <v>8100.0</v>
      </c>
      <c r="I118" s="12" t="s">
        <v>107</v>
      </c>
      <c r="J118" s="15">
        <v>44.0</v>
      </c>
      <c r="K118" s="12" t="s">
        <v>112</v>
      </c>
      <c r="L118" s="16">
        <v>2.1</v>
      </c>
      <c r="M118" s="12" t="s">
        <v>118</v>
      </c>
      <c r="N118" s="11" t="str">
        <f t="shared" si="1"/>
        <v>Competitive</v>
      </c>
      <c r="O118" s="6" t="s">
        <v>523</v>
      </c>
      <c r="P118" s="15">
        <v>1.0</v>
      </c>
      <c r="Q118" s="15">
        <v>4.0</v>
      </c>
      <c r="R118" s="15">
        <v>2.0</v>
      </c>
      <c r="S118" s="15">
        <v>1.0</v>
      </c>
      <c r="T118" s="15">
        <v>1.0</v>
      </c>
      <c r="U118" s="15">
        <v>4.0</v>
      </c>
      <c r="V118" s="11">
        <f>ROUND((P118*'Business Analysis'!$B$35+Q118*'Business Analysis'!$B$36+R118*'Business Analysis'!$B$37+S118*'Business Analysis'!$B$38+T118*'Business Analysis'!$B$39+U118*'Business Analysis'!$B$40)/5*100,0)</f>
        <v>39</v>
      </c>
      <c r="W118" s="11" t="str">
        <f t="shared" si="2"/>
        <v>Optional</v>
      </c>
      <c r="X118" s="12" t="s">
        <v>729</v>
      </c>
      <c r="Y118" s="11" t="s">
        <v>388</v>
      </c>
      <c r="Z118" s="6" t="s">
        <v>528</v>
      </c>
      <c r="AA118" s="11" t="s">
        <v>430</v>
      </c>
    </row>
    <row r="119" ht="15.75" customHeight="1">
      <c r="A119" s="30" t="s">
        <v>1000</v>
      </c>
      <c r="B119" s="30" t="s">
        <v>530</v>
      </c>
      <c r="C119" s="8" t="s">
        <v>466</v>
      </c>
      <c r="D119" s="8" t="s">
        <v>228</v>
      </c>
      <c r="E119" s="20" t="s">
        <v>209</v>
      </c>
      <c r="F119" s="20" t="s">
        <v>210</v>
      </c>
      <c r="G119" s="20" t="s">
        <v>191</v>
      </c>
      <c r="H119" s="31">
        <v>12100.0</v>
      </c>
      <c r="I119" s="30" t="s">
        <v>107</v>
      </c>
      <c r="J119" s="32">
        <v>50.0</v>
      </c>
      <c r="K119" s="30" t="s">
        <v>112</v>
      </c>
      <c r="L119" s="33">
        <v>2.9</v>
      </c>
      <c r="M119" s="30" t="s">
        <v>118</v>
      </c>
      <c r="N119" s="20" t="str">
        <f t="shared" si="1"/>
        <v>Competitive</v>
      </c>
      <c r="O119" s="8" t="s">
        <v>523</v>
      </c>
      <c r="P119" s="32">
        <v>1.0</v>
      </c>
      <c r="Q119" s="32">
        <v>5.0</v>
      </c>
      <c r="R119" s="32">
        <v>2.0</v>
      </c>
      <c r="S119" s="32">
        <v>2.0</v>
      </c>
      <c r="T119" s="32">
        <v>1.0</v>
      </c>
      <c r="U119" s="32">
        <v>4.0</v>
      </c>
      <c r="V119" s="20">
        <f>ROUND((P119*'Business Analysis'!$B$35+Q119*'Business Analysis'!$B$36+R119*'Business Analysis'!$B$37+S119*'Business Analysis'!$B$38+T119*'Business Analysis'!$B$39+U119*'Business Analysis'!$B$40)/5*100,0)</f>
        <v>45</v>
      </c>
      <c r="W119" s="20" t="str">
        <f t="shared" si="2"/>
        <v>Low</v>
      </c>
      <c r="X119" s="30" t="s">
        <v>729</v>
      </c>
      <c r="Y119" s="20" t="s">
        <v>388</v>
      </c>
      <c r="Z119" s="8" t="s">
        <v>528</v>
      </c>
      <c r="AA119" s="20" t="s">
        <v>430</v>
      </c>
    </row>
    <row r="120" ht="15.75" customHeight="1">
      <c r="A120" s="12" t="s">
        <v>1002</v>
      </c>
      <c r="B120" s="12" t="s">
        <v>530</v>
      </c>
      <c r="C120" s="6" t="s">
        <v>466</v>
      </c>
      <c r="D120" s="6" t="s">
        <v>228</v>
      </c>
      <c r="E120" s="11" t="s">
        <v>209</v>
      </c>
      <c r="F120" s="11" t="s">
        <v>210</v>
      </c>
      <c r="G120" s="11" t="s">
        <v>191</v>
      </c>
      <c r="H120" s="14">
        <v>4400.0</v>
      </c>
      <c r="I120" s="12" t="s">
        <v>107</v>
      </c>
      <c r="J120" s="15">
        <v>41.0</v>
      </c>
      <c r="K120" s="12" t="s">
        <v>112</v>
      </c>
      <c r="L120" s="16">
        <v>3.3</v>
      </c>
      <c r="M120" s="12" t="s">
        <v>118</v>
      </c>
      <c r="N120" s="11" t="str">
        <f t="shared" si="1"/>
        <v>Competitive</v>
      </c>
      <c r="O120" s="6" t="s">
        <v>523</v>
      </c>
      <c r="P120" s="15">
        <v>1.0</v>
      </c>
      <c r="Q120" s="15">
        <v>4.0</v>
      </c>
      <c r="R120" s="15">
        <v>2.0</v>
      </c>
      <c r="S120" s="15">
        <v>2.0</v>
      </c>
      <c r="T120" s="15">
        <v>1.0</v>
      </c>
      <c r="U120" s="15">
        <v>4.0</v>
      </c>
      <c r="V120" s="11">
        <f>ROUND((P120*'Business Analysis'!$B$35+Q120*'Business Analysis'!$B$36+R120*'Business Analysis'!$B$37+S120*'Business Analysis'!$B$38+T120*'Business Analysis'!$B$39+U120*'Business Analysis'!$B$40)/5*100,0)</f>
        <v>42</v>
      </c>
      <c r="W120" s="11" t="str">
        <f t="shared" si="2"/>
        <v>Low</v>
      </c>
      <c r="X120" s="12" t="s">
        <v>729</v>
      </c>
      <c r="Y120" s="11" t="s">
        <v>388</v>
      </c>
      <c r="Z120" s="6" t="s">
        <v>528</v>
      </c>
      <c r="AA120" s="11" t="s">
        <v>430</v>
      </c>
    </row>
    <row r="121" ht="15.75" customHeight="1">
      <c r="A121" s="30" t="s">
        <v>733</v>
      </c>
      <c r="B121" s="30" t="s">
        <v>714</v>
      </c>
      <c r="C121" s="8" t="s">
        <v>466</v>
      </c>
      <c r="D121" s="8" t="s">
        <v>228</v>
      </c>
      <c r="E121" s="20" t="s">
        <v>130</v>
      </c>
      <c r="F121" s="20" t="s">
        <v>131</v>
      </c>
      <c r="G121" s="20" t="s">
        <v>98</v>
      </c>
      <c r="H121" s="31">
        <v>3600.0</v>
      </c>
      <c r="I121" s="30" t="s">
        <v>107</v>
      </c>
      <c r="J121" s="32">
        <v>40.0</v>
      </c>
      <c r="K121" s="30" t="s">
        <v>112</v>
      </c>
      <c r="L121" s="33">
        <v>4.1</v>
      </c>
      <c r="M121" s="30" t="s">
        <v>118</v>
      </c>
      <c r="N121" s="20" t="str">
        <f t="shared" si="1"/>
        <v>Moderate</v>
      </c>
      <c r="O121" s="8" t="s">
        <v>420</v>
      </c>
      <c r="P121" s="32">
        <v>2.0</v>
      </c>
      <c r="Q121" s="32">
        <v>4.0</v>
      </c>
      <c r="R121" s="32">
        <v>2.0</v>
      </c>
      <c r="S121" s="32">
        <v>3.0</v>
      </c>
      <c r="T121" s="32">
        <v>2.0</v>
      </c>
      <c r="U121" s="32">
        <v>4.0</v>
      </c>
      <c r="V121" s="20">
        <f>ROUND((P121*'Business Analysis'!$B$35+Q121*'Business Analysis'!$B$36+R121*'Business Analysis'!$B$37+S121*'Business Analysis'!$B$38+T121*'Business Analysis'!$B$39+U121*'Business Analysis'!$B$40)/5*100,0)</f>
        <v>53</v>
      </c>
      <c r="W121" s="20" t="str">
        <f t="shared" si="2"/>
        <v>Low</v>
      </c>
      <c r="X121" s="30" t="s">
        <v>731</v>
      </c>
      <c r="Y121" s="20" t="s">
        <v>388</v>
      </c>
      <c r="Z121" s="8" t="s">
        <v>507</v>
      </c>
      <c r="AA121" s="20" t="s">
        <v>430</v>
      </c>
    </row>
    <row r="122" ht="15.75" customHeight="1">
      <c r="A122" s="12" t="s">
        <v>940</v>
      </c>
      <c r="B122" s="12" t="s">
        <v>530</v>
      </c>
      <c r="C122" s="6" t="s">
        <v>466</v>
      </c>
      <c r="D122" s="6" t="s">
        <v>228</v>
      </c>
      <c r="E122" s="11" t="s">
        <v>209</v>
      </c>
      <c r="F122" s="11" t="s">
        <v>131</v>
      </c>
      <c r="G122" s="11" t="s">
        <v>191</v>
      </c>
      <c r="H122" s="14">
        <v>9900.0</v>
      </c>
      <c r="I122" s="12" t="s">
        <v>107</v>
      </c>
      <c r="J122" s="15">
        <v>47.0</v>
      </c>
      <c r="K122" s="12" t="s">
        <v>112</v>
      </c>
      <c r="L122" s="16">
        <v>4.6</v>
      </c>
      <c r="M122" s="12" t="s">
        <v>118</v>
      </c>
      <c r="N122" s="11" t="str">
        <f t="shared" si="1"/>
        <v>Competitive</v>
      </c>
      <c r="O122" s="6" t="s">
        <v>523</v>
      </c>
      <c r="P122" s="15">
        <v>1.0</v>
      </c>
      <c r="Q122" s="15">
        <v>4.0</v>
      </c>
      <c r="R122" s="15">
        <v>2.0</v>
      </c>
      <c r="S122" s="15">
        <v>2.0</v>
      </c>
      <c r="T122" s="15">
        <v>1.0</v>
      </c>
      <c r="U122" s="15">
        <v>4.0</v>
      </c>
      <c r="V122" s="11">
        <f>ROUND((P122*'Business Analysis'!$B$35+Q122*'Business Analysis'!$B$36+R122*'Business Analysis'!$B$37+S122*'Business Analysis'!$B$38+T122*'Business Analysis'!$B$39+U122*'Business Analysis'!$B$40)/5*100,0)</f>
        <v>42</v>
      </c>
      <c r="W122" s="11" t="str">
        <f t="shared" si="2"/>
        <v>Low</v>
      </c>
      <c r="X122" s="12" t="s">
        <v>743</v>
      </c>
      <c r="Y122" s="11" t="s">
        <v>388</v>
      </c>
      <c r="Z122" s="6" t="s">
        <v>528</v>
      </c>
      <c r="AA122" s="11" t="s">
        <v>430</v>
      </c>
    </row>
    <row r="123" ht="15.75" customHeight="1">
      <c r="A123" s="30" t="s">
        <v>237</v>
      </c>
      <c r="B123" s="30" t="s">
        <v>87</v>
      </c>
      <c r="C123" s="8" t="s">
        <v>466</v>
      </c>
      <c r="D123" s="8" t="s">
        <v>236</v>
      </c>
      <c r="E123" s="20" t="s">
        <v>29</v>
      </c>
      <c r="F123" s="20" t="s">
        <v>31</v>
      </c>
      <c r="G123" s="20" t="s">
        <v>98</v>
      </c>
      <c r="H123" s="31">
        <v>70.0</v>
      </c>
      <c r="I123" s="30" t="s">
        <v>107</v>
      </c>
      <c r="J123" s="32">
        <v>17.0</v>
      </c>
      <c r="K123" s="30" t="s">
        <v>112</v>
      </c>
      <c r="L123" s="33">
        <v>7.9</v>
      </c>
      <c r="M123" s="30" t="s">
        <v>118</v>
      </c>
      <c r="N123" s="20" t="str">
        <f t="shared" si="1"/>
        <v>Easy</v>
      </c>
      <c r="O123" s="8" t="s">
        <v>142</v>
      </c>
      <c r="P123" s="32">
        <v>3.0</v>
      </c>
      <c r="Q123" s="32">
        <v>3.0</v>
      </c>
      <c r="R123" s="32">
        <v>4.0</v>
      </c>
      <c r="S123" s="32">
        <v>5.0</v>
      </c>
      <c r="T123" s="32">
        <v>4.0</v>
      </c>
      <c r="U123" s="32">
        <v>3.0</v>
      </c>
      <c r="V123" s="20">
        <f>ROUND((P123*'Business Analysis'!$B$35+Q123*'Business Analysis'!$B$36+R123*'Business Analysis'!$B$37+S123*'Business Analysis'!$B$38+T123*'Business Analysis'!$B$39+U123*'Business Analysis'!$B$40)/5*100,0)</f>
        <v>73</v>
      </c>
      <c r="W123" s="20" t="str">
        <f t="shared" si="2"/>
        <v>Medium</v>
      </c>
      <c r="X123" s="30" t="s">
        <v>547</v>
      </c>
      <c r="Y123" s="20" t="s">
        <v>388</v>
      </c>
      <c r="Z123" s="8" t="s">
        <v>213</v>
      </c>
      <c r="AA123" s="20" t="s">
        <v>183</v>
      </c>
    </row>
    <row r="124" ht="15.75" customHeight="1">
      <c r="A124" s="12" t="s">
        <v>1003</v>
      </c>
      <c r="B124" s="12" t="s">
        <v>87</v>
      </c>
      <c r="C124" s="6" t="s">
        <v>466</v>
      </c>
      <c r="D124" s="6" t="s">
        <v>236</v>
      </c>
      <c r="E124" s="11" t="s">
        <v>29</v>
      </c>
      <c r="F124" s="11" t="s">
        <v>31</v>
      </c>
      <c r="G124" s="11" t="s">
        <v>191</v>
      </c>
      <c r="H124" s="14">
        <v>30.0</v>
      </c>
      <c r="I124" s="12" t="s">
        <v>107</v>
      </c>
      <c r="J124" s="15">
        <v>13.0</v>
      </c>
      <c r="K124" s="12" t="s">
        <v>112</v>
      </c>
      <c r="L124" s="16">
        <v>7.4</v>
      </c>
      <c r="M124" s="12" t="s">
        <v>118</v>
      </c>
      <c r="N124" s="11" t="str">
        <f t="shared" si="1"/>
        <v>Easy</v>
      </c>
      <c r="O124" s="6" t="s">
        <v>142</v>
      </c>
      <c r="P124" s="15">
        <v>3.0</v>
      </c>
      <c r="Q124" s="15">
        <v>2.0</v>
      </c>
      <c r="R124" s="15">
        <v>5.0</v>
      </c>
      <c r="S124" s="15">
        <v>5.0</v>
      </c>
      <c r="T124" s="15">
        <v>4.0</v>
      </c>
      <c r="U124" s="15">
        <v>3.0</v>
      </c>
      <c r="V124" s="11">
        <f>ROUND((P124*'Business Analysis'!$B$35+Q124*'Business Analysis'!$B$36+R124*'Business Analysis'!$B$37+S124*'Business Analysis'!$B$38+T124*'Business Analysis'!$B$39+U124*'Business Analysis'!$B$40)/5*100,0)</f>
        <v>74</v>
      </c>
      <c r="W124" s="11" t="str">
        <f t="shared" si="2"/>
        <v>Medium</v>
      </c>
      <c r="X124" s="12" t="s">
        <v>547</v>
      </c>
      <c r="Y124" s="11" t="s">
        <v>388</v>
      </c>
      <c r="Z124" s="6" t="s">
        <v>213</v>
      </c>
      <c r="AA124" s="11" t="s">
        <v>183</v>
      </c>
    </row>
    <row r="125" ht="15.75" customHeight="1">
      <c r="A125" s="30" t="s">
        <v>1004</v>
      </c>
      <c r="B125" s="30" t="s">
        <v>29</v>
      </c>
      <c r="C125" s="8" t="s">
        <v>466</v>
      </c>
      <c r="D125" s="8" t="s">
        <v>236</v>
      </c>
      <c r="E125" s="20" t="s">
        <v>29</v>
      </c>
      <c r="F125" s="20" t="s">
        <v>31</v>
      </c>
      <c r="G125" s="20" t="s">
        <v>191</v>
      </c>
      <c r="H125" s="31">
        <v>12100.0</v>
      </c>
      <c r="I125" s="30" t="s">
        <v>107</v>
      </c>
      <c r="J125" s="32">
        <v>58.0</v>
      </c>
      <c r="K125" s="30" t="s">
        <v>112</v>
      </c>
      <c r="L125" s="33">
        <v>8.4</v>
      </c>
      <c r="M125" s="30" t="s">
        <v>118</v>
      </c>
      <c r="N125" s="20" t="str">
        <f t="shared" si="1"/>
        <v>Competitive</v>
      </c>
      <c r="O125" s="8" t="s">
        <v>420</v>
      </c>
      <c r="P125" s="32">
        <v>1.0</v>
      </c>
      <c r="Q125" s="32">
        <v>5.0</v>
      </c>
      <c r="R125" s="32">
        <v>1.0</v>
      </c>
      <c r="S125" s="32">
        <v>5.0</v>
      </c>
      <c r="T125" s="32">
        <v>3.0</v>
      </c>
      <c r="U125" s="32">
        <v>3.0</v>
      </c>
      <c r="V125" s="20">
        <f>ROUND((P125*'Business Analysis'!$B$35+Q125*'Business Analysis'!$B$36+R125*'Business Analysis'!$B$37+S125*'Business Analysis'!$B$38+T125*'Business Analysis'!$B$39+U125*'Business Analysis'!$B$40)/5*100,0)</f>
        <v>54</v>
      </c>
      <c r="W125" s="20" t="str">
        <f t="shared" si="2"/>
        <v>Low</v>
      </c>
      <c r="X125" s="30" t="s">
        <v>547</v>
      </c>
      <c r="Y125" s="20" t="s">
        <v>388</v>
      </c>
      <c r="Z125" s="8" t="s">
        <v>428</v>
      </c>
      <c r="AA125" s="20" t="s">
        <v>430</v>
      </c>
    </row>
    <row r="126" ht="15.75" customHeight="1">
      <c r="A126" s="12" t="s">
        <v>1006</v>
      </c>
      <c r="B126" s="12" t="s">
        <v>130</v>
      </c>
      <c r="C126" s="6" t="s">
        <v>466</v>
      </c>
      <c r="D126" s="6" t="s">
        <v>236</v>
      </c>
      <c r="E126" s="11" t="s">
        <v>130</v>
      </c>
      <c r="F126" s="11" t="s">
        <v>131</v>
      </c>
      <c r="G126" s="11" t="s">
        <v>191</v>
      </c>
      <c r="H126" s="14">
        <v>14800.0</v>
      </c>
      <c r="I126" s="12" t="s">
        <v>107</v>
      </c>
      <c r="J126" s="15">
        <v>52.0</v>
      </c>
      <c r="K126" s="12" t="s">
        <v>112</v>
      </c>
      <c r="L126" s="16">
        <v>5.8</v>
      </c>
      <c r="M126" s="12" t="s">
        <v>118</v>
      </c>
      <c r="N126" s="11" t="str">
        <f t="shared" si="1"/>
        <v>Competitive</v>
      </c>
      <c r="O126" s="6" t="s">
        <v>420</v>
      </c>
      <c r="P126" s="15">
        <v>1.0</v>
      </c>
      <c r="Q126" s="15">
        <v>5.0</v>
      </c>
      <c r="R126" s="15">
        <v>1.0</v>
      </c>
      <c r="S126" s="15">
        <v>3.0</v>
      </c>
      <c r="T126" s="15">
        <v>2.0</v>
      </c>
      <c r="U126" s="15">
        <v>3.0</v>
      </c>
      <c r="V126" s="11">
        <f>ROUND((P126*'Business Analysis'!$B$35+Q126*'Business Analysis'!$B$36+R126*'Business Analysis'!$B$37+S126*'Business Analysis'!$B$38+T126*'Business Analysis'!$B$39+U126*'Business Analysis'!$B$40)/5*100,0)</f>
        <v>45</v>
      </c>
      <c r="W126" s="11" t="str">
        <f t="shared" si="2"/>
        <v>Low</v>
      </c>
      <c r="X126" s="12" t="s">
        <v>547</v>
      </c>
      <c r="Y126" s="11" t="s">
        <v>388</v>
      </c>
      <c r="Z126" s="6" t="s">
        <v>507</v>
      </c>
      <c r="AA126" s="11" t="s">
        <v>430</v>
      </c>
    </row>
    <row r="127" ht="15.75" customHeight="1">
      <c r="A127" s="30" t="s">
        <v>735</v>
      </c>
      <c r="B127" s="30" t="s">
        <v>530</v>
      </c>
      <c r="C127" s="8" t="s">
        <v>466</v>
      </c>
      <c r="D127" s="8" t="s">
        <v>236</v>
      </c>
      <c r="E127" s="20" t="s">
        <v>209</v>
      </c>
      <c r="F127" s="20" t="s">
        <v>210</v>
      </c>
      <c r="G127" s="20" t="s">
        <v>98</v>
      </c>
      <c r="H127" s="31">
        <v>8100.0</v>
      </c>
      <c r="I127" s="30" t="s">
        <v>107</v>
      </c>
      <c r="J127" s="32">
        <v>43.0</v>
      </c>
      <c r="K127" s="30" t="s">
        <v>112</v>
      </c>
      <c r="L127" s="33">
        <v>1.9</v>
      </c>
      <c r="M127" s="30" t="s">
        <v>118</v>
      </c>
      <c r="N127" s="20" t="str">
        <f t="shared" si="1"/>
        <v>Competitive</v>
      </c>
      <c r="O127" s="8" t="s">
        <v>523</v>
      </c>
      <c r="P127" s="32">
        <v>1.0</v>
      </c>
      <c r="Q127" s="32">
        <v>4.0</v>
      </c>
      <c r="R127" s="32">
        <v>2.0</v>
      </c>
      <c r="S127" s="32">
        <v>2.0</v>
      </c>
      <c r="T127" s="32">
        <v>1.0</v>
      </c>
      <c r="U127" s="32">
        <v>3.0</v>
      </c>
      <c r="V127" s="20">
        <f>ROUND((P127*'Business Analysis'!$B$35+Q127*'Business Analysis'!$B$36+R127*'Business Analysis'!$B$37+S127*'Business Analysis'!$B$38+T127*'Business Analysis'!$B$39+U127*'Business Analysis'!$B$40)/5*100,0)</f>
        <v>40</v>
      </c>
      <c r="W127" s="20" t="str">
        <f t="shared" si="2"/>
        <v>Low</v>
      </c>
      <c r="X127" s="30" t="s">
        <v>734</v>
      </c>
      <c r="Y127" s="20" t="s">
        <v>388</v>
      </c>
      <c r="Z127" s="8" t="s">
        <v>528</v>
      </c>
      <c r="AA127" s="20" t="s">
        <v>430</v>
      </c>
    </row>
    <row r="128" ht="15.75" customHeight="1">
      <c r="A128" s="12" t="s">
        <v>1007</v>
      </c>
      <c r="B128" s="12" t="s">
        <v>714</v>
      </c>
      <c r="C128" s="6" t="s">
        <v>466</v>
      </c>
      <c r="D128" s="6" t="s">
        <v>236</v>
      </c>
      <c r="E128" s="11" t="s">
        <v>130</v>
      </c>
      <c r="F128" s="11" t="s">
        <v>131</v>
      </c>
      <c r="G128" s="11" t="s">
        <v>191</v>
      </c>
      <c r="H128" s="14">
        <v>1300.0</v>
      </c>
      <c r="I128" s="12" t="s">
        <v>107</v>
      </c>
      <c r="J128" s="15">
        <v>32.0</v>
      </c>
      <c r="K128" s="12" t="s">
        <v>112</v>
      </c>
      <c r="L128" s="16">
        <v>3.2</v>
      </c>
      <c r="M128" s="12" t="s">
        <v>118</v>
      </c>
      <c r="N128" s="11" t="str">
        <f t="shared" si="1"/>
        <v>Moderate</v>
      </c>
      <c r="O128" s="6" t="s">
        <v>420</v>
      </c>
      <c r="P128" s="15">
        <v>1.0</v>
      </c>
      <c r="Q128" s="15">
        <v>3.0</v>
      </c>
      <c r="R128" s="15">
        <v>3.0</v>
      </c>
      <c r="S128" s="15">
        <v>3.0</v>
      </c>
      <c r="T128" s="15">
        <v>2.0</v>
      </c>
      <c r="U128" s="15">
        <v>3.0</v>
      </c>
      <c r="V128" s="11">
        <f>ROUND((P128*'Business Analysis'!$B$35+Q128*'Business Analysis'!$B$36+R128*'Business Analysis'!$B$37+S128*'Business Analysis'!$B$38+T128*'Business Analysis'!$B$39+U128*'Business Analysis'!$B$40)/5*100,0)</f>
        <v>47</v>
      </c>
      <c r="W128" s="11" t="str">
        <f t="shared" si="2"/>
        <v>Low</v>
      </c>
      <c r="X128" s="12" t="s">
        <v>734</v>
      </c>
      <c r="Y128" s="11" t="s">
        <v>388</v>
      </c>
      <c r="Z128" s="6" t="s">
        <v>507</v>
      </c>
      <c r="AA128" s="11" t="s">
        <v>430</v>
      </c>
    </row>
    <row r="129" ht="15.75" customHeight="1">
      <c r="A129" s="30" t="s">
        <v>243</v>
      </c>
      <c r="B129" s="30" t="s">
        <v>87</v>
      </c>
      <c r="C129" s="8" t="s">
        <v>1008</v>
      </c>
      <c r="D129" s="8" t="s">
        <v>242</v>
      </c>
      <c r="E129" s="20" t="s">
        <v>29</v>
      </c>
      <c r="F129" s="20" t="s">
        <v>31</v>
      </c>
      <c r="G129" s="20" t="s">
        <v>98</v>
      </c>
      <c r="H129" s="31">
        <v>110.0</v>
      </c>
      <c r="I129" s="30" t="s">
        <v>107</v>
      </c>
      <c r="J129" s="32">
        <v>19.0</v>
      </c>
      <c r="K129" s="30" t="s">
        <v>112</v>
      </c>
      <c r="L129" s="33">
        <v>9.6</v>
      </c>
      <c r="M129" s="30" t="s">
        <v>118</v>
      </c>
      <c r="N129" s="20" t="str">
        <f t="shared" si="1"/>
        <v>Easy</v>
      </c>
      <c r="O129" s="8" t="s">
        <v>142</v>
      </c>
      <c r="P129" s="32">
        <v>4.0</v>
      </c>
      <c r="Q129" s="32">
        <v>3.0</v>
      </c>
      <c r="R129" s="32">
        <v>4.0</v>
      </c>
      <c r="S129" s="32">
        <v>5.0</v>
      </c>
      <c r="T129" s="32">
        <v>5.0</v>
      </c>
      <c r="U129" s="32">
        <v>4.0</v>
      </c>
      <c r="V129" s="20">
        <f>ROUND((P129*'Business Analysis'!$B$35+Q129*'Business Analysis'!$B$36+R129*'Business Analysis'!$B$37+S129*'Business Analysis'!$B$38+T129*'Business Analysis'!$B$39+U129*'Business Analysis'!$B$40)/5*100,0)</f>
        <v>83</v>
      </c>
      <c r="W129" s="20" t="str">
        <f t="shared" si="2"/>
        <v>High</v>
      </c>
      <c r="X129" s="30" t="s">
        <v>595</v>
      </c>
      <c r="Y129" s="20" t="s">
        <v>388</v>
      </c>
      <c r="Z129" s="8" t="s">
        <v>213</v>
      </c>
      <c r="AA129" s="20" t="s">
        <v>183</v>
      </c>
    </row>
    <row r="130" ht="15.75" customHeight="1">
      <c r="A130" s="12" t="s">
        <v>1009</v>
      </c>
      <c r="B130" s="12" t="s">
        <v>87</v>
      </c>
      <c r="C130" s="6" t="s">
        <v>1008</v>
      </c>
      <c r="D130" s="6" t="s">
        <v>242</v>
      </c>
      <c r="E130" s="11" t="s">
        <v>29</v>
      </c>
      <c r="F130" s="11" t="s">
        <v>31</v>
      </c>
      <c r="G130" s="11" t="s">
        <v>191</v>
      </c>
      <c r="H130" s="14">
        <v>30.0</v>
      </c>
      <c r="I130" s="12" t="s">
        <v>107</v>
      </c>
      <c r="J130" s="15">
        <v>12.0</v>
      </c>
      <c r="K130" s="12" t="s">
        <v>112</v>
      </c>
      <c r="L130" s="16">
        <v>8.2</v>
      </c>
      <c r="M130" s="12" t="s">
        <v>118</v>
      </c>
      <c r="N130" s="11" t="str">
        <f t="shared" si="1"/>
        <v>Easy</v>
      </c>
      <c r="O130" s="6" t="s">
        <v>142</v>
      </c>
      <c r="P130" s="15">
        <v>4.0</v>
      </c>
      <c r="Q130" s="15">
        <v>2.0</v>
      </c>
      <c r="R130" s="15">
        <v>5.0</v>
      </c>
      <c r="S130" s="15">
        <v>5.0</v>
      </c>
      <c r="T130" s="15">
        <v>5.0</v>
      </c>
      <c r="U130" s="15">
        <v>4.0</v>
      </c>
      <c r="V130" s="11">
        <f>ROUND((P130*'Business Analysis'!$B$35+Q130*'Business Analysis'!$B$36+R130*'Business Analysis'!$B$37+S130*'Business Analysis'!$B$38+T130*'Business Analysis'!$B$39+U130*'Business Analysis'!$B$40)/5*100,0)</f>
        <v>84</v>
      </c>
      <c r="W130" s="11" t="str">
        <f t="shared" si="2"/>
        <v>High</v>
      </c>
      <c r="X130" s="12" t="s">
        <v>595</v>
      </c>
      <c r="Y130" s="11" t="s">
        <v>388</v>
      </c>
      <c r="Z130" s="6" t="s">
        <v>213</v>
      </c>
      <c r="AA130" s="11" t="s">
        <v>183</v>
      </c>
    </row>
    <row r="131" ht="15.75" customHeight="1">
      <c r="A131" s="30" t="s">
        <v>1010</v>
      </c>
      <c r="B131" s="30" t="s">
        <v>87</v>
      </c>
      <c r="C131" s="8" t="s">
        <v>1008</v>
      </c>
      <c r="D131" s="8" t="s">
        <v>242</v>
      </c>
      <c r="E131" s="20" t="s">
        <v>29</v>
      </c>
      <c r="F131" s="20" t="s">
        <v>31</v>
      </c>
      <c r="G131" s="20" t="s">
        <v>191</v>
      </c>
      <c r="H131" s="31">
        <v>20.0</v>
      </c>
      <c r="I131" s="30" t="s">
        <v>107</v>
      </c>
      <c r="J131" s="32">
        <v>11.0</v>
      </c>
      <c r="K131" s="30" t="s">
        <v>112</v>
      </c>
      <c r="L131" s="33">
        <v>9.1</v>
      </c>
      <c r="M131" s="30" t="s">
        <v>118</v>
      </c>
      <c r="N131" s="20" t="str">
        <f t="shared" si="1"/>
        <v>Easy</v>
      </c>
      <c r="O131" s="8" t="s">
        <v>142</v>
      </c>
      <c r="P131" s="32">
        <v>4.0</v>
      </c>
      <c r="Q131" s="32">
        <v>2.0</v>
      </c>
      <c r="R131" s="32">
        <v>5.0</v>
      </c>
      <c r="S131" s="32">
        <v>5.0</v>
      </c>
      <c r="T131" s="32">
        <v>5.0</v>
      </c>
      <c r="U131" s="32">
        <v>4.0</v>
      </c>
      <c r="V131" s="20">
        <f>ROUND((P131*'Business Analysis'!$B$35+Q131*'Business Analysis'!$B$36+R131*'Business Analysis'!$B$37+S131*'Business Analysis'!$B$38+T131*'Business Analysis'!$B$39+U131*'Business Analysis'!$B$40)/5*100,0)</f>
        <v>84</v>
      </c>
      <c r="W131" s="20" t="str">
        <f t="shared" si="2"/>
        <v>High</v>
      </c>
      <c r="X131" s="30" t="s">
        <v>595</v>
      </c>
      <c r="Y131" s="20" t="s">
        <v>388</v>
      </c>
      <c r="Z131" s="8" t="s">
        <v>213</v>
      </c>
      <c r="AA131" s="20" t="s">
        <v>183</v>
      </c>
    </row>
    <row r="132" ht="15.75" customHeight="1">
      <c r="A132" s="12" t="s">
        <v>1011</v>
      </c>
      <c r="B132" s="12" t="s">
        <v>87</v>
      </c>
      <c r="C132" s="6" t="s">
        <v>1008</v>
      </c>
      <c r="D132" s="6" t="s">
        <v>242</v>
      </c>
      <c r="E132" s="11" t="s">
        <v>29</v>
      </c>
      <c r="F132" s="11" t="s">
        <v>31</v>
      </c>
      <c r="G132" s="11" t="s">
        <v>191</v>
      </c>
      <c r="H132" s="14">
        <v>40.0</v>
      </c>
      <c r="I132" s="12" t="s">
        <v>107</v>
      </c>
      <c r="J132" s="15">
        <v>17.0</v>
      </c>
      <c r="K132" s="12" t="s">
        <v>112</v>
      </c>
      <c r="L132" s="16">
        <v>8.7</v>
      </c>
      <c r="M132" s="12" t="s">
        <v>118</v>
      </c>
      <c r="N132" s="11" t="str">
        <f t="shared" si="1"/>
        <v>Easy</v>
      </c>
      <c r="O132" s="6" t="s">
        <v>142</v>
      </c>
      <c r="P132" s="15">
        <v>4.0</v>
      </c>
      <c r="Q132" s="15">
        <v>2.0</v>
      </c>
      <c r="R132" s="15">
        <v>4.0</v>
      </c>
      <c r="S132" s="15">
        <v>5.0</v>
      </c>
      <c r="T132" s="15">
        <v>5.0</v>
      </c>
      <c r="U132" s="15">
        <v>4.0</v>
      </c>
      <c r="V132" s="11">
        <f>ROUND((P132*'Business Analysis'!$B$35+Q132*'Business Analysis'!$B$36+R132*'Business Analysis'!$B$37+S132*'Business Analysis'!$B$38+T132*'Business Analysis'!$B$39+U132*'Business Analysis'!$B$40)/5*100,0)</f>
        <v>80</v>
      </c>
      <c r="W132" s="11" t="str">
        <f t="shared" si="2"/>
        <v>High</v>
      </c>
      <c r="X132" s="12" t="s">
        <v>595</v>
      </c>
      <c r="Y132" s="11" t="s">
        <v>388</v>
      </c>
      <c r="Z132" s="6" t="s">
        <v>213</v>
      </c>
      <c r="AA132" s="11" t="s">
        <v>183</v>
      </c>
    </row>
    <row r="133" ht="15.75" customHeight="1">
      <c r="A133" s="30" t="s">
        <v>1012</v>
      </c>
      <c r="B133" s="30" t="s">
        <v>87</v>
      </c>
      <c r="C133" s="8" t="s">
        <v>1008</v>
      </c>
      <c r="D133" s="8" t="s">
        <v>242</v>
      </c>
      <c r="E133" s="20" t="s">
        <v>29</v>
      </c>
      <c r="F133" s="20" t="s">
        <v>31</v>
      </c>
      <c r="G133" s="20" t="s">
        <v>191</v>
      </c>
      <c r="H133" s="31">
        <v>140.0</v>
      </c>
      <c r="I133" s="30" t="s">
        <v>107</v>
      </c>
      <c r="J133" s="32">
        <v>25.0</v>
      </c>
      <c r="K133" s="30" t="s">
        <v>112</v>
      </c>
      <c r="L133" s="33">
        <v>9.4</v>
      </c>
      <c r="M133" s="30" t="s">
        <v>118</v>
      </c>
      <c r="N133" s="20" t="str">
        <f t="shared" si="1"/>
        <v>Moderate</v>
      </c>
      <c r="O133" s="8" t="s">
        <v>142</v>
      </c>
      <c r="P133" s="32">
        <v>4.0</v>
      </c>
      <c r="Q133" s="32">
        <v>4.0</v>
      </c>
      <c r="R133" s="32">
        <v>4.0</v>
      </c>
      <c r="S133" s="32">
        <v>5.0</v>
      </c>
      <c r="T133" s="32">
        <v>5.0</v>
      </c>
      <c r="U133" s="32">
        <v>4.0</v>
      </c>
      <c r="V133" s="20">
        <f>ROUND((P133*'Business Analysis'!$B$35+Q133*'Business Analysis'!$B$36+R133*'Business Analysis'!$B$37+S133*'Business Analysis'!$B$38+T133*'Business Analysis'!$B$39+U133*'Business Analysis'!$B$40)/5*100,0)</f>
        <v>86</v>
      </c>
      <c r="W133" s="20" t="str">
        <f t="shared" si="2"/>
        <v>High</v>
      </c>
      <c r="X133" s="30" t="s">
        <v>595</v>
      </c>
      <c r="Y133" s="20" t="s">
        <v>388</v>
      </c>
      <c r="Z133" s="8" t="s">
        <v>1013</v>
      </c>
      <c r="AA133" s="20" t="s">
        <v>183</v>
      </c>
    </row>
    <row r="134" ht="15.75" customHeight="1">
      <c r="A134" s="12" t="s">
        <v>1014</v>
      </c>
      <c r="B134" s="12" t="s">
        <v>29</v>
      </c>
      <c r="C134" s="6" t="s">
        <v>1008</v>
      </c>
      <c r="D134" s="6" t="s">
        <v>242</v>
      </c>
      <c r="E134" s="11" t="s">
        <v>29</v>
      </c>
      <c r="F134" s="11" t="s">
        <v>31</v>
      </c>
      <c r="G134" s="11" t="s">
        <v>191</v>
      </c>
      <c r="H134" s="14">
        <v>30.0</v>
      </c>
      <c r="I134" s="12" t="s">
        <v>107</v>
      </c>
      <c r="J134" s="15">
        <v>12.0</v>
      </c>
      <c r="K134" s="12" t="s">
        <v>112</v>
      </c>
      <c r="L134" s="16">
        <v>9.5</v>
      </c>
      <c r="M134" s="12" t="s">
        <v>118</v>
      </c>
      <c r="N134" s="11" t="str">
        <f t="shared" si="1"/>
        <v>Easy</v>
      </c>
      <c r="O134" s="6" t="s">
        <v>142</v>
      </c>
      <c r="P134" s="15">
        <v>4.0</v>
      </c>
      <c r="Q134" s="15">
        <v>2.0</v>
      </c>
      <c r="R134" s="15">
        <v>5.0</v>
      </c>
      <c r="S134" s="15">
        <v>5.0</v>
      </c>
      <c r="T134" s="15">
        <v>5.0</v>
      </c>
      <c r="U134" s="15">
        <v>4.0</v>
      </c>
      <c r="V134" s="11">
        <f>ROUND((P134*'Business Analysis'!$B$35+Q134*'Business Analysis'!$B$36+R134*'Business Analysis'!$B$37+S134*'Business Analysis'!$B$38+T134*'Business Analysis'!$B$39+U134*'Business Analysis'!$B$40)/5*100,0)</f>
        <v>84</v>
      </c>
      <c r="W134" s="11" t="str">
        <f t="shared" si="2"/>
        <v>High</v>
      </c>
      <c r="X134" s="12" t="s">
        <v>595</v>
      </c>
      <c r="Y134" s="11" t="s">
        <v>388</v>
      </c>
      <c r="Z134" s="6" t="s">
        <v>213</v>
      </c>
      <c r="AA134" s="11" t="s">
        <v>183</v>
      </c>
    </row>
    <row r="135" ht="15.75" customHeight="1">
      <c r="A135" s="30" t="s">
        <v>1015</v>
      </c>
      <c r="B135" s="30" t="s">
        <v>29</v>
      </c>
      <c r="C135" s="8" t="s">
        <v>1008</v>
      </c>
      <c r="D135" s="8" t="s">
        <v>242</v>
      </c>
      <c r="E135" s="20" t="s">
        <v>29</v>
      </c>
      <c r="F135" s="20" t="s">
        <v>31</v>
      </c>
      <c r="G135" s="20" t="s">
        <v>191</v>
      </c>
      <c r="H135" s="31">
        <v>40500.0</v>
      </c>
      <c r="I135" s="30" t="s">
        <v>107</v>
      </c>
      <c r="J135" s="32">
        <v>66.0</v>
      </c>
      <c r="K135" s="30" t="s">
        <v>112</v>
      </c>
      <c r="L135" s="33">
        <v>9.2</v>
      </c>
      <c r="M135" s="30" t="s">
        <v>118</v>
      </c>
      <c r="N135" s="20" t="str">
        <f t="shared" si="1"/>
        <v>Competitive</v>
      </c>
      <c r="O135" s="8" t="s">
        <v>420</v>
      </c>
      <c r="P135" s="32">
        <v>2.0</v>
      </c>
      <c r="Q135" s="32">
        <v>5.0</v>
      </c>
      <c r="R135" s="32">
        <v>1.0</v>
      </c>
      <c r="S135" s="32">
        <v>5.0</v>
      </c>
      <c r="T135" s="32">
        <v>3.0</v>
      </c>
      <c r="U135" s="32">
        <v>4.0</v>
      </c>
      <c r="V135" s="20">
        <f>ROUND((P135*'Business Analysis'!$B$35+Q135*'Business Analysis'!$B$36+R135*'Business Analysis'!$B$37+S135*'Business Analysis'!$B$38+T135*'Business Analysis'!$B$39+U135*'Business Analysis'!$B$40)/5*100,0)</f>
        <v>61</v>
      </c>
      <c r="W135" s="20" t="str">
        <f t="shared" si="2"/>
        <v>Medium</v>
      </c>
      <c r="X135" s="30" t="s">
        <v>595</v>
      </c>
      <c r="Y135" s="20" t="s">
        <v>388</v>
      </c>
      <c r="Z135" s="8" t="s">
        <v>428</v>
      </c>
      <c r="AA135" s="20" t="s">
        <v>430</v>
      </c>
    </row>
    <row r="136" ht="15.75" customHeight="1">
      <c r="A136" s="12" t="s">
        <v>1016</v>
      </c>
      <c r="B136" s="12" t="s">
        <v>130</v>
      </c>
      <c r="C136" s="6" t="s">
        <v>1008</v>
      </c>
      <c r="D136" s="6" t="s">
        <v>242</v>
      </c>
      <c r="E136" s="11" t="s">
        <v>130</v>
      </c>
      <c r="F136" s="11" t="s">
        <v>131</v>
      </c>
      <c r="G136" s="11" t="s">
        <v>191</v>
      </c>
      <c r="H136" s="14">
        <v>18100.0</v>
      </c>
      <c r="I136" s="12" t="s">
        <v>107</v>
      </c>
      <c r="J136" s="15">
        <v>57.0</v>
      </c>
      <c r="K136" s="12" t="s">
        <v>112</v>
      </c>
      <c r="L136" s="16">
        <v>6.9</v>
      </c>
      <c r="M136" s="12" t="s">
        <v>118</v>
      </c>
      <c r="N136" s="11" t="str">
        <f t="shared" si="1"/>
        <v>Competitive</v>
      </c>
      <c r="O136" s="6" t="s">
        <v>420</v>
      </c>
      <c r="P136" s="15">
        <v>2.0</v>
      </c>
      <c r="Q136" s="15">
        <v>5.0</v>
      </c>
      <c r="R136" s="15">
        <v>1.0</v>
      </c>
      <c r="S136" s="15">
        <v>3.0</v>
      </c>
      <c r="T136" s="15">
        <v>2.0</v>
      </c>
      <c r="U136" s="15">
        <v>4.0</v>
      </c>
      <c r="V136" s="11">
        <f>ROUND((P136*'Business Analysis'!$B$35+Q136*'Business Analysis'!$B$36+R136*'Business Analysis'!$B$37+S136*'Business Analysis'!$B$38+T136*'Business Analysis'!$B$39+U136*'Business Analysis'!$B$40)/5*100,0)</f>
        <v>52</v>
      </c>
      <c r="W136" s="11" t="str">
        <f t="shared" si="2"/>
        <v>Low</v>
      </c>
      <c r="X136" s="12" t="s">
        <v>595</v>
      </c>
      <c r="Y136" s="11" t="s">
        <v>388</v>
      </c>
      <c r="Z136" s="6" t="s">
        <v>507</v>
      </c>
      <c r="AA136" s="11" t="s">
        <v>430</v>
      </c>
    </row>
    <row r="137" ht="15.75" customHeight="1">
      <c r="A137" s="30" t="s">
        <v>1017</v>
      </c>
      <c r="B137" s="30" t="s">
        <v>130</v>
      </c>
      <c r="C137" s="8" t="s">
        <v>1008</v>
      </c>
      <c r="D137" s="8" t="s">
        <v>242</v>
      </c>
      <c r="E137" s="20" t="s">
        <v>130</v>
      </c>
      <c r="F137" s="20" t="s">
        <v>131</v>
      </c>
      <c r="G137" s="20" t="s">
        <v>191</v>
      </c>
      <c r="H137" s="31">
        <v>1900.0</v>
      </c>
      <c r="I137" s="30" t="s">
        <v>107</v>
      </c>
      <c r="J137" s="32">
        <v>36.0</v>
      </c>
      <c r="K137" s="30" t="s">
        <v>112</v>
      </c>
      <c r="L137" s="33">
        <v>5.8</v>
      </c>
      <c r="M137" s="30" t="s">
        <v>118</v>
      </c>
      <c r="N137" s="20" t="str">
        <f t="shared" si="1"/>
        <v>Moderate</v>
      </c>
      <c r="O137" s="8" t="s">
        <v>420</v>
      </c>
      <c r="P137" s="32">
        <v>2.0</v>
      </c>
      <c r="Q137" s="32">
        <v>3.0</v>
      </c>
      <c r="R137" s="32">
        <v>2.0</v>
      </c>
      <c r="S137" s="32">
        <v>3.0</v>
      </c>
      <c r="T137" s="32">
        <v>2.0</v>
      </c>
      <c r="U137" s="32">
        <v>4.0</v>
      </c>
      <c r="V137" s="20">
        <f>ROUND((P137*'Business Analysis'!$B$35+Q137*'Business Analysis'!$B$36+R137*'Business Analysis'!$B$37+S137*'Business Analysis'!$B$38+T137*'Business Analysis'!$B$39+U137*'Business Analysis'!$B$40)/5*100,0)</f>
        <v>50</v>
      </c>
      <c r="W137" s="20" t="str">
        <f t="shared" si="2"/>
        <v>Low</v>
      </c>
      <c r="X137" s="30" t="s">
        <v>595</v>
      </c>
      <c r="Y137" s="20" t="s">
        <v>388</v>
      </c>
      <c r="Z137" s="8" t="s">
        <v>507</v>
      </c>
      <c r="AA137" s="20" t="s">
        <v>430</v>
      </c>
    </row>
    <row r="138" ht="15.75" customHeight="1">
      <c r="A138" s="12" t="s">
        <v>738</v>
      </c>
      <c r="B138" s="12" t="s">
        <v>209</v>
      </c>
      <c r="C138" s="6" t="s">
        <v>1008</v>
      </c>
      <c r="D138" s="6" t="s">
        <v>242</v>
      </c>
      <c r="E138" s="11" t="s">
        <v>209</v>
      </c>
      <c r="F138" s="11" t="s">
        <v>210</v>
      </c>
      <c r="G138" s="11" t="s">
        <v>98</v>
      </c>
      <c r="H138" s="14">
        <v>8100.0</v>
      </c>
      <c r="I138" s="12" t="s">
        <v>107</v>
      </c>
      <c r="J138" s="15">
        <v>44.0</v>
      </c>
      <c r="K138" s="12" t="s">
        <v>112</v>
      </c>
      <c r="L138" s="16">
        <v>1.5</v>
      </c>
      <c r="M138" s="12" t="s">
        <v>118</v>
      </c>
      <c r="N138" s="11" t="str">
        <f t="shared" si="1"/>
        <v>Competitive</v>
      </c>
      <c r="O138" s="6" t="s">
        <v>523</v>
      </c>
      <c r="P138" s="15">
        <v>1.0</v>
      </c>
      <c r="Q138" s="15">
        <v>4.0</v>
      </c>
      <c r="R138" s="15">
        <v>2.0</v>
      </c>
      <c r="S138" s="15">
        <v>1.0</v>
      </c>
      <c r="T138" s="15">
        <v>1.0</v>
      </c>
      <c r="U138" s="15">
        <v>4.0</v>
      </c>
      <c r="V138" s="11">
        <f>ROUND((P138*'Business Analysis'!$B$35+Q138*'Business Analysis'!$B$36+R138*'Business Analysis'!$B$37+S138*'Business Analysis'!$B$38+T138*'Business Analysis'!$B$39+U138*'Business Analysis'!$B$40)/5*100,0)</f>
        <v>39</v>
      </c>
      <c r="W138" s="11" t="str">
        <f t="shared" si="2"/>
        <v>Optional</v>
      </c>
      <c r="X138" s="12" t="s">
        <v>737</v>
      </c>
      <c r="Y138" s="11" t="s">
        <v>388</v>
      </c>
      <c r="Z138" s="6" t="s">
        <v>528</v>
      </c>
      <c r="AA138" s="11" t="s">
        <v>430</v>
      </c>
    </row>
    <row r="139" ht="15.75" customHeight="1">
      <c r="A139" s="30" t="s">
        <v>1018</v>
      </c>
      <c r="B139" s="30" t="s">
        <v>209</v>
      </c>
      <c r="C139" s="8" t="s">
        <v>1008</v>
      </c>
      <c r="D139" s="8" t="s">
        <v>242</v>
      </c>
      <c r="E139" s="20" t="s">
        <v>209</v>
      </c>
      <c r="F139" s="20" t="s">
        <v>210</v>
      </c>
      <c r="G139" s="20" t="s">
        <v>191</v>
      </c>
      <c r="H139" s="31">
        <v>40500.0</v>
      </c>
      <c r="I139" s="30" t="s">
        <v>107</v>
      </c>
      <c r="J139" s="32">
        <v>52.0</v>
      </c>
      <c r="K139" s="30" t="s">
        <v>112</v>
      </c>
      <c r="L139" s="33">
        <v>1.3</v>
      </c>
      <c r="M139" s="30" t="s">
        <v>118</v>
      </c>
      <c r="N139" s="20" t="str">
        <f t="shared" si="1"/>
        <v>Competitive</v>
      </c>
      <c r="O139" s="8" t="s">
        <v>523</v>
      </c>
      <c r="P139" s="32">
        <v>1.0</v>
      </c>
      <c r="Q139" s="32">
        <v>5.0</v>
      </c>
      <c r="R139" s="32">
        <v>1.0</v>
      </c>
      <c r="S139" s="32">
        <v>1.0</v>
      </c>
      <c r="T139" s="32">
        <v>1.0</v>
      </c>
      <c r="U139" s="32">
        <v>4.0</v>
      </c>
      <c r="V139" s="20">
        <f>ROUND((P139*'Business Analysis'!$B$35+Q139*'Business Analysis'!$B$36+R139*'Business Analysis'!$B$37+S139*'Business Analysis'!$B$38+T139*'Business Analysis'!$B$39+U139*'Business Analysis'!$B$40)/5*100,0)</f>
        <v>38</v>
      </c>
      <c r="W139" s="20" t="str">
        <f t="shared" si="2"/>
        <v>Optional</v>
      </c>
      <c r="X139" s="30" t="s">
        <v>737</v>
      </c>
      <c r="Y139" s="20" t="s">
        <v>388</v>
      </c>
      <c r="Z139" s="8" t="s">
        <v>528</v>
      </c>
      <c r="AA139" s="20" t="s">
        <v>430</v>
      </c>
    </row>
    <row r="140" ht="15.75" customHeight="1">
      <c r="A140" s="12" t="s">
        <v>740</v>
      </c>
      <c r="B140" s="12" t="s">
        <v>530</v>
      </c>
      <c r="C140" s="6" t="s">
        <v>1008</v>
      </c>
      <c r="D140" s="6" t="s">
        <v>242</v>
      </c>
      <c r="E140" s="11" t="s">
        <v>209</v>
      </c>
      <c r="F140" s="11" t="s">
        <v>210</v>
      </c>
      <c r="G140" s="11" t="s">
        <v>98</v>
      </c>
      <c r="H140" s="14">
        <v>49500.0</v>
      </c>
      <c r="I140" s="12" t="s">
        <v>107</v>
      </c>
      <c r="J140" s="15">
        <v>55.0</v>
      </c>
      <c r="K140" s="12" t="s">
        <v>112</v>
      </c>
      <c r="L140" s="16">
        <v>1.7</v>
      </c>
      <c r="M140" s="12" t="s">
        <v>118</v>
      </c>
      <c r="N140" s="11" t="str">
        <f t="shared" si="1"/>
        <v>Competitive</v>
      </c>
      <c r="O140" s="6" t="s">
        <v>523</v>
      </c>
      <c r="P140" s="15">
        <v>1.0</v>
      </c>
      <c r="Q140" s="15">
        <v>5.0</v>
      </c>
      <c r="R140" s="15">
        <v>1.0</v>
      </c>
      <c r="S140" s="15">
        <v>2.0</v>
      </c>
      <c r="T140" s="15">
        <v>1.0</v>
      </c>
      <c r="U140" s="15">
        <v>4.0</v>
      </c>
      <c r="V140" s="11">
        <f>ROUND((P140*'Business Analysis'!$B$35+Q140*'Business Analysis'!$B$36+R140*'Business Analysis'!$B$37+S140*'Business Analysis'!$B$38+T140*'Business Analysis'!$B$39+U140*'Business Analysis'!$B$40)/5*100,0)</f>
        <v>41</v>
      </c>
      <c r="W140" s="11" t="str">
        <f t="shared" si="2"/>
        <v>Low</v>
      </c>
      <c r="X140" s="12" t="s">
        <v>739</v>
      </c>
      <c r="Y140" s="11" t="s">
        <v>388</v>
      </c>
      <c r="Z140" s="6" t="s">
        <v>528</v>
      </c>
      <c r="AA140" s="11" t="s">
        <v>430</v>
      </c>
    </row>
    <row r="141" ht="15.75" customHeight="1">
      <c r="A141" s="30" t="s">
        <v>252</v>
      </c>
      <c r="B141" s="30" t="s">
        <v>87</v>
      </c>
      <c r="C141" s="8" t="s">
        <v>1008</v>
      </c>
      <c r="D141" s="8" t="s">
        <v>251</v>
      </c>
      <c r="E141" s="20" t="s">
        <v>29</v>
      </c>
      <c r="F141" s="20" t="s">
        <v>31</v>
      </c>
      <c r="G141" s="20" t="s">
        <v>98</v>
      </c>
      <c r="H141" s="31">
        <v>90.0</v>
      </c>
      <c r="I141" s="30" t="s">
        <v>107</v>
      </c>
      <c r="J141" s="32">
        <v>21.0</v>
      </c>
      <c r="K141" s="30" t="s">
        <v>112</v>
      </c>
      <c r="L141" s="33">
        <v>9.3</v>
      </c>
      <c r="M141" s="30" t="s">
        <v>118</v>
      </c>
      <c r="N141" s="20" t="str">
        <f t="shared" si="1"/>
        <v>Moderate</v>
      </c>
      <c r="O141" s="8" t="s">
        <v>142</v>
      </c>
      <c r="P141" s="32">
        <v>3.0</v>
      </c>
      <c r="Q141" s="32">
        <v>3.0</v>
      </c>
      <c r="R141" s="32">
        <v>4.0</v>
      </c>
      <c r="S141" s="32">
        <v>5.0</v>
      </c>
      <c r="T141" s="32">
        <v>4.0</v>
      </c>
      <c r="U141" s="32">
        <v>3.0</v>
      </c>
      <c r="V141" s="20">
        <f>ROUND((P141*'Business Analysis'!$B$35+Q141*'Business Analysis'!$B$36+R141*'Business Analysis'!$B$37+S141*'Business Analysis'!$B$38+T141*'Business Analysis'!$B$39+U141*'Business Analysis'!$B$40)/5*100,0)</f>
        <v>73</v>
      </c>
      <c r="W141" s="20" t="str">
        <f t="shared" si="2"/>
        <v>Medium</v>
      </c>
      <c r="X141" s="30" t="s">
        <v>608</v>
      </c>
      <c r="Y141" s="20" t="s">
        <v>388</v>
      </c>
      <c r="Z141" s="8" t="s">
        <v>1019</v>
      </c>
      <c r="AA141" s="20" t="s">
        <v>183</v>
      </c>
    </row>
    <row r="142" ht="15.75" customHeight="1">
      <c r="A142" s="12" t="s">
        <v>1020</v>
      </c>
      <c r="B142" s="12" t="s">
        <v>29</v>
      </c>
      <c r="C142" s="6" t="s">
        <v>1008</v>
      </c>
      <c r="D142" s="6" t="s">
        <v>251</v>
      </c>
      <c r="E142" s="11" t="s">
        <v>29</v>
      </c>
      <c r="F142" s="11" t="s">
        <v>31</v>
      </c>
      <c r="G142" s="11" t="s">
        <v>191</v>
      </c>
      <c r="H142" s="14">
        <v>60500.0</v>
      </c>
      <c r="I142" s="12" t="s">
        <v>107</v>
      </c>
      <c r="J142" s="15">
        <v>68.0</v>
      </c>
      <c r="K142" s="12" t="s">
        <v>112</v>
      </c>
      <c r="L142" s="16">
        <v>8.6</v>
      </c>
      <c r="M142" s="12" t="s">
        <v>118</v>
      </c>
      <c r="N142" s="11" t="str">
        <f t="shared" si="1"/>
        <v>Competitive</v>
      </c>
      <c r="O142" s="6" t="s">
        <v>420</v>
      </c>
      <c r="P142" s="15">
        <v>1.0</v>
      </c>
      <c r="Q142" s="15">
        <v>5.0</v>
      </c>
      <c r="R142" s="15">
        <v>1.0</v>
      </c>
      <c r="S142" s="15">
        <v>5.0</v>
      </c>
      <c r="T142" s="15">
        <v>3.0</v>
      </c>
      <c r="U142" s="15">
        <v>3.0</v>
      </c>
      <c r="V142" s="11">
        <f>ROUND((P142*'Business Analysis'!$B$35+Q142*'Business Analysis'!$B$36+R142*'Business Analysis'!$B$37+S142*'Business Analysis'!$B$38+T142*'Business Analysis'!$B$39+U142*'Business Analysis'!$B$40)/5*100,0)</f>
        <v>54</v>
      </c>
      <c r="W142" s="11" t="str">
        <f t="shared" si="2"/>
        <v>Low</v>
      </c>
      <c r="X142" s="12" t="s">
        <v>608</v>
      </c>
      <c r="Y142" s="11" t="s">
        <v>388</v>
      </c>
      <c r="Z142" s="6" t="s">
        <v>428</v>
      </c>
      <c r="AA142" s="11" t="s">
        <v>430</v>
      </c>
    </row>
    <row r="143" ht="15.75" customHeight="1">
      <c r="A143" s="30" t="s">
        <v>1021</v>
      </c>
      <c r="B143" s="30" t="s">
        <v>130</v>
      </c>
      <c r="C143" s="8" t="s">
        <v>1008</v>
      </c>
      <c r="D143" s="8" t="s">
        <v>251</v>
      </c>
      <c r="E143" s="20" t="s">
        <v>130</v>
      </c>
      <c r="F143" s="20" t="s">
        <v>131</v>
      </c>
      <c r="G143" s="20" t="s">
        <v>191</v>
      </c>
      <c r="H143" s="31">
        <v>33100.0</v>
      </c>
      <c r="I143" s="30" t="s">
        <v>107</v>
      </c>
      <c r="J143" s="32">
        <v>60.0</v>
      </c>
      <c r="K143" s="30" t="s">
        <v>112</v>
      </c>
      <c r="L143" s="33">
        <v>6.4</v>
      </c>
      <c r="M143" s="30" t="s">
        <v>118</v>
      </c>
      <c r="N143" s="20" t="str">
        <f t="shared" si="1"/>
        <v>Competitive</v>
      </c>
      <c r="O143" s="8" t="s">
        <v>420</v>
      </c>
      <c r="P143" s="32">
        <v>1.0</v>
      </c>
      <c r="Q143" s="32">
        <v>5.0</v>
      </c>
      <c r="R143" s="32">
        <v>1.0</v>
      </c>
      <c r="S143" s="32">
        <v>3.0</v>
      </c>
      <c r="T143" s="32">
        <v>2.0</v>
      </c>
      <c r="U143" s="32">
        <v>3.0</v>
      </c>
      <c r="V143" s="20">
        <f>ROUND((P143*'Business Analysis'!$B$35+Q143*'Business Analysis'!$B$36+R143*'Business Analysis'!$B$37+S143*'Business Analysis'!$B$38+T143*'Business Analysis'!$B$39+U143*'Business Analysis'!$B$40)/5*100,0)</f>
        <v>45</v>
      </c>
      <c r="W143" s="20" t="str">
        <f t="shared" si="2"/>
        <v>Low</v>
      </c>
      <c r="X143" s="30" t="s">
        <v>608</v>
      </c>
      <c r="Y143" s="20" t="s">
        <v>388</v>
      </c>
      <c r="Z143" s="8" t="s">
        <v>507</v>
      </c>
      <c r="AA143" s="20" t="s">
        <v>430</v>
      </c>
    </row>
    <row r="144" ht="15.75" customHeight="1">
      <c r="A144" s="12" t="s">
        <v>742</v>
      </c>
      <c r="B144" s="12" t="s">
        <v>209</v>
      </c>
      <c r="C144" s="6" t="s">
        <v>1008</v>
      </c>
      <c r="D144" s="6" t="s">
        <v>251</v>
      </c>
      <c r="E144" s="11" t="s">
        <v>209</v>
      </c>
      <c r="F144" s="11" t="s">
        <v>210</v>
      </c>
      <c r="G144" s="11" t="s">
        <v>98</v>
      </c>
      <c r="H144" s="14">
        <v>27100.0</v>
      </c>
      <c r="I144" s="12" t="s">
        <v>107</v>
      </c>
      <c r="J144" s="15">
        <v>52.0</v>
      </c>
      <c r="K144" s="12" t="s">
        <v>112</v>
      </c>
      <c r="L144" s="16">
        <v>1.4</v>
      </c>
      <c r="M144" s="12" t="s">
        <v>118</v>
      </c>
      <c r="N144" s="11" t="str">
        <f t="shared" si="1"/>
        <v>Competitive</v>
      </c>
      <c r="O144" s="6" t="s">
        <v>523</v>
      </c>
      <c r="P144" s="15">
        <v>1.0</v>
      </c>
      <c r="Q144" s="15">
        <v>5.0</v>
      </c>
      <c r="R144" s="15">
        <v>1.0</v>
      </c>
      <c r="S144" s="15">
        <v>1.0</v>
      </c>
      <c r="T144" s="15">
        <v>1.0</v>
      </c>
      <c r="U144" s="15">
        <v>3.0</v>
      </c>
      <c r="V144" s="11">
        <f>ROUND((P144*'Business Analysis'!$B$35+Q144*'Business Analysis'!$B$36+R144*'Business Analysis'!$B$37+S144*'Business Analysis'!$B$38+T144*'Business Analysis'!$B$39+U144*'Business Analysis'!$B$40)/5*100,0)</f>
        <v>36</v>
      </c>
      <c r="W144" s="11" t="str">
        <f t="shared" si="2"/>
        <v>Optional</v>
      </c>
      <c r="X144" s="12" t="s">
        <v>741</v>
      </c>
      <c r="Y144" s="11" t="s">
        <v>388</v>
      </c>
      <c r="Z144" s="6" t="s">
        <v>528</v>
      </c>
      <c r="AA144" s="11" t="s">
        <v>430</v>
      </c>
    </row>
    <row r="145" ht="15.75" customHeight="1">
      <c r="A145" s="30" t="s">
        <v>935</v>
      </c>
      <c r="B145" s="30" t="s">
        <v>209</v>
      </c>
      <c r="C145" s="8" t="s">
        <v>1008</v>
      </c>
      <c r="D145" s="8" t="s">
        <v>251</v>
      </c>
      <c r="E145" s="20" t="s">
        <v>209</v>
      </c>
      <c r="F145" s="20" t="s">
        <v>210</v>
      </c>
      <c r="G145" s="20" t="s">
        <v>191</v>
      </c>
      <c r="H145" s="31">
        <v>6600.0</v>
      </c>
      <c r="I145" s="30" t="s">
        <v>107</v>
      </c>
      <c r="J145" s="32">
        <v>40.0</v>
      </c>
      <c r="K145" s="30" t="s">
        <v>112</v>
      </c>
      <c r="L145" s="33">
        <v>1.7</v>
      </c>
      <c r="M145" s="30" t="s">
        <v>118</v>
      </c>
      <c r="N145" s="20" t="str">
        <f t="shared" si="1"/>
        <v>Moderate</v>
      </c>
      <c r="O145" s="8" t="s">
        <v>523</v>
      </c>
      <c r="P145" s="32">
        <v>1.0</v>
      </c>
      <c r="Q145" s="32">
        <v>4.0</v>
      </c>
      <c r="R145" s="32">
        <v>2.0</v>
      </c>
      <c r="S145" s="32">
        <v>1.0</v>
      </c>
      <c r="T145" s="32">
        <v>1.0</v>
      </c>
      <c r="U145" s="32">
        <v>3.0</v>
      </c>
      <c r="V145" s="20">
        <f>ROUND((P145*'Business Analysis'!$B$35+Q145*'Business Analysis'!$B$36+R145*'Business Analysis'!$B$37+S145*'Business Analysis'!$B$38+T145*'Business Analysis'!$B$39+U145*'Business Analysis'!$B$40)/5*100,0)</f>
        <v>37</v>
      </c>
      <c r="W145" s="20" t="str">
        <f t="shared" si="2"/>
        <v>Optional</v>
      </c>
      <c r="X145" s="30" t="s">
        <v>741</v>
      </c>
      <c r="Y145" s="20" t="s">
        <v>388</v>
      </c>
      <c r="Z145" s="8" t="s">
        <v>528</v>
      </c>
      <c r="AA145" s="20" t="s">
        <v>430</v>
      </c>
    </row>
    <row r="146" ht="15.75" customHeight="1">
      <c r="A146" s="12" t="s">
        <v>259</v>
      </c>
      <c r="B146" s="12" t="s">
        <v>87</v>
      </c>
      <c r="C146" s="6" t="s">
        <v>1022</v>
      </c>
      <c r="D146" s="6" t="s">
        <v>258</v>
      </c>
      <c r="E146" s="11" t="s">
        <v>29</v>
      </c>
      <c r="F146" s="11" t="s">
        <v>31</v>
      </c>
      <c r="G146" s="11" t="s">
        <v>98</v>
      </c>
      <c r="H146" s="14">
        <v>210.0</v>
      </c>
      <c r="I146" s="12" t="s">
        <v>107</v>
      </c>
      <c r="J146" s="15">
        <v>26.0</v>
      </c>
      <c r="K146" s="12" t="s">
        <v>112</v>
      </c>
      <c r="L146" s="16">
        <v>12.4</v>
      </c>
      <c r="M146" s="12" t="s">
        <v>118</v>
      </c>
      <c r="N146" s="11" t="str">
        <f t="shared" si="1"/>
        <v>Moderate</v>
      </c>
      <c r="O146" s="6" t="s">
        <v>142</v>
      </c>
      <c r="P146" s="15">
        <v>3.0</v>
      </c>
      <c r="Q146" s="15">
        <v>4.0</v>
      </c>
      <c r="R146" s="15">
        <v>3.0</v>
      </c>
      <c r="S146" s="15">
        <v>5.0</v>
      </c>
      <c r="T146" s="15">
        <v>4.0</v>
      </c>
      <c r="U146" s="15">
        <v>3.0</v>
      </c>
      <c r="V146" s="11">
        <f>ROUND((P146*'Business Analysis'!$B$35+Q146*'Business Analysis'!$B$36+R146*'Business Analysis'!$B$37+S146*'Business Analysis'!$B$38+T146*'Business Analysis'!$B$39+U146*'Business Analysis'!$B$40)/5*100,0)</f>
        <v>72</v>
      </c>
      <c r="W146" s="11" t="str">
        <f t="shared" si="2"/>
        <v>Medium</v>
      </c>
      <c r="X146" s="12" t="s">
        <v>611</v>
      </c>
      <c r="Y146" s="11" t="s">
        <v>388</v>
      </c>
      <c r="Z146" s="6" t="s">
        <v>1023</v>
      </c>
      <c r="AA146" s="11" t="s">
        <v>183</v>
      </c>
    </row>
    <row r="147" ht="15.75" customHeight="1">
      <c r="A147" s="30" t="s">
        <v>1024</v>
      </c>
      <c r="B147" s="30" t="s">
        <v>29</v>
      </c>
      <c r="C147" s="8" t="s">
        <v>1022</v>
      </c>
      <c r="D147" s="8" t="s">
        <v>258</v>
      </c>
      <c r="E147" s="20" t="s">
        <v>29</v>
      </c>
      <c r="F147" s="20" t="s">
        <v>31</v>
      </c>
      <c r="G147" s="20" t="s">
        <v>191</v>
      </c>
      <c r="H147" s="31">
        <v>90.0</v>
      </c>
      <c r="I147" s="30" t="s">
        <v>107</v>
      </c>
      <c r="J147" s="32">
        <v>22.0</v>
      </c>
      <c r="K147" s="30" t="s">
        <v>112</v>
      </c>
      <c r="L147" s="33">
        <v>10.2</v>
      </c>
      <c r="M147" s="30" t="s">
        <v>118</v>
      </c>
      <c r="N147" s="20" t="str">
        <f t="shared" si="1"/>
        <v>Moderate</v>
      </c>
      <c r="O147" s="8" t="s">
        <v>142</v>
      </c>
      <c r="P147" s="32">
        <v>3.0</v>
      </c>
      <c r="Q147" s="32">
        <v>3.0</v>
      </c>
      <c r="R147" s="32">
        <v>4.0</v>
      </c>
      <c r="S147" s="32">
        <v>5.0</v>
      </c>
      <c r="T147" s="32">
        <v>4.0</v>
      </c>
      <c r="U147" s="32">
        <v>3.0</v>
      </c>
      <c r="V147" s="20">
        <f>ROUND((P147*'Business Analysis'!$B$35+Q147*'Business Analysis'!$B$36+R147*'Business Analysis'!$B$37+S147*'Business Analysis'!$B$38+T147*'Business Analysis'!$B$39+U147*'Business Analysis'!$B$40)/5*100,0)</f>
        <v>73</v>
      </c>
      <c r="W147" s="20" t="str">
        <f t="shared" si="2"/>
        <v>Medium</v>
      </c>
      <c r="X147" s="30" t="s">
        <v>611</v>
      </c>
      <c r="Y147" s="20" t="s">
        <v>388</v>
      </c>
      <c r="Z147" s="8" t="s">
        <v>213</v>
      </c>
      <c r="AA147" s="20" t="s">
        <v>183</v>
      </c>
    </row>
    <row r="148" ht="15.75" customHeight="1">
      <c r="A148" s="12" t="s">
        <v>1025</v>
      </c>
      <c r="B148" s="12" t="s">
        <v>530</v>
      </c>
      <c r="C148" s="6" t="s">
        <v>1022</v>
      </c>
      <c r="D148" s="6" t="s">
        <v>258</v>
      </c>
      <c r="E148" s="11" t="s">
        <v>29</v>
      </c>
      <c r="F148" s="11" t="s">
        <v>31</v>
      </c>
      <c r="G148" s="11" t="s">
        <v>191</v>
      </c>
      <c r="H148" s="14">
        <v>40.0</v>
      </c>
      <c r="I148" s="12" t="s">
        <v>107</v>
      </c>
      <c r="J148" s="15">
        <v>16.0</v>
      </c>
      <c r="K148" s="12" t="s">
        <v>112</v>
      </c>
      <c r="L148" s="16">
        <v>9.7</v>
      </c>
      <c r="M148" s="12" t="s">
        <v>118</v>
      </c>
      <c r="N148" s="11" t="str">
        <f t="shared" si="1"/>
        <v>Easy</v>
      </c>
      <c r="O148" s="6" t="s">
        <v>142</v>
      </c>
      <c r="P148" s="15">
        <v>3.0</v>
      </c>
      <c r="Q148" s="15">
        <v>2.0</v>
      </c>
      <c r="R148" s="15">
        <v>4.0</v>
      </c>
      <c r="S148" s="15">
        <v>5.0</v>
      </c>
      <c r="T148" s="15">
        <v>4.0</v>
      </c>
      <c r="U148" s="15">
        <v>3.0</v>
      </c>
      <c r="V148" s="11">
        <f>ROUND((P148*'Business Analysis'!$B$35+Q148*'Business Analysis'!$B$36+R148*'Business Analysis'!$B$37+S148*'Business Analysis'!$B$38+T148*'Business Analysis'!$B$39+U148*'Business Analysis'!$B$40)/5*100,0)</f>
        <v>70</v>
      </c>
      <c r="W148" s="11" t="str">
        <f t="shared" si="2"/>
        <v>Medium</v>
      </c>
      <c r="X148" s="12" t="s">
        <v>611</v>
      </c>
      <c r="Y148" s="11" t="s">
        <v>388</v>
      </c>
      <c r="Z148" s="6" t="s">
        <v>213</v>
      </c>
      <c r="AA148" s="11" t="s">
        <v>183</v>
      </c>
    </row>
    <row r="149" ht="15.75" customHeight="1">
      <c r="A149" s="30" t="s">
        <v>1026</v>
      </c>
      <c r="B149" s="30" t="s">
        <v>29</v>
      </c>
      <c r="C149" s="8" t="s">
        <v>1022</v>
      </c>
      <c r="D149" s="8" t="s">
        <v>258</v>
      </c>
      <c r="E149" s="20" t="s">
        <v>29</v>
      </c>
      <c r="F149" s="20" t="s">
        <v>31</v>
      </c>
      <c r="G149" s="20" t="s">
        <v>191</v>
      </c>
      <c r="H149" s="31">
        <v>30.0</v>
      </c>
      <c r="I149" s="30" t="s">
        <v>107</v>
      </c>
      <c r="J149" s="32">
        <v>15.0</v>
      </c>
      <c r="K149" s="30" t="s">
        <v>112</v>
      </c>
      <c r="L149" s="33">
        <v>9.3</v>
      </c>
      <c r="M149" s="30" t="s">
        <v>118</v>
      </c>
      <c r="N149" s="20" t="str">
        <f t="shared" si="1"/>
        <v>Easy</v>
      </c>
      <c r="O149" s="8" t="s">
        <v>142</v>
      </c>
      <c r="P149" s="32">
        <v>3.0</v>
      </c>
      <c r="Q149" s="32">
        <v>2.0</v>
      </c>
      <c r="R149" s="32">
        <v>5.0</v>
      </c>
      <c r="S149" s="32">
        <v>5.0</v>
      </c>
      <c r="T149" s="32">
        <v>4.0</v>
      </c>
      <c r="U149" s="32">
        <v>3.0</v>
      </c>
      <c r="V149" s="20">
        <f>ROUND((P149*'Business Analysis'!$B$35+Q149*'Business Analysis'!$B$36+R149*'Business Analysis'!$B$37+S149*'Business Analysis'!$B$38+T149*'Business Analysis'!$B$39+U149*'Business Analysis'!$B$40)/5*100,0)</f>
        <v>74</v>
      </c>
      <c r="W149" s="20" t="str">
        <f t="shared" si="2"/>
        <v>Medium</v>
      </c>
      <c r="X149" s="30" t="s">
        <v>611</v>
      </c>
      <c r="Y149" s="20" t="s">
        <v>388</v>
      </c>
      <c r="Z149" s="8" t="s">
        <v>213</v>
      </c>
      <c r="AA149" s="20" t="s">
        <v>183</v>
      </c>
    </row>
    <row r="150" ht="15.75" customHeight="1">
      <c r="A150" s="12" t="s">
        <v>1027</v>
      </c>
      <c r="B150" s="12" t="s">
        <v>29</v>
      </c>
      <c r="C150" s="6" t="s">
        <v>1022</v>
      </c>
      <c r="D150" s="6" t="s">
        <v>258</v>
      </c>
      <c r="E150" s="11" t="s">
        <v>29</v>
      </c>
      <c r="F150" s="11" t="s">
        <v>31</v>
      </c>
      <c r="G150" s="11" t="s">
        <v>191</v>
      </c>
      <c r="H150" s="14">
        <v>201000.0</v>
      </c>
      <c r="I150" s="12" t="s">
        <v>107</v>
      </c>
      <c r="J150" s="15">
        <v>75.0</v>
      </c>
      <c r="K150" s="12" t="s">
        <v>112</v>
      </c>
      <c r="L150" s="16">
        <v>14.2</v>
      </c>
      <c r="M150" s="12" t="s">
        <v>118</v>
      </c>
      <c r="N150" s="11" t="str">
        <f t="shared" si="1"/>
        <v>Very Competitive</v>
      </c>
      <c r="O150" s="6" t="s">
        <v>420</v>
      </c>
      <c r="P150" s="15">
        <v>1.0</v>
      </c>
      <c r="Q150" s="15">
        <v>5.0</v>
      </c>
      <c r="R150" s="15">
        <v>1.0</v>
      </c>
      <c r="S150" s="15">
        <v>5.0</v>
      </c>
      <c r="T150" s="15">
        <v>3.0</v>
      </c>
      <c r="U150" s="15">
        <v>3.0</v>
      </c>
      <c r="V150" s="11">
        <f>ROUND((P150*'Business Analysis'!$B$35+Q150*'Business Analysis'!$B$36+R150*'Business Analysis'!$B$37+S150*'Business Analysis'!$B$38+T150*'Business Analysis'!$B$39+U150*'Business Analysis'!$B$40)/5*100,0)</f>
        <v>54</v>
      </c>
      <c r="W150" s="11" t="str">
        <f t="shared" si="2"/>
        <v>Low</v>
      </c>
      <c r="X150" s="12" t="s">
        <v>611</v>
      </c>
      <c r="Y150" s="11" t="s">
        <v>388</v>
      </c>
      <c r="Z150" s="6" t="s">
        <v>428</v>
      </c>
      <c r="AA150" s="11" t="s">
        <v>430</v>
      </c>
    </row>
    <row r="151" ht="15.75" customHeight="1">
      <c r="A151" s="30" t="s">
        <v>1028</v>
      </c>
      <c r="B151" s="30" t="s">
        <v>530</v>
      </c>
      <c r="C151" s="8" t="s">
        <v>1022</v>
      </c>
      <c r="D151" s="8" t="s">
        <v>258</v>
      </c>
      <c r="E151" s="20" t="s">
        <v>130</v>
      </c>
      <c r="F151" s="20" t="s">
        <v>131</v>
      </c>
      <c r="G151" s="20" t="s">
        <v>191</v>
      </c>
      <c r="H151" s="31">
        <v>12100.0</v>
      </c>
      <c r="I151" s="30" t="s">
        <v>107</v>
      </c>
      <c r="J151" s="32">
        <v>48.0</v>
      </c>
      <c r="K151" s="30" t="s">
        <v>112</v>
      </c>
      <c r="L151" s="33">
        <v>4.8</v>
      </c>
      <c r="M151" s="30" t="s">
        <v>118</v>
      </c>
      <c r="N151" s="20" t="str">
        <f t="shared" si="1"/>
        <v>Competitive</v>
      </c>
      <c r="O151" s="8" t="s">
        <v>420</v>
      </c>
      <c r="P151" s="32">
        <v>1.0</v>
      </c>
      <c r="Q151" s="32">
        <v>5.0</v>
      </c>
      <c r="R151" s="32">
        <v>2.0</v>
      </c>
      <c r="S151" s="32">
        <v>3.0</v>
      </c>
      <c r="T151" s="32">
        <v>2.0</v>
      </c>
      <c r="U151" s="32">
        <v>3.0</v>
      </c>
      <c r="V151" s="20">
        <f>ROUND((P151*'Business Analysis'!$B$35+Q151*'Business Analysis'!$B$36+R151*'Business Analysis'!$B$37+S151*'Business Analysis'!$B$38+T151*'Business Analysis'!$B$39+U151*'Business Analysis'!$B$40)/5*100,0)</f>
        <v>49</v>
      </c>
      <c r="W151" s="20" t="str">
        <f t="shared" si="2"/>
        <v>Low</v>
      </c>
      <c r="X151" s="30" t="s">
        <v>611</v>
      </c>
      <c r="Y151" s="20" t="s">
        <v>388</v>
      </c>
      <c r="Z151" s="8" t="s">
        <v>507</v>
      </c>
      <c r="AA151" s="20" t="s">
        <v>430</v>
      </c>
    </row>
    <row r="152" ht="15.75" customHeight="1">
      <c r="A152" s="12" t="s">
        <v>745</v>
      </c>
      <c r="B152" s="12" t="s">
        <v>209</v>
      </c>
      <c r="C152" s="6" t="s">
        <v>1022</v>
      </c>
      <c r="D152" s="6" t="s">
        <v>258</v>
      </c>
      <c r="E152" s="11" t="s">
        <v>209</v>
      </c>
      <c r="F152" s="11" t="s">
        <v>210</v>
      </c>
      <c r="G152" s="11" t="s">
        <v>98</v>
      </c>
      <c r="H152" s="14">
        <v>49500.0</v>
      </c>
      <c r="I152" s="12" t="s">
        <v>107</v>
      </c>
      <c r="J152" s="15">
        <v>58.0</v>
      </c>
      <c r="K152" s="12" t="s">
        <v>112</v>
      </c>
      <c r="L152" s="16">
        <v>1.9</v>
      </c>
      <c r="M152" s="12" t="s">
        <v>118</v>
      </c>
      <c r="N152" s="11" t="str">
        <f t="shared" si="1"/>
        <v>Competitive</v>
      </c>
      <c r="O152" s="6" t="s">
        <v>523</v>
      </c>
      <c r="P152" s="15">
        <v>1.0</v>
      </c>
      <c r="Q152" s="15">
        <v>5.0</v>
      </c>
      <c r="R152" s="15">
        <v>1.0</v>
      </c>
      <c r="S152" s="15">
        <v>1.0</v>
      </c>
      <c r="T152" s="15">
        <v>1.0</v>
      </c>
      <c r="U152" s="15">
        <v>3.0</v>
      </c>
      <c r="V152" s="11">
        <f>ROUND((P152*'Business Analysis'!$B$35+Q152*'Business Analysis'!$B$36+R152*'Business Analysis'!$B$37+S152*'Business Analysis'!$B$38+T152*'Business Analysis'!$B$39+U152*'Business Analysis'!$B$40)/5*100,0)</f>
        <v>36</v>
      </c>
      <c r="W152" s="11" t="str">
        <f t="shared" si="2"/>
        <v>Optional</v>
      </c>
      <c r="X152" s="12" t="s">
        <v>743</v>
      </c>
      <c r="Y152" s="11" t="s">
        <v>388</v>
      </c>
      <c r="Z152" s="6" t="s">
        <v>528</v>
      </c>
      <c r="AA152" s="11" t="s">
        <v>430</v>
      </c>
    </row>
    <row r="153" ht="15.75" customHeight="1">
      <c r="A153" s="30" t="s">
        <v>272</v>
      </c>
      <c r="B153" s="30" t="s">
        <v>87</v>
      </c>
      <c r="C153" s="8" t="s">
        <v>570</v>
      </c>
      <c r="D153" s="8" t="s">
        <v>270</v>
      </c>
      <c r="E153" s="20" t="s">
        <v>29</v>
      </c>
      <c r="F153" s="20" t="s">
        <v>31</v>
      </c>
      <c r="G153" s="20" t="s">
        <v>98</v>
      </c>
      <c r="H153" s="31">
        <v>70.0</v>
      </c>
      <c r="I153" s="30" t="s">
        <v>107</v>
      </c>
      <c r="J153" s="32">
        <v>19.0</v>
      </c>
      <c r="K153" s="30" t="s">
        <v>112</v>
      </c>
      <c r="L153" s="33">
        <v>9.9</v>
      </c>
      <c r="M153" s="30" t="s">
        <v>118</v>
      </c>
      <c r="N153" s="20" t="str">
        <f t="shared" si="1"/>
        <v>Easy</v>
      </c>
      <c r="O153" s="8" t="s">
        <v>142</v>
      </c>
      <c r="P153" s="32">
        <v>3.0</v>
      </c>
      <c r="Q153" s="32">
        <v>3.0</v>
      </c>
      <c r="R153" s="32">
        <v>4.0</v>
      </c>
      <c r="S153" s="32">
        <v>5.0</v>
      </c>
      <c r="T153" s="32">
        <v>4.0</v>
      </c>
      <c r="U153" s="32">
        <v>3.0</v>
      </c>
      <c r="V153" s="20">
        <f>ROUND((P153*'Business Analysis'!$B$35+Q153*'Business Analysis'!$B$36+R153*'Business Analysis'!$B$37+S153*'Business Analysis'!$B$38+T153*'Business Analysis'!$B$39+U153*'Business Analysis'!$B$40)/5*100,0)</f>
        <v>73</v>
      </c>
      <c r="W153" s="20" t="str">
        <f t="shared" si="2"/>
        <v>Medium</v>
      </c>
      <c r="X153" s="30" t="s">
        <v>615</v>
      </c>
      <c r="Y153" s="20" t="s">
        <v>388</v>
      </c>
      <c r="Z153" s="8" t="s">
        <v>213</v>
      </c>
      <c r="AA153" s="20" t="s">
        <v>183</v>
      </c>
    </row>
    <row r="154" ht="15.75" customHeight="1">
      <c r="A154" s="12" t="s">
        <v>1029</v>
      </c>
      <c r="B154" s="12" t="s">
        <v>87</v>
      </c>
      <c r="C154" s="6" t="s">
        <v>570</v>
      </c>
      <c r="D154" s="6" t="s">
        <v>270</v>
      </c>
      <c r="E154" s="11" t="s">
        <v>29</v>
      </c>
      <c r="F154" s="11" t="s">
        <v>31</v>
      </c>
      <c r="G154" s="11" t="s">
        <v>191</v>
      </c>
      <c r="H154" s="14">
        <v>50.0</v>
      </c>
      <c r="I154" s="12" t="s">
        <v>107</v>
      </c>
      <c r="J154" s="15">
        <v>18.0</v>
      </c>
      <c r="K154" s="12" t="s">
        <v>112</v>
      </c>
      <c r="L154" s="16">
        <v>9.4</v>
      </c>
      <c r="M154" s="12" t="s">
        <v>118</v>
      </c>
      <c r="N154" s="11" t="str">
        <f t="shared" si="1"/>
        <v>Easy</v>
      </c>
      <c r="O154" s="6" t="s">
        <v>142</v>
      </c>
      <c r="P154" s="15">
        <v>3.0</v>
      </c>
      <c r="Q154" s="15">
        <v>3.0</v>
      </c>
      <c r="R154" s="15">
        <v>4.0</v>
      </c>
      <c r="S154" s="15">
        <v>5.0</v>
      </c>
      <c r="T154" s="15">
        <v>4.0</v>
      </c>
      <c r="U154" s="15">
        <v>3.0</v>
      </c>
      <c r="V154" s="11">
        <f>ROUND((P154*'Business Analysis'!$B$35+Q154*'Business Analysis'!$B$36+R154*'Business Analysis'!$B$37+S154*'Business Analysis'!$B$38+T154*'Business Analysis'!$B$39+U154*'Business Analysis'!$B$40)/5*100,0)</f>
        <v>73</v>
      </c>
      <c r="W154" s="11" t="str">
        <f t="shared" si="2"/>
        <v>Medium</v>
      </c>
      <c r="X154" s="12" t="s">
        <v>615</v>
      </c>
      <c r="Y154" s="11" t="s">
        <v>388</v>
      </c>
      <c r="Z154" s="6" t="s">
        <v>213</v>
      </c>
      <c r="AA154" s="11" t="s">
        <v>183</v>
      </c>
    </row>
    <row r="155" ht="15.75" customHeight="1">
      <c r="A155" s="30" t="s">
        <v>1030</v>
      </c>
      <c r="B155" s="30" t="s">
        <v>87</v>
      </c>
      <c r="C155" s="8" t="s">
        <v>570</v>
      </c>
      <c r="D155" s="8" t="s">
        <v>270</v>
      </c>
      <c r="E155" s="20" t="s">
        <v>29</v>
      </c>
      <c r="F155" s="20" t="s">
        <v>31</v>
      </c>
      <c r="G155" s="20" t="s">
        <v>191</v>
      </c>
      <c r="H155" s="31">
        <v>40.0</v>
      </c>
      <c r="I155" s="30" t="s">
        <v>107</v>
      </c>
      <c r="J155" s="32">
        <v>17.0</v>
      </c>
      <c r="K155" s="30" t="s">
        <v>112</v>
      </c>
      <c r="L155" s="33">
        <v>9.2</v>
      </c>
      <c r="M155" s="30" t="s">
        <v>118</v>
      </c>
      <c r="N155" s="20" t="str">
        <f t="shared" si="1"/>
        <v>Easy</v>
      </c>
      <c r="O155" s="8" t="s">
        <v>142</v>
      </c>
      <c r="P155" s="32">
        <v>3.0</v>
      </c>
      <c r="Q155" s="32">
        <v>2.0</v>
      </c>
      <c r="R155" s="32">
        <v>4.0</v>
      </c>
      <c r="S155" s="32">
        <v>5.0</v>
      </c>
      <c r="T155" s="32">
        <v>4.0</v>
      </c>
      <c r="U155" s="32">
        <v>3.0</v>
      </c>
      <c r="V155" s="20">
        <f>ROUND((P155*'Business Analysis'!$B$35+Q155*'Business Analysis'!$B$36+R155*'Business Analysis'!$B$37+S155*'Business Analysis'!$B$38+T155*'Business Analysis'!$B$39+U155*'Business Analysis'!$B$40)/5*100,0)</f>
        <v>70</v>
      </c>
      <c r="W155" s="20" t="str">
        <f t="shared" si="2"/>
        <v>Medium</v>
      </c>
      <c r="X155" s="30" t="s">
        <v>615</v>
      </c>
      <c r="Y155" s="20" t="s">
        <v>388</v>
      </c>
      <c r="Z155" s="8" t="s">
        <v>213</v>
      </c>
      <c r="AA155" s="20" t="s">
        <v>183</v>
      </c>
    </row>
    <row r="156" ht="15.75" customHeight="1">
      <c r="A156" s="12" t="s">
        <v>621</v>
      </c>
      <c r="B156" s="12" t="s">
        <v>87</v>
      </c>
      <c r="C156" s="6" t="s">
        <v>570</v>
      </c>
      <c r="D156" s="6" t="s">
        <v>270</v>
      </c>
      <c r="E156" s="11" t="s">
        <v>29</v>
      </c>
      <c r="F156" s="11" t="s">
        <v>31</v>
      </c>
      <c r="G156" s="11" t="s">
        <v>98</v>
      </c>
      <c r="H156" s="14">
        <v>20.0</v>
      </c>
      <c r="I156" s="12" t="s">
        <v>107</v>
      </c>
      <c r="J156" s="15">
        <v>10.0</v>
      </c>
      <c r="K156" s="12" t="s">
        <v>112</v>
      </c>
      <c r="L156" s="16">
        <v>8.7</v>
      </c>
      <c r="M156" s="12" t="s">
        <v>118</v>
      </c>
      <c r="N156" s="11" t="str">
        <f t="shared" si="1"/>
        <v>Easy</v>
      </c>
      <c r="O156" s="6" t="s">
        <v>142</v>
      </c>
      <c r="P156" s="15">
        <v>3.0</v>
      </c>
      <c r="Q156" s="15">
        <v>2.0</v>
      </c>
      <c r="R156" s="15">
        <v>5.0</v>
      </c>
      <c r="S156" s="15">
        <v>5.0</v>
      </c>
      <c r="T156" s="15">
        <v>4.0</v>
      </c>
      <c r="U156" s="15">
        <v>3.0</v>
      </c>
      <c r="V156" s="11">
        <f>ROUND((P156*'Business Analysis'!$B$35+Q156*'Business Analysis'!$B$36+R156*'Business Analysis'!$B$37+S156*'Business Analysis'!$B$38+T156*'Business Analysis'!$B$39+U156*'Business Analysis'!$B$40)/5*100,0)</f>
        <v>74</v>
      </c>
      <c r="W156" s="11" t="str">
        <f t="shared" si="2"/>
        <v>Medium</v>
      </c>
      <c r="X156" s="12" t="s">
        <v>619</v>
      </c>
      <c r="Y156" s="11" t="s">
        <v>388</v>
      </c>
      <c r="Z156" s="6" t="s">
        <v>1031</v>
      </c>
      <c r="AA156" s="11" t="s">
        <v>183</v>
      </c>
    </row>
    <row r="157" ht="15.75" customHeight="1">
      <c r="A157" s="30" t="s">
        <v>1032</v>
      </c>
      <c r="B157" s="30" t="s">
        <v>130</v>
      </c>
      <c r="C157" s="8" t="s">
        <v>570</v>
      </c>
      <c r="D157" s="8" t="s">
        <v>270</v>
      </c>
      <c r="E157" s="20" t="s">
        <v>130</v>
      </c>
      <c r="F157" s="20" t="s">
        <v>131</v>
      </c>
      <c r="G157" s="20" t="s">
        <v>191</v>
      </c>
      <c r="H157" s="31">
        <v>480.0</v>
      </c>
      <c r="I157" s="30" t="s">
        <v>107</v>
      </c>
      <c r="J157" s="32">
        <v>36.0</v>
      </c>
      <c r="K157" s="30" t="s">
        <v>112</v>
      </c>
      <c r="L157" s="33">
        <v>10.8</v>
      </c>
      <c r="M157" s="30" t="s">
        <v>118</v>
      </c>
      <c r="N157" s="20" t="str">
        <f t="shared" si="1"/>
        <v>Moderate</v>
      </c>
      <c r="O157" s="8" t="s">
        <v>142</v>
      </c>
      <c r="P157" s="32">
        <v>3.0</v>
      </c>
      <c r="Q157" s="32">
        <v>5.0</v>
      </c>
      <c r="R157" s="32">
        <v>2.0</v>
      </c>
      <c r="S157" s="32">
        <v>4.0</v>
      </c>
      <c r="T157" s="32">
        <v>3.0</v>
      </c>
      <c r="U157" s="32">
        <v>3.0</v>
      </c>
      <c r="V157" s="20">
        <f>ROUND((P157*'Business Analysis'!$B$35+Q157*'Business Analysis'!$B$36+R157*'Business Analysis'!$B$37+S157*'Business Analysis'!$B$38+T157*'Business Analysis'!$B$39+U157*'Business Analysis'!$B$40)/5*100,0)</f>
        <v>65</v>
      </c>
      <c r="W157" s="20" t="str">
        <f t="shared" si="2"/>
        <v>Medium</v>
      </c>
      <c r="X157" s="30" t="s">
        <v>615</v>
      </c>
      <c r="Y157" s="20" t="s">
        <v>388</v>
      </c>
      <c r="Z157" s="8" t="s">
        <v>1033</v>
      </c>
      <c r="AA157" s="20" t="s">
        <v>183</v>
      </c>
    </row>
    <row r="158" ht="15.75" customHeight="1">
      <c r="A158" s="12" t="s">
        <v>1034</v>
      </c>
      <c r="B158" s="12" t="s">
        <v>130</v>
      </c>
      <c r="C158" s="6" t="s">
        <v>570</v>
      </c>
      <c r="D158" s="6" t="s">
        <v>270</v>
      </c>
      <c r="E158" s="11" t="s">
        <v>130</v>
      </c>
      <c r="F158" s="11" t="s">
        <v>131</v>
      </c>
      <c r="G158" s="11" t="s">
        <v>191</v>
      </c>
      <c r="H158" s="14">
        <v>210.0</v>
      </c>
      <c r="I158" s="12" t="s">
        <v>107</v>
      </c>
      <c r="J158" s="15">
        <v>34.0</v>
      </c>
      <c r="K158" s="12" t="s">
        <v>112</v>
      </c>
      <c r="L158" s="16">
        <v>11.6</v>
      </c>
      <c r="M158" s="12" t="s">
        <v>118</v>
      </c>
      <c r="N158" s="11" t="str">
        <f t="shared" si="1"/>
        <v>Moderate</v>
      </c>
      <c r="O158" s="6" t="s">
        <v>142</v>
      </c>
      <c r="P158" s="15">
        <v>2.0</v>
      </c>
      <c r="Q158" s="15">
        <v>4.0</v>
      </c>
      <c r="R158" s="15">
        <v>3.0</v>
      </c>
      <c r="S158" s="15">
        <v>4.0</v>
      </c>
      <c r="T158" s="15">
        <v>3.0</v>
      </c>
      <c r="U158" s="15">
        <v>3.0</v>
      </c>
      <c r="V158" s="11">
        <f>ROUND((P158*'Business Analysis'!$B$35+Q158*'Business Analysis'!$B$36+R158*'Business Analysis'!$B$37+S158*'Business Analysis'!$B$38+T158*'Business Analysis'!$B$39+U158*'Business Analysis'!$B$40)/5*100,0)</f>
        <v>61</v>
      </c>
      <c r="W158" s="11" t="str">
        <f t="shared" si="2"/>
        <v>Medium</v>
      </c>
      <c r="X158" s="12" t="s">
        <v>615</v>
      </c>
      <c r="Y158" s="11" t="s">
        <v>388</v>
      </c>
      <c r="Z158" s="6" t="s">
        <v>1035</v>
      </c>
      <c r="AA158" s="11" t="s">
        <v>183</v>
      </c>
    </row>
    <row r="159" ht="15.75" customHeight="1">
      <c r="A159" s="30" t="s">
        <v>1036</v>
      </c>
      <c r="B159" s="30" t="s">
        <v>130</v>
      </c>
      <c r="C159" s="8" t="s">
        <v>570</v>
      </c>
      <c r="D159" s="8" t="s">
        <v>270</v>
      </c>
      <c r="E159" s="20" t="s">
        <v>130</v>
      </c>
      <c r="F159" s="20" t="s">
        <v>131</v>
      </c>
      <c r="G159" s="20" t="s">
        <v>191</v>
      </c>
      <c r="H159" s="31">
        <v>480.0</v>
      </c>
      <c r="I159" s="30" t="s">
        <v>107</v>
      </c>
      <c r="J159" s="32">
        <v>33.0</v>
      </c>
      <c r="K159" s="30" t="s">
        <v>112</v>
      </c>
      <c r="L159" s="33">
        <v>12.1</v>
      </c>
      <c r="M159" s="30" t="s">
        <v>118</v>
      </c>
      <c r="N159" s="20" t="str">
        <f t="shared" si="1"/>
        <v>Moderate</v>
      </c>
      <c r="O159" s="8" t="s">
        <v>142</v>
      </c>
      <c r="P159" s="32">
        <v>2.0</v>
      </c>
      <c r="Q159" s="32">
        <v>5.0</v>
      </c>
      <c r="R159" s="32">
        <v>3.0</v>
      </c>
      <c r="S159" s="32">
        <v>4.0</v>
      </c>
      <c r="T159" s="32">
        <v>3.0</v>
      </c>
      <c r="U159" s="32">
        <v>2.0</v>
      </c>
      <c r="V159" s="20">
        <f>ROUND((P159*'Business Analysis'!$B$35+Q159*'Business Analysis'!$B$36+R159*'Business Analysis'!$B$37+S159*'Business Analysis'!$B$38+T159*'Business Analysis'!$B$39+U159*'Business Analysis'!$B$40)/5*100,0)</f>
        <v>62</v>
      </c>
      <c r="W159" s="20" t="str">
        <f t="shared" si="2"/>
        <v>Medium</v>
      </c>
      <c r="X159" s="30" t="s">
        <v>615</v>
      </c>
      <c r="Y159" s="20" t="s">
        <v>388</v>
      </c>
      <c r="Z159" s="8" t="s">
        <v>1037</v>
      </c>
      <c r="AA159" s="20" t="s">
        <v>183</v>
      </c>
    </row>
    <row r="160" ht="15.75" customHeight="1">
      <c r="A160" s="12" t="s">
        <v>1038</v>
      </c>
      <c r="B160" s="12" t="s">
        <v>130</v>
      </c>
      <c r="C160" s="6" t="s">
        <v>570</v>
      </c>
      <c r="D160" s="6" t="s">
        <v>270</v>
      </c>
      <c r="E160" s="11" t="s">
        <v>130</v>
      </c>
      <c r="F160" s="11" t="s">
        <v>131</v>
      </c>
      <c r="G160" s="11" t="s">
        <v>191</v>
      </c>
      <c r="H160" s="14">
        <v>6600.0</v>
      </c>
      <c r="I160" s="12" t="s">
        <v>107</v>
      </c>
      <c r="J160" s="15">
        <v>52.0</v>
      </c>
      <c r="K160" s="12" t="s">
        <v>112</v>
      </c>
      <c r="L160" s="16">
        <v>7.8</v>
      </c>
      <c r="M160" s="12" t="s">
        <v>118</v>
      </c>
      <c r="N160" s="11" t="str">
        <f t="shared" si="1"/>
        <v>Competitive</v>
      </c>
      <c r="O160" s="6" t="s">
        <v>420</v>
      </c>
      <c r="P160" s="15">
        <v>1.0</v>
      </c>
      <c r="Q160" s="15">
        <v>4.0</v>
      </c>
      <c r="R160" s="15">
        <v>1.0</v>
      </c>
      <c r="S160" s="15">
        <v>3.0</v>
      </c>
      <c r="T160" s="15">
        <v>2.0</v>
      </c>
      <c r="U160" s="15">
        <v>3.0</v>
      </c>
      <c r="V160" s="11">
        <f>ROUND((P160*'Business Analysis'!$B$35+Q160*'Business Analysis'!$B$36+R160*'Business Analysis'!$B$37+S160*'Business Analysis'!$B$38+T160*'Business Analysis'!$B$39+U160*'Business Analysis'!$B$40)/5*100,0)</f>
        <v>42</v>
      </c>
      <c r="W160" s="11" t="str">
        <f t="shared" si="2"/>
        <v>Low</v>
      </c>
      <c r="X160" s="12" t="s">
        <v>615</v>
      </c>
      <c r="Y160" s="11" t="s">
        <v>388</v>
      </c>
      <c r="Z160" s="6" t="s">
        <v>507</v>
      </c>
      <c r="AA160" s="11" t="s">
        <v>430</v>
      </c>
    </row>
    <row r="161" ht="15.75" customHeight="1">
      <c r="A161" s="30" t="s">
        <v>622</v>
      </c>
      <c r="B161" s="30" t="s">
        <v>130</v>
      </c>
      <c r="C161" s="8" t="s">
        <v>570</v>
      </c>
      <c r="D161" s="8" t="s">
        <v>270</v>
      </c>
      <c r="E161" s="20" t="s">
        <v>130</v>
      </c>
      <c r="F161" s="20" t="s">
        <v>131</v>
      </c>
      <c r="G161" s="20" t="s">
        <v>191</v>
      </c>
      <c r="H161" s="31">
        <v>2400.0</v>
      </c>
      <c r="I161" s="30" t="s">
        <v>107</v>
      </c>
      <c r="J161" s="32">
        <v>36.0</v>
      </c>
      <c r="K161" s="30" t="s">
        <v>112</v>
      </c>
      <c r="L161" s="33">
        <v>5.4</v>
      </c>
      <c r="M161" s="30" t="s">
        <v>118</v>
      </c>
      <c r="N161" s="20" t="str">
        <f t="shared" si="1"/>
        <v>Moderate</v>
      </c>
      <c r="O161" s="8" t="s">
        <v>420</v>
      </c>
      <c r="P161" s="32">
        <v>1.0</v>
      </c>
      <c r="Q161" s="32">
        <v>3.0</v>
      </c>
      <c r="R161" s="32">
        <v>2.0</v>
      </c>
      <c r="S161" s="32">
        <v>3.0</v>
      </c>
      <c r="T161" s="32">
        <v>2.0</v>
      </c>
      <c r="U161" s="32">
        <v>3.0</v>
      </c>
      <c r="V161" s="20">
        <f>ROUND((P161*'Business Analysis'!$B$35+Q161*'Business Analysis'!$B$36+R161*'Business Analysis'!$B$37+S161*'Business Analysis'!$B$38+T161*'Business Analysis'!$B$39+U161*'Business Analysis'!$B$40)/5*100,0)</f>
        <v>43</v>
      </c>
      <c r="W161" s="20" t="str">
        <f t="shared" si="2"/>
        <v>Low</v>
      </c>
      <c r="X161" s="30" t="s">
        <v>619</v>
      </c>
      <c r="Y161" s="20" t="s">
        <v>388</v>
      </c>
      <c r="Z161" s="8" t="s">
        <v>507</v>
      </c>
      <c r="AA161" s="20" t="s">
        <v>430</v>
      </c>
    </row>
    <row r="162" ht="15.75" customHeight="1">
      <c r="A162" s="12" t="s">
        <v>1039</v>
      </c>
      <c r="B162" s="12" t="s">
        <v>29</v>
      </c>
      <c r="C162" s="6" t="s">
        <v>570</v>
      </c>
      <c r="D162" s="6" t="s">
        <v>270</v>
      </c>
      <c r="E162" s="11" t="s">
        <v>29</v>
      </c>
      <c r="F162" s="11" t="s">
        <v>31</v>
      </c>
      <c r="G162" s="11" t="s">
        <v>191</v>
      </c>
      <c r="H162" s="14">
        <v>8100.0</v>
      </c>
      <c r="I162" s="12" t="s">
        <v>107</v>
      </c>
      <c r="J162" s="15">
        <v>58.0</v>
      </c>
      <c r="K162" s="12" t="s">
        <v>112</v>
      </c>
      <c r="L162" s="16">
        <v>9.6</v>
      </c>
      <c r="M162" s="12" t="s">
        <v>118</v>
      </c>
      <c r="N162" s="11" t="str">
        <f t="shared" si="1"/>
        <v>Competitive</v>
      </c>
      <c r="O162" s="6" t="s">
        <v>420</v>
      </c>
      <c r="P162" s="15">
        <v>1.0</v>
      </c>
      <c r="Q162" s="15">
        <v>4.0</v>
      </c>
      <c r="R162" s="15">
        <v>1.0</v>
      </c>
      <c r="S162" s="15">
        <v>5.0</v>
      </c>
      <c r="T162" s="15">
        <v>3.0</v>
      </c>
      <c r="U162" s="15">
        <v>3.0</v>
      </c>
      <c r="V162" s="11">
        <f>ROUND((P162*'Business Analysis'!$B$35+Q162*'Business Analysis'!$B$36+R162*'Business Analysis'!$B$37+S162*'Business Analysis'!$B$38+T162*'Business Analysis'!$B$39+U162*'Business Analysis'!$B$40)/5*100,0)</f>
        <v>51</v>
      </c>
      <c r="W162" s="11" t="str">
        <f t="shared" si="2"/>
        <v>Low</v>
      </c>
      <c r="X162" s="12" t="s">
        <v>615</v>
      </c>
      <c r="Y162" s="11" t="s">
        <v>388</v>
      </c>
      <c r="Z162" s="6" t="s">
        <v>428</v>
      </c>
      <c r="AA162" s="11" t="s">
        <v>430</v>
      </c>
    </row>
    <row r="163" ht="15.75" customHeight="1">
      <c r="A163" s="30" t="s">
        <v>1040</v>
      </c>
      <c r="B163" s="30" t="s">
        <v>130</v>
      </c>
      <c r="C163" s="8" t="s">
        <v>570</v>
      </c>
      <c r="D163" s="8" t="s">
        <v>270</v>
      </c>
      <c r="E163" s="20" t="s">
        <v>130</v>
      </c>
      <c r="F163" s="20" t="s">
        <v>131</v>
      </c>
      <c r="G163" s="20" t="s">
        <v>191</v>
      </c>
      <c r="H163" s="31">
        <v>1900.0</v>
      </c>
      <c r="I163" s="30" t="s">
        <v>107</v>
      </c>
      <c r="J163" s="32">
        <v>45.0</v>
      </c>
      <c r="K163" s="30" t="s">
        <v>112</v>
      </c>
      <c r="L163" s="33">
        <v>6.5</v>
      </c>
      <c r="M163" s="30" t="s">
        <v>118</v>
      </c>
      <c r="N163" s="20" t="str">
        <f t="shared" si="1"/>
        <v>Competitive</v>
      </c>
      <c r="O163" s="8" t="s">
        <v>420</v>
      </c>
      <c r="P163" s="32">
        <v>1.0</v>
      </c>
      <c r="Q163" s="32">
        <v>3.0</v>
      </c>
      <c r="R163" s="32">
        <v>2.0</v>
      </c>
      <c r="S163" s="32">
        <v>3.0</v>
      </c>
      <c r="T163" s="32">
        <v>2.0</v>
      </c>
      <c r="U163" s="32">
        <v>3.0</v>
      </c>
      <c r="V163" s="20">
        <f>ROUND((P163*'Business Analysis'!$B$35+Q163*'Business Analysis'!$B$36+R163*'Business Analysis'!$B$37+S163*'Business Analysis'!$B$38+T163*'Business Analysis'!$B$39+U163*'Business Analysis'!$B$40)/5*100,0)</f>
        <v>43</v>
      </c>
      <c r="W163" s="20" t="str">
        <f t="shared" si="2"/>
        <v>Low</v>
      </c>
      <c r="X163" s="30" t="s">
        <v>615</v>
      </c>
      <c r="Y163" s="20" t="s">
        <v>388</v>
      </c>
      <c r="Z163" s="8" t="s">
        <v>507</v>
      </c>
      <c r="AA163" s="20" t="s">
        <v>430</v>
      </c>
    </row>
    <row r="164" ht="15.75" customHeight="1">
      <c r="A164" s="12" t="s">
        <v>748</v>
      </c>
      <c r="B164" s="12" t="s">
        <v>714</v>
      </c>
      <c r="C164" s="6" t="s">
        <v>570</v>
      </c>
      <c r="D164" s="6" t="s">
        <v>270</v>
      </c>
      <c r="E164" s="11" t="s">
        <v>130</v>
      </c>
      <c r="F164" s="11" t="s">
        <v>131</v>
      </c>
      <c r="G164" s="11" t="s">
        <v>98</v>
      </c>
      <c r="H164" s="14">
        <v>4400.0</v>
      </c>
      <c r="I164" s="12" t="s">
        <v>107</v>
      </c>
      <c r="J164" s="15">
        <v>47.0</v>
      </c>
      <c r="K164" s="12" t="s">
        <v>112</v>
      </c>
      <c r="L164" s="16">
        <v>4.3</v>
      </c>
      <c r="M164" s="12" t="s">
        <v>118</v>
      </c>
      <c r="N164" s="11" t="str">
        <f t="shared" si="1"/>
        <v>Competitive</v>
      </c>
      <c r="O164" s="6" t="s">
        <v>420</v>
      </c>
      <c r="P164" s="15">
        <v>1.0</v>
      </c>
      <c r="Q164" s="15">
        <v>4.0</v>
      </c>
      <c r="R164" s="15">
        <v>2.0</v>
      </c>
      <c r="S164" s="15">
        <v>3.0</v>
      </c>
      <c r="T164" s="15">
        <v>2.0</v>
      </c>
      <c r="U164" s="15">
        <v>3.0</v>
      </c>
      <c r="V164" s="11">
        <f>ROUND((P164*'Business Analysis'!$B$35+Q164*'Business Analysis'!$B$36+R164*'Business Analysis'!$B$37+S164*'Business Analysis'!$B$38+T164*'Business Analysis'!$B$39+U164*'Business Analysis'!$B$40)/5*100,0)</f>
        <v>46</v>
      </c>
      <c r="W164" s="11" t="str">
        <f t="shared" si="2"/>
        <v>Low</v>
      </c>
      <c r="X164" s="12" t="s">
        <v>747</v>
      </c>
      <c r="Y164" s="11" t="s">
        <v>388</v>
      </c>
      <c r="Z164" s="6" t="s">
        <v>507</v>
      </c>
      <c r="AA164" s="11" t="s">
        <v>430</v>
      </c>
    </row>
    <row r="165" ht="15.75" customHeight="1">
      <c r="A165" s="30" t="s">
        <v>309</v>
      </c>
      <c r="B165" s="30" t="s">
        <v>87</v>
      </c>
      <c r="C165" s="8" t="s">
        <v>1041</v>
      </c>
      <c r="D165" s="8" t="s">
        <v>307</v>
      </c>
      <c r="E165" s="20" t="s">
        <v>29</v>
      </c>
      <c r="F165" s="20" t="s">
        <v>31</v>
      </c>
      <c r="G165" s="20" t="s">
        <v>98</v>
      </c>
      <c r="H165" s="31">
        <v>140.0</v>
      </c>
      <c r="I165" s="30" t="s">
        <v>107</v>
      </c>
      <c r="J165" s="32">
        <v>19.0</v>
      </c>
      <c r="K165" s="30" t="s">
        <v>112</v>
      </c>
      <c r="L165" s="33">
        <v>7.6</v>
      </c>
      <c r="M165" s="30" t="s">
        <v>118</v>
      </c>
      <c r="N165" s="20" t="str">
        <f t="shared" si="1"/>
        <v>Easy</v>
      </c>
      <c r="O165" s="8" t="s">
        <v>142</v>
      </c>
      <c r="P165" s="32">
        <v>3.0</v>
      </c>
      <c r="Q165" s="32">
        <v>4.0</v>
      </c>
      <c r="R165" s="32">
        <v>4.0</v>
      </c>
      <c r="S165" s="32">
        <v>5.0</v>
      </c>
      <c r="T165" s="32">
        <v>4.0</v>
      </c>
      <c r="U165" s="32">
        <v>3.0</v>
      </c>
      <c r="V165" s="20">
        <f>ROUND((P165*'Business Analysis'!$B$35+Q165*'Business Analysis'!$B$36+R165*'Business Analysis'!$B$37+S165*'Business Analysis'!$B$38+T165*'Business Analysis'!$B$39+U165*'Business Analysis'!$B$40)/5*100,0)</f>
        <v>76</v>
      </c>
      <c r="W165" s="20" t="str">
        <f t="shared" si="2"/>
        <v>High</v>
      </c>
      <c r="X165" s="30" t="s">
        <v>633</v>
      </c>
      <c r="Y165" s="20" t="s">
        <v>388</v>
      </c>
      <c r="Z165" s="8" t="s">
        <v>213</v>
      </c>
      <c r="AA165" s="20" t="s">
        <v>183</v>
      </c>
    </row>
    <row r="166" ht="15.75" customHeight="1">
      <c r="A166" s="12" t="s">
        <v>1042</v>
      </c>
      <c r="B166" s="12" t="s">
        <v>87</v>
      </c>
      <c r="C166" s="6" t="s">
        <v>1041</v>
      </c>
      <c r="D166" s="6" t="s">
        <v>307</v>
      </c>
      <c r="E166" s="11" t="s">
        <v>29</v>
      </c>
      <c r="F166" s="11" t="s">
        <v>31</v>
      </c>
      <c r="G166" s="11" t="s">
        <v>191</v>
      </c>
      <c r="H166" s="14">
        <v>90.0</v>
      </c>
      <c r="I166" s="12" t="s">
        <v>107</v>
      </c>
      <c r="J166" s="15">
        <v>18.0</v>
      </c>
      <c r="K166" s="12" t="s">
        <v>112</v>
      </c>
      <c r="L166" s="16">
        <v>7.4</v>
      </c>
      <c r="M166" s="12" t="s">
        <v>118</v>
      </c>
      <c r="N166" s="11" t="str">
        <f t="shared" si="1"/>
        <v>Easy</v>
      </c>
      <c r="O166" s="6" t="s">
        <v>142</v>
      </c>
      <c r="P166" s="15">
        <v>3.0</v>
      </c>
      <c r="Q166" s="15">
        <v>3.0</v>
      </c>
      <c r="R166" s="15">
        <v>4.0</v>
      </c>
      <c r="S166" s="15">
        <v>5.0</v>
      </c>
      <c r="T166" s="15">
        <v>4.0</v>
      </c>
      <c r="U166" s="15">
        <v>3.0</v>
      </c>
      <c r="V166" s="11">
        <f>ROUND((P166*'Business Analysis'!$B$35+Q166*'Business Analysis'!$B$36+R166*'Business Analysis'!$B$37+S166*'Business Analysis'!$B$38+T166*'Business Analysis'!$B$39+U166*'Business Analysis'!$B$40)/5*100,0)</f>
        <v>73</v>
      </c>
      <c r="W166" s="11" t="str">
        <f t="shared" si="2"/>
        <v>Medium</v>
      </c>
      <c r="X166" s="12" t="s">
        <v>633</v>
      </c>
      <c r="Y166" s="11" t="s">
        <v>388</v>
      </c>
      <c r="Z166" s="6" t="s">
        <v>213</v>
      </c>
      <c r="AA166" s="11" t="s">
        <v>183</v>
      </c>
    </row>
    <row r="167" ht="15.75" customHeight="1">
      <c r="A167" s="30" t="s">
        <v>1043</v>
      </c>
      <c r="B167" s="30" t="s">
        <v>29</v>
      </c>
      <c r="C167" s="8" t="s">
        <v>1041</v>
      </c>
      <c r="D167" s="8" t="s">
        <v>307</v>
      </c>
      <c r="E167" s="20" t="s">
        <v>29</v>
      </c>
      <c r="F167" s="20" t="s">
        <v>31</v>
      </c>
      <c r="G167" s="20" t="s">
        <v>191</v>
      </c>
      <c r="H167" s="31">
        <v>40500.0</v>
      </c>
      <c r="I167" s="30" t="s">
        <v>107</v>
      </c>
      <c r="J167" s="32">
        <v>67.0</v>
      </c>
      <c r="K167" s="30" t="s">
        <v>112</v>
      </c>
      <c r="L167" s="33">
        <v>8.1</v>
      </c>
      <c r="M167" s="30" t="s">
        <v>118</v>
      </c>
      <c r="N167" s="20" t="str">
        <f t="shared" si="1"/>
        <v>Competitive</v>
      </c>
      <c r="O167" s="8" t="s">
        <v>420</v>
      </c>
      <c r="P167" s="32">
        <v>1.0</v>
      </c>
      <c r="Q167" s="32">
        <v>5.0</v>
      </c>
      <c r="R167" s="32">
        <v>1.0</v>
      </c>
      <c r="S167" s="32">
        <v>5.0</v>
      </c>
      <c r="T167" s="32">
        <v>3.0</v>
      </c>
      <c r="U167" s="32">
        <v>3.0</v>
      </c>
      <c r="V167" s="20">
        <f>ROUND((P167*'Business Analysis'!$B$35+Q167*'Business Analysis'!$B$36+R167*'Business Analysis'!$B$37+S167*'Business Analysis'!$B$38+T167*'Business Analysis'!$B$39+U167*'Business Analysis'!$B$40)/5*100,0)</f>
        <v>54</v>
      </c>
      <c r="W167" s="20" t="str">
        <f t="shared" si="2"/>
        <v>Low</v>
      </c>
      <c r="X167" s="30" t="s">
        <v>633</v>
      </c>
      <c r="Y167" s="20" t="s">
        <v>388</v>
      </c>
      <c r="Z167" s="8" t="s">
        <v>428</v>
      </c>
      <c r="AA167" s="20" t="s">
        <v>430</v>
      </c>
    </row>
    <row r="168" ht="15.75" customHeight="1">
      <c r="A168" s="12" t="s">
        <v>1044</v>
      </c>
      <c r="B168" s="12" t="s">
        <v>130</v>
      </c>
      <c r="C168" s="6" t="s">
        <v>1041</v>
      </c>
      <c r="D168" s="6" t="s">
        <v>307</v>
      </c>
      <c r="E168" s="11" t="s">
        <v>130</v>
      </c>
      <c r="F168" s="11" t="s">
        <v>131</v>
      </c>
      <c r="G168" s="11" t="s">
        <v>191</v>
      </c>
      <c r="H168" s="14">
        <v>12100.0</v>
      </c>
      <c r="I168" s="12" t="s">
        <v>107</v>
      </c>
      <c r="J168" s="15">
        <v>54.0</v>
      </c>
      <c r="K168" s="12" t="s">
        <v>112</v>
      </c>
      <c r="L168" s="16">
        <v>5.7</v>
      </c>
      <c r="M168" s="12" t="s">
        <v>118</v>
      </c>
      <c r="N168" s="11" t="str">
        <f t="shared" si="1"/>
        <v>Competitive</v>
      </c>
      <c r="O168" s="6" t="s">
        <v>420</v>
      </c>
      <c r="P168" s="15">
        <v>1.0</v>
      </c>
      <c r="Q168" s="15">
        <v>5.0</v>
      </c>
      <c r="R168" s="15">
        <v>1.0</v>
      </c>
      <c r="S168" s="15">
        <v>3.0</v>
      </c>
      <c r="T168" s="15">
        <v>2.0</v>
      </c>
      <c r="U168" s="15">
        <v>3.0</v>
      </c>
      <c r="V168" s="11">
        <f>ROUND((P168*'Business Analysis'!$B$35+Q168*'Business Analysis'!$B$36+R168*'Business Analysis'!$B$37+S168*'Business Analysis'!$B$38+T168*'Business Analysis'!$B$39+U168*'Business Analysis'!$B$40)/5*100,0)</f>
        <v>45</v>
      </c>
      <c r="W168" s="11" t="str">
        <f t="shared" si="2"/>
        <v>Low</v>
      </c>
      <c r="X168" s="12" t="s">
        <v>633</v>
      </c>
      <c r="Y168" s="11" t="s">
        <v>388</v>
      </c>
      <c r="Z168" s="6" t="s">
        <v>507</v>
      </c>
      <c r="AA168" s="11" t="s">
        <v>430</v>
      </c>
    </row>
    <row r="169" ht="15.75" customHeight="1">
      <c r="A169" s="30" t="s">
        <v>1045</v>
      </c>
      <c r="B169" s="30" t="s">
        <v>130</v>
      </c>
      <c r="C169" s="8" t="s">
        <v>1041</v>
      </c>
      <c r="D169" s="8" t="s">
        <v>307</v>
      </c>
      <c r="E169" s="20" t="s">
        <v>130</v>
      </c>
      <c r="F169" s="20" t="s">
        <v>131</v>
      </c>
      <c r="G169" s="20" t="s">
        <v>191</v>
      </c>
      <c r="H169" s="31">
        <v>2400.0</v>
      </c>
      <c r="I169" s="30" t="s">
        <v>107</v>
      </c>
      <c r="J169" s="32">
        <v>40.0</v>
      </c>
      <c r="K169" s="30" t="s">
        <v>112</v>
      </c>
      <c r="L169" s="33">
        <v>5.2</v>
      </c>
      <c r="M169" s="30" t="s">
        <v>118</v>
      </c>
      <c r="N169" s="20" t="str">
        <f t="shared" si="1"/>
        <v>Moderate</v>
      </c>
      <c r="O169" s="8" t="s">
        <v>420</v>
      </c>
      <c r="P169" s="32">
        <v>1.0</v>
      </c>
      <c r="Q169" s="32">
        <v>3.0</v>
      </c>
      <c r="R169" s="32">
        <v>2.0</v>
      </c>
      <c r="S169" s="32">
        <v>3.0</v>
      </c>
      <c r="T169" s="32">
        <v>2.0</v>
      </c>
      <c r="U169" s="32">
        <v>3.0</v>
      </c>
      <c r="V169" s="20">
        <f>ROUND((P169*'Business Analysis'!$B$35+Q169*'Business Analysis'!$B$36+R169*'Business Analysis'!$B$37+S169*'Business Analysis'!$B$38+T169*'Business Analysis'!$B$39+U169*'Business Analysis'!$B$40)/5*100,0)</f>
        <v>43</v>
      </c>
      <c r="W169" s="20" t="str">
        <f t="shared" si="2"/>
        <v>Low</v>
      </c>
      <c r="X169" s="30" t="s">
        <v>633</v>
      </c>
      <c r="Y169" s="20" t="s">
        <v>388</v>
      </c>
      <c r="Z169" s="8" t="s">
        <v>507</v>
      </c>
      <c r="AA169" s="20" t="s">
        <v>430</v>
      </c>
    </row>
    <row r="170" ht="15.75" customHeight="1">
      <c r="A170" s="12" t="s">
        <v>1046</v>
      </c>
      <c r="B170" s="12" t="s">
        <v>130</v>
      </c>
      <c r="C170" s="6" t="s">
        <v>1041</v>
      </c>
      <c r="D170" s="6" t="s">
        <v>307</v>
      </c>
      <c r="E170" s="11" t="s">
        <v>130</v>
      </c>
      <c r="F170" s="11" t="s">
        <v>131</v>
      </c>
      <c r="G170" s="11" t="s">
        <v>191</v>
      </c>
      <c r="H170" s="14">
        <v>6600.0</v>
      </c>
      <c r="I170" s="12" t="s">
        <v>107</v>
      </c>
      <c r="J170" s="15">
        <v>46.0</v>
      </c>
      <c r="K170" s="12" t="s">
        <v>112</v>
      </c>
      <c r="L170" s="16">
        <v>5.5</v>
      </c>
      <c r="M170" s="12" t="s">
        <v>118</v>
      </c>
      <c r="N170" s="11" t="str">
        <f t="shared" si="1"/>
        <v>Competitive</v>
      </c>
      <c r="O170" s="6" t="s">
        <v>420</v>
      </c>
      <c r="P170" s="15">
        <v>1.0</v>
      </c>
      <c r="Q170" s="15">
        <v>4.0</v>
      </c>
      <c r="R170" s="15">
        <v>2.0</v>
      </c>
      <c r="S170" s="15">
        <v>3.0</v>
      </c>
      <c r="T170" s="15">
        <v>2.0</v>
      </c>
      <c r="U170" s="15">
        <v>3.0</v>
      </c>
      <c r="V170" s="11">
        <f>ROUND((P170*'Business Analysis'!$B$35+Q170*'Business Analysis'!$B$36+R170*'Business Analysis'!$B$37+S170*'Business Analysis'!$B$38+T170*'Business Analysis'!$B$39+U170*'Business Analysis'!$B$40)/5*100,0)</f>
        <v>46</v>
      </c>
      <c r="W170" s="11" t="str">
        <f t="shared" si="2"/>
        <v>Low</v>
      </c>
      <c r="X170" s="12" t="s">
        <v>633</v>
      </c>
      <c r="Y170" s="11" t="s">
        <v>388</v>
      </c>
      <c r="Z170" s="6" t="s">
        <v>507</v>
      </c>
      <c r="AA170" s="11" t="s">
        <v>430</v>
      </c>
    </row>
    <row r="171" ht="15.75" customHeight="1">
      <c r="A171" s="30" t="s">
        <v>750</v>
      </c>
      <c r="B171" s="30" t="s">
        <v>209</v>
      </c>
      <c r="C171" s="8" t="s">
        <v>1041</v>
      </c>
      <c r="D171" s="8" t="s">
        <v>307</v>
      </c>
      <c r="E171" s="20" t="s">
        <v>209</v>
      </c>
      <c r="F171" s="20" t="s">
        <v>210</v>
      </c>
      <c r="G171" s="20" t="s">
        <v>98</v>
      </c>
      <c r="H171" s="31">
        <v>12100.0</v>
      </c>
      <c r="I171" s="30" t="s">
        <v>107</v>
      </c>
      <c r="J171" s="32">
        <v>48.0</v>
      </c>
      <c r="K171" s="30" t="s">
        <v>112</v>
      </c>
      <c r="L171" s="33">
        <v>1.6</v>
      </c>
      <c r="M171" s="30" t="s">
        <v>118</v>
      </c>
      <c r="N171" s="20" t="str">
        <f t="shared" si="1"/>
        <v>Competitive</v>
      </c>
      <c r="O171" s="8" t="s">
        <v>523</v>
      </c>
      <c r="P171" s="32">
        <v>1.0</v>
      </c>
      <c r="Q171" s="32">
        <v>5.0</v>
      </c>
      <c r="R171" s="32">
        <v>2.0</v>
      </c>
      <c r="S171" s="32">
        <v>1.0</v>
      </c>
      <c r="T171" s="32">
        <v>1.0</v>
      </c>
      <c r="U171" s="32">
        <v>3.0</v>
      </c>
      <c r="V171" s="20">
        <f>ROUND((P171*'Business Analysis'!$B$35+Q171*'Business Analysis'!$B$36+R171*'Business Analysis'!$B$37+S171*'Business Analysis'!$B$38+T171*'Business Analysis'!$B$39+U171*'Business Analysis'!$B$40)/5*100,0)</f>
        <v>40</v>
      </c>
      <c r="W171" s="20" t="str">
        <f t="shared" si="2"/>
        <v>Low</v>
      </c>
      <c r="X171" s="30" t="s">
        <v>749</v>
      </c>
      <c r="Y171" s="20" t="s">
        <v>388</v>
      </c>
      <c r="Z171" s="8" t="s">
        <v>528</v>
      </c>
      <c r="AA171" s="20" t="s">
        <v>430</v>
      </c>
    </row>
    <row r="172" ht="15.75" customHeight="1">
      <c r="A172" s="12" t="s">
        <v>1047</v>
      </c>
      <c r="B172" s="12" t="s">
        <v>209</v>
      </c>
      <c r="C172" s="6" t="s">
        <v>1041</v>
      </c>
      <c r="D172" s="6" t="s">
        <v>307</v>
      </c>
      <c r="E172" s="11" t="s">
        <v>209</v>
      </c>
      <c r="F172" s="11" t="s">
        <v>210</v>
      </c>
      <c r="G172" s="11" t="s">
        <v>191</v>
      </c>
      <c r="H172" s="14">
        <v>2400.0</v>
      </c>
      <c r="I172" s="12" t="s">
        <v>107</v>
      </c>
      <c r="J172" s="15">
        <v>34.0</v>
      </c>
      <c r="K172" s="12" t="s">
        <v>112</v>
      </c>
      <c r="L172" s="16">
        <v>1.3</v>
      </c>
      <c r="M172" s="12" t="s">
        <v>118</v>
      </c>
      <c r="N172" s="11" t="str">
        <f t="shared" si="1"/>
        <v>Moderate</v>
      </c>
      <c r="O172" s="6" t="s">
        <v>523</v>
      </c>
      <c r="P172" s="15">
        <v>1.0</v>
      </c>
      <c r="Q172" s="15">
        <v>3.0</v>
      </c>
      <c r="R172" s="15">
        <v>3.0</v>
      </c>
      <c r="S172" s="15">
        <v>1.0</v>
      </c>
      <c r="T172" s="15">
        <v>1.0</v>
      </c>
      <c r="U172" s="15">
        <v>3.0</v>
      </c>
      <c r="V172" s="11">
        <f>ROUND((P172*'Business Analysis'!$B$35+Q172*'Business Analysis'!$B$36+R172*'Business Analysis'!$B$37+S172*'Business Analysis'!$B$38+T172*'Business Analysis'!$B$39+U172*'Business Analysis'!$B$40)/5*100,0)</f>
        <v>38</v>
      </c>
      <c r="W172" s="11" t="str">
        <f t="shared" si="2"/>
        <v>Optional</v>
      </c>
      <c r="X172" s="12" t="s">
        <v>749</v>
      </c>
      <c r="Y172" s="11" t="s">
        <v>388</v>
      </c>
      <c r="Z172" s="6" t="s">
        <v>528</v>
      </c>
      <c r="AA172" s="11" t="s">
        <v>430</v>
      </c>
    </row>
    <row r="173" ht="15.75" customHeight="1">
      <c r="A173" s="30" t="s">
        <v>334</v>
      </c>
      <c r="B173" s="30" t="s">
        <v>87</v>
      </c>
      <c r="C173" s="8" t="s">
        <v>1041</v>
      </c>
      <c r="D173" s="8" t="s">
        <v>333</v>
      </c>
      <c r="E173" s="20" t="s">
        <v>29</v>
      </c>
      <c r="F173" s="20" t="s">
        <v>31</v>
      </c>
      <c r="G173" s="20" t="s">
        <v>98</v>
      </c>
      <c r="H173" s="31">
        <v>30.0</v>
      </c>
      <c r="I173" s="30" t="s">
        <v>107</v>
      </c>
      <c r="J173" s="32">
        <v>13.0</v>
      </c>
      <c r="K173" s="30" t="s">
        <v>112</v>
      </c>
      <c r="L173" s="33">
        <v>7.2</v>
      </c>
      <c r="M173" s="30" t="s">
        <v>118</v>
      </c>
      <c r="N173" s="20" t="str">
        <f t="shared" si="1"/>
        <v>Easy</v>
      </c>
      <c r="O173" s="8" t="s">
        <v>142</v>
      </c>
      <c r="P173" s="32">
        <v>3.0</v>
      </c>
      <c r="Q173" s="32">
        <v>2.0</v>
      </c>
      <c r="R173" s="32">
        <v>5.0</v>
      </c>
      <c r="S173" s="32">
        <v>5.0</v>
      </c>
      <c r="T173" s="32">
        <v>4.0</v>
      </c>
      <c r="U173" s="32">
        <v>3.0</v>
      </c>
      <c r="V173" s="20">
        <f>ROUND((P173*'Business Analysis'!$B$35+Q173*'Business Analysis'!$B$36+R173*'Business Analysis'!$B$37+S173*'Business Analysis'!$B$38+T173*'Business Analysis'!$B$39+U173*'Business Analysis'!$B$40)/5*100,0)</f>
        <v>74</v>
      </c>
      <c r="W173" s="20" t="str">
        <f t="shared" si="2"/>
        <v>Medium</v>
      </c>
      <c r="X173" s="30" t="s">
        <v>646</v>
      </c>
      <c r="Y173" s="20" t="s">
        <v>388</v>
      </c>
      <c r="Z173" s="8" t="s">
        <v>213</v>
      </c>
      <c r="AA173" s="20" t="s">
        <v>183</v>
      </c>
    </row>
    <row r="174" ht="15.75" customHeight="1">
      <c r="A174" s="12" t="s">
        <v>1048</v>
      </c>
      <c r="B174" s="12" t="s">
        <v>87</v>
      </c>
      <c r="C174" s="6" t="s">
        <v>1041</v>
      </c>
      <c r="D174" s="6" t="s">
        <v>333</v>
      </c>
      <c r="E174" s="11" t="s">
        <v>29</v>
      </c>
      <c r="F174" s="11" t="s">
        <v>31</v>
      </c>
      <c r="G174" s="11" t="s">
        <v>191</v>
      </c>
      <c r="H174" s="14">
        <v>50.0</v>
      </c>
      <c r="I174" s="12" t="s">
        <v>107</v>
      </c>
      <c r="J174" s="15">
        <v>15.0</v>
      </c>
      <c r="K174" s="12" t="s">
        <v>112</v>
      </c>
      <c r="L174" s="16">
        <v>7.1</v>
      </c>
      <c r="M174" s="12" t="s">
        <v>118</v>
      </c>
      <c r="N174" s="11" t="str">
        <f t="shared" si="1"/>
        <v>Easy</v>
      </c>
      <c r="O174" s="6" t="s">
        <v>142</v>
      </c>
      <c r="P174" s="15">
        <v>3.0</v>
      </c>
      <c r="Q174" s="15">
        <v>3.0</v>
      </c>
      <c r="R174" s="15">
        <v>5.0</v>
      </c>
      <c r="S174" s="15">
        <v>5.0</v>
      </c>
      <c r="T174" s="15">
        <v>4.0</v>
      </c>
      <c r="U174" s="15">
        <v>3.0</v>
      </c>
      <c r="V174" s="11">
        <f>ROUND((P174*'Business Analysis'!$B$35+Q174*'Business Analysis'!$B$36+R174*'Business Analysis'!$B$37+S174*'Business Analysis'!$B$38+T174*'Business Analysis'!$B$39+U174*'Business Analysis'!$B$40)/5*100,0)</f>
        <v>77</v>
      </c>
      <c r="W174" s="11" t="str">
        <f t="shared" si="2"/>
        <v>High</v>
      </c>
      <c r="X174" s="12" t="s">
        <v>646</v>
      </c>
      <c r="Y174" s="11" t="s">
        <v>388</v>
      </c>
      <c r="Z174" s="6" t="s">
        <v>213</v>
      </c>
      <c r="AA174" s="11" t="s">
        <v>183</v>
      </c>
    </row>
    <row r="175" ht="15.75" customHeight="1">
      <c r="A175" s="30" t="s">
        <v>1049</v>
      </c>
      <c r="B175" s="30" t="s">
        <v>130</v>
      </c>
      <c r="C175" s="8" t="s">
        <v>1041</v>
      </c>
      <c r="D175" s="8" t="s">
        <v>333</v>
      </c>
      <c r="E175" s="20" t="s">
        <v>130</v>
      </c>
      <c r="F175" s="20" t="s">
        <v>131</v>
      </c>
      <c r="G175" s="20" t="s">
        <v>191</v>
      </c>
      <c r="H175" s="31">
        <v>880.0</v>
      </c>
      <c r="I175" s="30" t="s">
        <v>107</v>
      </c>
      <c r="J175" s="32">
        <v>34.0</v>
      </c>
      <c r="K175" s="30" t="s">
        <v>112</v>
      </c>
      <c r="L175" s="33">
        <v>5.8</v>
      </c>
      <c r="M175" s="30" t="s">
        <v>118</v>
      </c>
      <c r="N175" s="20" t="str">
        <f t="shared" si="1"/>
        <v>Moderate</v>
      </c>
      <c r="O175" s="8" t="s">
        <v>420</v>
      </c>
      <c r="P175" s="32">
        <v>1.0</v>
      </c>
      <c r="Q175" s="32">
        <v>2.0</v>
      </c>
      <c r="R175" s="32">
        <v>3.0</v>
      </c>
      <c r="S175" s="32">
        <v>3.0</v>
      </c>
      <c r="T175" s="32">
        <v>2.0</v>
      </c>
      <c r="U175" s="32">
        <v>3.0</v>
      </c>
      <c r="V175" s="20">
        <f>ROUND((P175*'Business Analysis'!$B$35+Q175*'Business Analysis'!$B$36+R175*'Business Analysis'!$B$37+S175*'Business Analysis'!$B$38+T175*'Business Analysis'!$B$39+U175*'Business Analysis'!$B$40)/5*100,0)</f>
        <v>44</v>
      </c>
      <c r="W175" s="20" t="str">
        <f t="shared" si="2"/>
        <v>Low</v>
      </c>
      <c r="X175" s="30" t="s">
        <v>646</v>
      </c>
      <c r="Y175" s="20" t="s">
        <v>388</v>
      </c>
      <c r="Z175" s="8" t="s">
        <v>507</v>
      </c>
      <c r="AA175" s="20" t="s">
        <v>430</v>
      </c>
    </row>
    <row r="176" ht="15.75" customHeight="1">
      <c r="A176" s="12" t="s">
        <v>1050</v>
      </c>
      <c r="B176" s="12" t="s">
        <v>130</v>
      </c>
      <c r="C176" s="6" t="s">
        <v>1041</v>
      </c>
      <c r="D176" s="6" t="s">
        <v>333</v>
      </c>
      <c r="E176" s="11" t="s">
        <v>130</v>
      </c>
      <c r="F176" s="11" t="s">
        <v>131</v>
      </c>
      <c r="G176" s="11" t="s">
        <v>191</v>
      </c>
      <c r="H176" s="14">
        <v>1900.0</v>
      </c>
      <c r="I176" s="12" t="s">
        <v>107</v>
      </c>
      <c r="J176" s="15">
        <v>38.0</v>
      </c>
      <c r="K176" s="12" t="s">
        <v>112</v>
      </c>
      <c r="L176" s="16">
        <v>4.8</v>
      </c>
      <c r="M176" s="12" t="s">
        <v>118</v>
      </c>
      <c r="N176" s="11" t="str">
        <f t="shared" si="1"/>
        <v>Moderate</v>
      </c>
      <c r="O176" s="6" t="s">
        <v>420</v>
      </c>
      <c r="P176" s="15">
        <v>1.0</v>
      </c>
      <c r="Q176" s="15">
        <v>3.0</v>
      </c>
      <c r="R176" s="15">
        <v>2.0</v>
      </c>
      <c r="S176" s="15">
        <v>3.0</v>
      </c>
      <c r="T176" s="15">
        <v>2.0</v>
      </c>
      <c r="U176" s="15">
        <v>3.0</v>
      </c>
      <c r="V176" s="11">
        <f>ROUND((P176*'Business Analysis'!$B$35+Q176*'Business Analysis'!$B$36+R176*'Business Analysis'!$B$37+S176*'Business Analysis'!$B$38+T176*'Business Analysis'!$B$39+U176*'Business Analysis'!$B$40)/5*100,0)</f>
        <v>43</v>
      </c>
      <c r="W176" s="11" t="str">
        <f t="shared" si="2"/>
        <v>Low</v>
      </c>
      <c r="X176" s="12" t="s">
        <v>646</v>
      </c>
      <c r="Y176" s="11" t="s">
        <v>388</v>
      </c>
      <c r="Z176" s="6" t="s">
        <v>507</v>
      </c>
      <c r="AA176" s="11" t="s">
        <v>430</v>
      </c>
    </row>
    <row r="177" ht="15.75" customHeight="1">
      <c r="A177" s="30" t="s">
        <v>951</v>
      </c>
      <c r="B177" s="30" t="s">
        <v>209</v>
      </c>
      <c r="C177" s="8" t="s">
        <v>1041</v>
      </c>
      <c r="D177" s="8" t="s">
        <v>333</v>
      </c>
      <c r="E177" s="20" t="s">
        <v>209</v>
      </c>
      <c r="F177" s="20" t="s">
        <v>210</v>
      </c>
      <c r="G177" s="20" t="s">
        <v>191</v>
      </c>
      <c r="H177" s="31">
        <v>5400.0</v>
      </c>
      <c r="I177" s="30" t="s">
        <v>107</v>
      </c>
      <c r="J177" s="32">
        <v>42.0</v>
      </c>
      <c r="K177" s="30" t="s">
        <v>112</v>
      </c>
      <c r="L177" s="33">
        <v>1.7</v>
      </c>
      <c r="M177" s="30" t="s">
        <v>118</v>
      </c>
      <c r="N177" s="20" t="str">
        <f t="shared" si="1"/>
        <v>Competitive</v>
      </c>
      <c r="O177" s="8" t="s">
        <v>523</v>
      </c>
      <c r="P177" s="32">
        <v>1.0</v>
      </c>
      <c r="Q177" s="32">
        <v>4.0</v>
      </c>
      <c r="R177" s="32">
        <v>2.0</v>
      </c>
      <c r="S177" s="32">
        <v>1.0</v>
      </c>
      <c r="T177" s="32">
        <v>1.0</v>
      </c>
      <c r="U177" s="32">
        <v>3.0</v>
      </c>
      <c r="V177" s="20">
        <f>ROUND((P177*'Business Analysis'!$B$35+Q177*'Business Analysis'!$B$36+R177*'Business Analysis'!$B$37+S177*'Business Analysis'!$B$38+T177*'Business Analysis'!$B$39+U177*'Business Analysis'!$B$40)/5*100,0)</f>
        <v>37</v>
      </c>
      <c r="W177" s="20" t="str">
        <f t="shared" si="2"/>
        <v>Optional</v>
      </c>
      <c r="X177" s="30" t="s">
        <v>751</v>
      </c>
      <c r="Y177" s="20" t="s">
        <v>388</v>
      </c>
      <c r="Z177" s="8" t="s">
        <v>528</v>
      </c>
      <c r="AA177" s="20" t="s">
        <v>430</v>
      </c>
    </row>
    <row r="178" ht="15.75" customHeight="1">
      <c r="A178" s="12" t="s">
        <v>752</v>
      </c>
      <c r="B178" s="12" t="s">
        <v>209</v>
      </c>
      <c r="C178" s="6" t="s">
        <v>1041</v>
      </c>
      <c r="D178" s="6" t="s">
        <v>333</v>
      </c>
      <c r="E178" s="11" t="s">
        <v>209</v>
      </c>
      <c r="F178" s="11" t="s">
        <v>210</v>
      </c>
      <c r="G178" s="11" t="s">
        <v>98</v>
      </c>
      <c r="H178" s="14">
        <v>6600.0</v>
      </c>
      <c r="I178" s="12" t="s">
        <v>107</v>
      </c>
      <c r="J178" s="15">
        <v>45.0</v>
      </c>
      <c r="K178" s="12" t="s">
        <v>112</v>
      </c>
      <c r="L178" s="16">
        <v>1.5</v>
      </c>
      <c r="M178" s="12" t="s">
        <v>118</v>
      </c>
      <c r="N178" s="11" t="str">
        <f t="shared" si="1"/>
        <v>Competitive</v>
      </c>
      <c r="O178" s="6" t="s">
        <v>523</v>
      </c>
      <c r="P178" s="15">
        <v>1.0</v>
      </c>
      <c r="Q178" s="15">
        <v>4.0</v>
      </c>
      <c r="R178" s="15">
        <v>2.0</v>
      </c>
      <c r="S178" s="15">
        <v>1.0</v>
      </c>
      <c r="T178" s="15">
        <v>1.0</v>
      </c>
      <c r="U178" s="15">
        <v>3.0</v>
      </c>
      <c r="V178" s="11">
        <f>ROUND((P178*'Business Analysis'!$B$35+Q178*'Business Analysis'!$B$36+R178*'Business Analysis'!$B$37+S178*'Business Analysis'!$B$38+T178*'Business Analysis'!$B$39+U178*'Business Analysis'!$B$40)/5*100,0)</f>
        <v>37</v>
      </c>
      <c r="W178" s="11" t="str">
        <f t="shared" si="2"/>
        <v>Optional</v>
      </c>
      <c r="X178" s="12" t="s">
        <v>751</v>
      </c>
      <c r="Y178" s="11" t="s">
        <v>388</v>
      </c>
      <c r="Z178" s="6" t="s">
        <v>528</v>
      </c>
      <c r="AA178" s="11" t="s">
        <v>430</v>
      </c>
    </row>
    <row r="179" ht="15.75" customHeight="1">
      <c r="A179" s="30" t="s">
        <v>754</v>
      </c>
      <c r="B179" s="30" t="s">
        <v>209</v>
      </c>
      <c r="C179" s="8" t="s">
        <v>1041</v>
      </c>
      <c r="D179" s="8" t="s">
        <v>333</v>
      </c>
      <c r="E179" s="20" t="s">
        <v>209</v>
      </c>
      <c r="F179" s="20" t="s">
        <v>210</v>
      </c>
      <c r="G179" s="20" t="s">
        <v>98</v>
      </c>
      <c r="H179" s="31">
        <v>1900.0</v>
      </c>
      <c r="I179" s="30" t="s">
        <v>107</v>
      </c>
      <c r="J179" s="32">
        <v>33.0</v>
      </c>
      <c r="K179" s="30" t="s">
        <v>112</v>
      </c>
      <c r="L179" s="33">
        <v>1.6</v>
      </c>
      <c r="M179" s="30" t="s">
        <v>118</v>
      </c>
      <c r="N179" s="20" t="str">
        <f t="shared" si="1"/>
        <v>Moderate</v>
      </c>
      <c r="O179" s="8" t="s">
        <v>523</v>
      </c>
      <c r="P179" s="32">
        <v>1.0</v>
      </c>
      <c r="Q179" s="32">
        <v>3.0</v>
      </c>
      <c r="R179" s="32">
        <v>3.0</v>
      </c>
      <c r="S179" s="32">
        <v>1.0</v>
      </c>
      <c r="T179" s="32">
        <v>1.0</v>
      </c>
      <c r="U179" s="32">
        <v>3.0</v>
      </c>
      <c r="V179" s="20">
        <f>ROUND((P179*'Business Analysis'!$B$35+Q179*'Business Analysis'!$B$36+R179*'Business Analysis'!$B$37+S179*'Business Analysis'!$B$38+T179*'Business Analysis'!$B$39+U179*'Business Analysis'!$B$40)/5*100,0)</f>
        <v>38</v>
      </c>
      <c r="W179" s="20" t="str">
        <f t="shared" si="2"/>
        <v>Optional</v>
      </c>
      <c r="X179" s="30" t="s">
        <v>753</v>
      </c>
      <c r="Y179" s="20" t="s">
        <v>388</v>
      </c>
      <c r="Z179" s="8" t="s">
        <v>528</v>
      </c>
      <c r="AA179" s="20" t="s">
        <v>430</v>
      </c>
    </row>
    <row r="180" ht="15.75" customHeight="1">
      <c r="A180" s="12" t="s">
        <v>341</v>
      </c>
      <c r="B180" s="12" t="s">
        <v>87</v>
      </c>
      <c r="C180" s="6" t="s">
        <v>340</v>
      </c>
      <c r="D180" s="6" t="s">
        <v>340</v>
      </c>
      <c r="E180" s="11" t="s">
        <v>29</v>
      </c>
      <c r="F180" s="11" t="s">
        <v>31</v>
      </c>
      <c r="G180" s="11" t="s">
        <v>98</v>
      </c>
      <c r="H180" s="14">
        <v>170.0</v>
      </c>
      <c r="I180" s="12" t="s">
        <v>107</v>
      </c>
      <c r="J180" s="15">
        <v>23.0</v>
      </c>
      <c r="K180" s="12" t="s">
        <v>112</v>
      </c>
      <c r="L180" s="16">
        <v>7.9</v>
      </c>
      <c r="M180" s="12" t="s">
        <v>118</v>
      </c>
      <c r="N180" s="11" t="str">
        <f t="shared" si="1"/>
        <v>Moderate</v>
      </c>
      <c r="O180" s="6" t="s">
        <v>142</v>
      </c>
      <c r="P180" s="15">
        <v>4.0</v>
      </c>
      <c r="Q180" s="15">
        <v>4.0</v>
      </c>
      <c r="R180" s="15">
        <v>4.0</v>
      </c>
      <c r="S180" s="15">
        <v>5.0</v>
      </c>
      <c r="T180" s="15">
        <v>5.0</v>
      </c>
      <c r="U180" s="15">
        <v>4.0</v>
      </c>
      <c r="V180" s="11">
        <f>ROUND((P180*'Business Analysis'!$B$35+Q180*'Business Analysis'!$B$36+R180*'Business Analysis'!$B$37+S180*'Business Analysis'!$B$38+T180*'Business Analysis'!$B$39+U180*'Business Analysis'!$B$40)/5*100,0)</f>
        <v>86</v>
      </c>
      <c r="W180" s="11" t="str">
        <f t="shared" si="2"/>
        <v>High</v>
      </c>
      <c r="X180" s="12" t="s">
        <v>625</v>
      </c>
      <c r="Y180" s="11" t="s">
        <v>388</v>
      </c>
      <c r="Z180" s="6" t="s">
        <v>213</v>
      </c>
      <c r="AA180" s="11" t="s">
        <v>183</v>
      </c>
    </row>
    <row r="181" ht="15.75" customHeight="1">
      <c r="A181" s="30" t="s">
        <v>1051</v>
      </c>
      <c r="B181" s="30" t="s">
        <v>87</v>
      </c>
      <c r="C181" s="8" t="s">
        <v>340</v>
      </c>
      <c r="D181" s="8" t="s">
        <v>340</v>
      </c>
      <c r="E181" s="20" t="s">
        <v>29</v>
      </c>
      <c r="F181" s="20" t="s">
        <v>31</v>
      </c>
      <c r="G181" s="20" t="s">
        <v>191</v>
      </c>
      <c r="H181" s="31">
        <v>110.0</v>
      </c>
      <c r="I181" s="30" t="s">
        <v>107</v>
      </c>
      <c r="J181" s="32">
        <v>22.0</v>
      </c>
      <c r="K181" s="30" t="s">
        <v>112</v>
      </c>
      <c r="L181" s="33">
        <v>7.6</v>
      </c>
      <c r="M181" s="30" t="s">
        <v>118</v>
      </c>
      <c r="N181" s="20" t="str">
        <f t="shared" si="1"/>
        <v>Moderate</v>
      </c>
      <c r="O181" s="8" t="s">
        <v>142</v>
      </c>
      <c r="P181" s="32">
        <v>4.0</v>
      </c>
      <c r="Q181" s="32">
        <v>3.0</v>
      </c>
      <c r="R181" s="32">
        <v>4.0</v>
      </c>
      <c r="S181" s="32">
        <v>5.0</v>
      </c>
      <c r="T181" s="32">
        <v>5.0</v>
      </c>
      <c r="U181" s="32">
        <v>4.0</v>
      </c>
      <c r="V181" s="20">
        <f>ROUND((P181*'Business Analysis'!$B$35+Q181*'Business Analysis'!$B$36+R181*'Business Analysis'!$B$37+S181*'Business Analysis'!$B$38+T181*'Business Analysis'!$B$39+U181*'Business Analysis'!$B$40)/5*100,0)</f>
        <v>83</v>
      </c>
      <c r="W181" s="20" t="str">
        <f t="shared" si="2"/>
        <v>High</v>
      </c>
      <c r="X181" s="30" t="s">
        <v>625</v>
      </c>
      <c r="Y181" s="20" t="s">
        <v>388</v>
      </c>
      <c r="Z181" s="8" t="s">
        <v>213</v>
      </c>
      <c r="AA181" s="20" t="s">
        <v>183</v>
      </c>
    </row>
    <row r="182" ht="15.75" customHeight="1">
      <c r="A182" s="12" t="s">
        <v>1052</v>
      </c>
      <c r="B182" s="12" t="s">
        <v>130</v>
      </c>
      <c r="C182" s="6" t="s">
        <v>340</v>
      </c>
      <c r="D182" s="6" t="s">
        <v>340</v>
      </c>
      <c r="E182" s="11" t="s">
        <v>130</v>
      </c>
      <c r="F182" s="11" t="s">
        <v>131</v>
      </c>
      <c r="G182" s="11" t="s">
        <v>191</v>
      </c>
      <c r="H182" s="14">
        <v>50.0</v>
      </c>
      <c r="I182" s="12" t="s">
        <v>107</v>
      </c>
      <c r="J182" s="15">
        <v>16.0</v>
      </c>
      <c r="K182" s="12" t="s">
        <v>112</v>
      </c>
      <c r="L182" s="16">
        <v>7.7</v>
      </c>
      <c r="M182" s="12" t="s">
        <v>118</v>
      </c>
      <c r="N182" s="11" t="str">
        <f t="shared" si="1"/>
        <v>Easy</v>
      </c>
      <c r="O182" s="6" t="s">
        <v>142</v>
      </c>
      <c r="P182" s="15">
        <v>4.0</v>
      </c>
      <c r="Q182" s="15">
        <v>3.0</v>
      </c>
      <c r="R182" s="15">
        <v>4.0</v>
      </c>
      <c r="S182" s="15">
        <v>4.0</v>
      </c>
      <c r="T182" s="15">
        <v>4.0</v>
      </c>
      <c r="U182" s="15">
        <v>4.0</v>
      </c>
      <c r="V182" s="11">
        <f>ROUND((P182*'Business Analysis'!$B$35+Q182*'Business Analysis'!$B$36+R182*'Business Analysis'!$B$37+S182*'Business Analysis'!$B$38+T182*'Business Analysis'!$B$39+U182*'Business Analysis'!$B$40)/5*100,0)</f>
        <v>77</v>
      </c>
      <c r="W182" s="11" t="str">
        <f t="shared" si="2"/>
        <v>High</v>
      </c>
      <c r="X182" s="12" t="s">
        <v>625</v>
      </c>
      <c r="Y182" s="11" t="s">
        <v>388</v>
      </c>
      <c r="Z182" s="6" t="s">
        <v>234</v>
      </c>
      <c r="AA182" s="11" t="s">
        <v>183</v>
      </c>
    </row>
    <row r="183" ht="15.75" customHeight="1">
      <c r="A183" s="30" t="s">
        <v>1053</v>
      </c>
      <c r="B183" s="30" t="s">
        <v>130</v>
      </c>
      <c r="C183" s="8" t="s">
        <v>340</v>
      </c>
      <c r="D183" s="8" t="s">
        <v>340</v>
      </c>
      <c r="E183" s="20" t="s">
        <v>130</v>
      </c>
      <c r="F183" s="20" t="s">
        <v>131</v>
      </c>
      <c r="G183" s="20" t="s">
        <v>191</v>
      </c>
      <c r="H183" s="31">
        <v>170.0</v>
      </c>
      <c r="I183" s="30" t="s">
        <v>107</v>
      </c>
      <c r="J183" s="32">
        <v>28.0</v>
      </c>
      <c r="K183" s="30" t="s">
        <v>112</v>
      </c>
      <c r="L183" s="33">
        <v>8.2</v>
      </c>
      <c r="M183" s="30" t="s">
        <v>118</v>
      </c>
      <c r="N183" s="20" t="str">
        <f t="shared" si="1"/>
        <v>Moderate</v>
      </c>
      <c r="O183" s="8" t="s">
        <v>142</v>
      </c>
      <c r="P183" s="32">
        <v>4.0</v>
      </c>
      <c r="Q183" s="32">
        <v>4.0</v>
      </c>
      <c r="R183" s="32">
        <v>3.0</v>
      </c>
      <c r="S183" s="32">
        <v>4.0</v>
      </c>
      <c r="T183" s="32">
        <v>4.0</v>
      </c>
      <c r="U183" s="32">
        <v>4.0</v>
      </c>
      <c r="V183" s="20">
        <f>ROUND((P183*'Business Analysis'!$B$35+Q183*'Business Analysis'!$B$36+R183*'Business Analysis'!$B$37+S183*'Business Analysis'!$B$38+T183*'Business Analysis'!$B$39+U183*'Business Analysis'!$B$40)/5*100,0)</f>
        <v>76</v>
      </c>
      <c r="W183" s="20" t="str">
        <f t="shared" si="2"/>
        <v>High</v>
      </c>
      <c r="X183" s="30" t="s">
        <v>625</v>
      </c>
      <c r="Y183" s="20" t="s">
        <v>388</v>
      </c>
      <c r="Z183" s="8" t="s">
        <v>1054</v>
      </c>
      <c r="AA183" s="20" t="s">
        <v>183</v>
      </c>
    </row>
    <row r="184" ht="15.75" customHeight="1">
      <c r="A184" s="12" t="s">
        <v>1055</v>
      </c>
      <c r="B184" s="12" t="s">
        <v>29</v>
      </c>
      <c r="C184" s="6" t="s">
        <v>340</v>
      </c>
      <c r="D184" s="6" t="s">
        <v>340</v>
      </c>
      <c r="E184" s="11" t="s">
        <v>29</v>
      </c>
      <c r="F184" s="11" t="s">
        <v>31</v>
      </c>
      <c r="G184" s="11" t="s">
        <v>191</v>
      </c>
      <c r="H184" s="14">
        <v>22200.0</v>
      </c>
      <c r="I184" s="12" t="s">
        <v>107</v>
      </c>
      <c r="J184" s="15">
        <v>66.0</v>
      </c>
      <c r="K184" s="12" t="s">
        <v>112</v>
      </c>
      <c r="L184" s="16">
        <v>8.9</v>
      </c>
      <c r="M184" s="12" t="s">
        <v>118</v>
      </c>
      <c r="N184" s="11" t="str">
        <f t="shared" si="1"/>
        <v>Competitive</v>
      </c>
      <c r="O184" s="6" t="s">
        <v>420</v>
      </c>
      <c r="P184" s="15">
        <v>2.0</v>
      </c>
      <c r="Q184" s="15">
        <v>5.0</v>
      </c>
      <c r="R184" s="15">
        <v>1.0</v>
      </c>
      <c r="S184" s="15">
        <v>5.0</v>
      </c>
      <c r="T184" s="15">
        <v>3.0</v>
      </c>
      <c r="U184" s="15">
        <v>4.0</v>
      </c>
      <c r="V184" s="11">
        <f>ROUND((P184*'Business Analysis'!$B$35+Q184*'Business Analysis'!$B$36+R184*'Business Analysis'!$B$37+S184*'Business Analysis'!$B$38+T184*'Business Analysis'!$B$39+U184*'Business Analysis'!$B$40)/5*100,0)</f>
        <v>61</v>
      </c>
      <c r="W184" s="11" t="str">
        <f t="shared" si="2"/>
        <v>Medium</v>
      </c>
      <c r="X184" s="12" t="s">
        <v>625</v>
      </c>
      <c r="Y184" s="11" t="s">
        <v>388</v>
      </c>
      <c r="Z184" s="6" t="s">
        <v>428</v>
      </c>
      <c r="AA184" s="11" t="s">
        <v>430</v>
      </c>
    </row>
    <row r="185" ht="15.75" customHeight="1">
      <c r="A185" s="30" t="s">
        <v>347</v>
      </c>
      <c r="B185" s="30" t="s">
        <v>29</v>
      </c>
      <c r="C185" s="8" t="s">
        <v>1056</v>
      </c>
      <c r="D185" s="8" t="s">
        <v>346</v>
      </c>
      <c r="E185" s="20" t="s">
        <v>29</v>
      </c>
      <c r="F185" s="20" t="s">
        <v>31</v>
      </c>
      <c r="G185" s="20" t="s">
        <v>98</v>
      </c>
      <c r="H185" s="31">
        <v>60.0</v>
      </c>
      <c r="I185" s="30" t="s">
        <v>107</v>
      </c>
      <c r="J185" s="32">
        <v>17.0</v>
      </c>
      <c r="K185" s="30" t="s">
        <v>112</v>
      </c>
      <c r="L185" s="33">
        <v>8.4</v>
      </c>
      <c r="M185" s="30" t="s">
        <v>118</v>
      </c>
      <c r="N185" s="20" t="str">
        <f t="shared" si="1"/>
        <v>Easy</v>
      </c>
      <c r="O185" s="8" t="s">
        <v>142</v>
      </c>
      <c r="P185" s="32">
        <v>4.0</v>
      </c>
      <c r="Q185" s="32">
        <v>3.0</v>
      </c>
      <c r="R185" s="32">
        <v>4.0</v>
      </c>
      <c r="S185" s="32">
        <v>5.0</v>
      </c>
      <c r="T185" s="32">
        <v>5.0</v>
      </c>
      <c r="U185" s="32">
        <v>3.0</v>
      </c>
      <c r="V185" s="20">
        <f>ROUND((P185*'Business Analysis'!$B$35+Q185*'Business Analysis'!$B$36+R185*'Business Analysis'!$B$37+S185*'Business Analysis'!$B$38+T185*'Business Analysis'!$B$39+U185*'Business Analysis'!$B$40)/5*100,0)</f>
        <v>81</v>
      </c>
      <c r="W185" s="20" t="str">
        <f t="shared" si="2"/>
        <v>High</v>
      </c>
      <c r="X185" s="30" t="s">
        <v>637</v>
      </c>
      <c r="Y185" s="20" t="s">
        <v>388</v>
      </c>
      <c r="Z185" s="8" t="s">
        <v>213</v>
      </c>
      <c r="AA185" s="20" t="s">
        <v>183</v>
      </c>
    </row>
    <row r="186" ht="15.75" customHeight="1">
      <c r="A186" s="12" t="s">
        <v>1057</v>
      </c>
      <c r="B186" s="12" t="s">
        <v>29</v>
      </c>
      <c r="C186" s="6" t="s">
        <v>1056</v>
      </c>
      <c r="D186" s="6" t="s">
        <v>346</v>
      </c>
      <c r="E186" s="11" t="s">
        <v>29</v>
      </c>
      <c r="F186" s="11" t="s">
        <v>31</v>
      </c>
      <c r="G186" s="11" t="s">
        <v>191</v>
      </c>
      <c r="H186" s="14">
        <v>90.0</v>
      </c>
      <c r="I186" s="12" t="s">
        <v>107</v>
      </c>
      <c r="J186" s="15">
        <v>20.0</v>
      </c>
      <c r="K186" s="12" t="s">
        <v>112</v>
      </c>
      <c r="L186" s="16">
        <v>9.0</v>
      </c>
      <c r="M186" s="12" t="s">
        <v>118</v>
      </c>
      <c r="N186" s="11" t="str">
        <f t="shared" si="1"/>
        <v>Easy</v>
      </c>
      <c r="O186" s="6" t="s">
        <v>142</v>
      </c>
      <c r="P186" s="15">
        <v>4.0</v>
      </c>
      <c r="Q186" s="15">
        <v>3.0</v>
      </c>
      <c r="R186" s="15">
        <v>4.0</v>
      </c>
      <c r="S186" s="15">
        <v>5.0</v>
      </c>
      <c r="T186" s="15">
        <v>5.0</v>
      </c>
      <c r="U186" s="15">
        <v>3.0</v>
      </c>
      <c r="V186" s="11">
        <f>ROUND((P186*'Business Analysis'!$B$35+Q186*'Business Analysis'!$B$36+R186*'Business Analysis'!$B$37+S186*'Business Analysis'!$B$38+T186*'Business Analysis'!$B$39+U186*'Business Analysis'!$B$40)/5*100,0)</f>
        <v>81</v>
      </c>
      <c r="W186" s="11" t="str">
        <f t="shared" si="2"/>
        <v>High</v>
      </c>
      <c r="X186" s="12" t="s">
        <v>637</v>
      </c>
      <c r="Y186" s="11" t="s">
        <v>388</v>
      </c>
      <c r="Z186" s="6" t="s">
        <v>213</v>
      </c>
      <c r="AA186" s="11" t="s">
        <v>183</v>
      </c>
    </row>
    <row r="187" ht="15.75" customHeight="1">
      <c r="A187" s="30" t="s">
        <v>1058</v>
      </c>
      <c r="B187" s="30" t="s">
        <v>29</v>
      </c>
      <c r="C187" s="8" t="s">
        <v>1056</v>
      </c>
      <c r="D187" s="8" t="s">
        <v>346</v>
      </c>
      <c r="E187" s="20" t="s">
        <v>29</v>
      </c>
      <c r="F187" s="20" t="s">
        <v>31</v>
      </c>
      <c r="G187" s="20" t="s">
        <v>191</v>
      </c>
      <c r="H187" s="31">
        <v>30.0</v>
      </c>
      <c r="I187" s="30" t="s">
        <v>107</v>
      </c>
      <c r="J187" s="32">
        <v>13.0</v>
      </c>
      <c r="K187" s="30" t="s">
        <v>112</v>
      </c>
      <c r="L187" s="33">
        <v>8.3</v>
      </c>
      <c r="M187" s="30" t="s">
        <v>118</v>
      </c>
      <c r="N187" s="20" t="str">
        <f t="shared" si="1"/>
        <v>Easy</v>
      </c>
      <c r="O187" s="8" t="s">
        <v>142</v>
      </c>
      <c r="P187" s="32">
        <v>4.0</v>
      </c>
      <c r="Q187" s="32">
        <v>2.0</v>
      </c>
      <c r="R187" s="32">
        <v>5.0</v>
      </c>
      <c r="S187" s="32">
        <v>5.0</v>
      </c>
      <c r="T187" s="32">
        <v>5.0</v>
      </c>
      <c r="U187" s="32">
        <v>3.0</v>
      </c>
      <c r="V187" s="20">
        <f>ROUND((P187*'Business Analysis'!$B$35+Q187*'Business Analysis'!$B$36+R187*'Business Analysis'!$B$37+S187*'Business Analysis'!$B$38+T187*'Business Analysis'!$B$39+U187*'Business Analysis'!$B$40)/5*100,0)</f>
        <v>82</v>
      </c>
      <c r="W187" s="20" t="str">
        <f t="shared" si="2"/>
        <v>High</v>
      </c>
      <c r="X187" s="30" t="s">
        <v>637</v>
      </c>
      <c r="Y187" s="20" t="s">
        <v>388</v>
      </c>
      <c r="Z187" s="8" t="s">
        <v>213</v>
      </c>
      <c r="AA187" s="20" t="s">
        <v>183</v>
      </c>
    </row>
    <row r="188" ht="15.75" customHeight="1">
      <c r="A188" s="12" t="s">
        <v>1059</v>
      </c>
      <c r="B188" s="12" t="s">
        <v>29</v>
      </c>
      <c r="C188" s="6" t="s">
        <v>1056</v>
      </c>
      <c r="D188" s="6" t="s">
        <v>346</v>
      </c>
      <c r="E188" s="11" t="s">
        <v>29</v>
      </c>
      <c r="F188" s="11" t="s">
        <v>31</v>
      </c>
      <c r="G188" s="11" t="s">
        <v>191</v>
      </c>
      <c r="H188" s="14">
        <v>30.0</v>
      </c>
      <c r="I188" s="12" t="s">
        <v>107</v>
      </c>
      <c r="J188" s="15">
        <v>13.0</v>
      </c>
      <c r="K188" s="12" t="s">
        <v>112</v>
      </c>
      <c r="L188" s="16">
        <v>8.5</v>
      </c>
      <c r="M188" s="12" t="s">
        <v>118</v>
      </c>
      <c r="N188" s="11" t="str">
        <f t="shared" si="1"/>
        <v>Easy</v>
      </c>
      <c r="O188" s="6" t="s">
        <v>142</v>
      </c>
      <c r="P188" s="15">
        <v>4.0</v>
      </c>
      <c r="Q188" s="15">
        <v>2.0</v>
      </c>
      <c r="R188" s="15">
        <v>5.0</v>
      </c>
      <c r="S188" s="15">
        <v>5.0</v>
      </c>
      <c r="T188" s="15">
        <v>5.0</v>
      </c>
      <c r="U188" s="15">
        <v>3.0</v>
      </c>
      <c r="V188" s="11">
        <f>ROUND((P188*'Business Analysis'!$B$35+Q188*'Business Analysis'!$B$36+R188*'Business Analysis'!$B$37+S188*'Business Analysis'!$B$38+T188*'Business Analysis'!$B$39+U188*'Business Analysis'!$B$40)/5*100,0)</f>
        <v>82</v>
      </c>
      <c r="W188" s="11" t="str">
        <f t="shared" si="2"/>
        <v>High</v>
      </c>
      <c r="X188" s="12" t="s">
        <v>637</v>
      </c>
      <c r="Y188" s="11" t="s">
        <v>388</v>
      </c>
      <c r="Z188" s="6" t="s">
        <v>213</v>
      </c>
      <c r="AA188" s="11" t="s">
        <v>183</v>
      </c>
    </row>
    <row r="189" ht="15.75" customHeight="1">
      <c r="A189" s="30" t="s">
        <v>1060</v>
      </c>
      <c r="B189" s="30" t="s">
        <v>29</v>
      </c>
      <c r="C189" s="8" t="s">
        <v>1056</v>
      </c>
      <c r="D189" s="8" t="s">
        <v>346</v>
      </c>
      <c r="E189" s="20" t="s">
        <v>29</v>
      </c>
      <c r="F189" s="20" t="s">
        <v>31</v>
      </c>
      <c r="G189" s="20" t="s">
        <v>191</v>
      </c>
      <c r="H189" s="31">
        <v>40.0</v>
      </c>
      <c r="I189" s="30" t="s">
        <v>107</v>
      </c>
      <c r="J189" s="32">
        <v>15.0</v>
      </c>
      <c r="K189" s="30" t="s">
        <v>112</v>
      </c>
      <c r="L189" s="33">
        <v>8.2</v>
      </c>
      <c r="M189" s="30" t="s">
        <v>118</v>
      </c>
      <c r="N189" s="20" t="str">
        <f t="shared" si="1"/>
        <v>Easy</v>
      </c>
      <c r="O189" s="8" t="s">
        <v>142</v>
      </c>
      <c r="P189" s="32">
        <v>4.0</v>
      </c>
      <c r="Q189" s="32">
        <v>2.0</v>
      </c>
      <c r="R189" s="32">
        <v>5.0</v>
      </c>
      <c r="S189" s="32">
        <v>5.0</v>
      </c>
      <c r="T189" s="32">
        <v>5.0</v>
      </c>
      <c r="U189" s="32">
        <v>3.0</v>
      </c>
      <c r="V189" s="20">
        <f>ROUND((P189*'Business Analysis'!$B$35+Q189*'Business Analysis'!$B$36+R189*'Business Analysis'!$B$37+S189*'Business Analysis'!$B$38+T189*'Business Analysis'!$B$39+U189*'Business Analysis'!$B$40)/5*100,0)</f>
        <v>82</v>
      </c>
      <c r="W189" s="20" t="str">
        <f t="shared" si="2"/>
        <v>High</v>
      </c>
      <c r="X189" s="30" t="s">
        <v>637</v>
      </c>
      <c r="Y189" s="20" t="s">
        <v>388</v>
      </c>
      <c r="Z189" s="8" t="s">
        <v>213</v>
      </c>
      <c r="AA189" s="20" t="s">
        <v>183</v>
      </c>
    </row>
    <row r="190" ht="15.75" customHeight="1">
      <c r="A190" s="12" t="s">
        <v>1061</v>
      </c>
      <c r="B190" s="12" t="s">
        <v>29</v>
      </c>
      <c r="C190" s="6" t="s">
        <v>1056</v>
      </c>
      <c r="D190" s="6" t="s">
        <v>346</v>
      </c>
      <c r="E190" s="11" t="s">
        <v>29</v>
      </c>
      <c r="F190" s="11" t="s">
        <v>31</v>
      </c>
      <c r="G190" s="11" t="s">
        <v>191</v>
      </c>
      <c r="H190" s="14">
        <v>90.0</v>
      </c>
      <c r="I190" s="12" t="s">
        <v>107</v>
      </c>
      <c r="J190" s="15">
        <v>18.0</v>
      </c>
      <c r="K190" s="12" t="s">
        <v>112</v>
      </c>
      <c r="L190" s="16">
        <v>7.6</v>
      </c>
      <c r="M190" s="12" t="s">
        <v>118</v>
      </c>
      <c r="N190" s="11" t="str">
        <f t="shared" si="1"/>
        <v>Easy</v>
      </c>
      <c r="O190" s="6" t="s">
        <v>142</v>
      </c>
      <c r="P190" s="15">
        <v>4.0</v>
      </c>
      <c r="Q190" s="15">
        <v>3.0</v>
      </c>
      <c r="R190" s="15">
        <v>4.0</v>
      </c>
      <c r="S190" s="15">
        <v>5.0</v>
      </c>
      <c r="T190" s="15">
        <v>5.0</v>
      </c>
      <c r="U190" s="15">
        <v>3.0</v>
      </c>
      <c r="V190" s="11">
        <f>ROUND((P190*'Business Analysis'!$B$35+Q190*'Business Analysis'!$B$36+R190*'Business Analysis'!$B$37+S190*'Business Analysis'!$B$38+T190*'Business Analysis'!$B$39+U190*'Business Analysis'!$B$40)/5*100,0)</f>
        <v>81</v>
      </c>
      <c r="W190" s="11" t="str">
        <f t="shared" si="2"/>
        <v>High</v>
      </c>
      <c r="X190" s="12" t="s">
        <v>637</v>
      </c>
      <c r="Y190" s="11" t="s">
        <v>388</v>
      </c>
      <c r="Z190" s="6" t="s">
        <v>1062</v>
      </c>
      <c r="AA190" s="11" t="s">
        <v>183</v>
      </c>
    </row>
    <row r="191" ht="15.75" customHeight="1">
      <c r="A191" s="30" t="s">
        <v>1063</v>
      </c>
      <c r="B191" s="30" t="s">
        <v>29</v>
      </c>
      <c r="C191" s="8" t="s">
        <v>1056</v>
      </c>
      <c r="D191" s="8" t="s">
        <v>346</v>
      </c>
      <c r="E191" s="20" t="s">
        <v>29</v>
      </c>
      <c r="F191" s="20" t="s">
        <v>31</v>
      </c>
      <c r="G191" s="20" t="s">
        <v>191</v>
      </c>
      <c r="H191" s="31">
        <v>40.0</v>
      </c>
      <c r="I191" s="30" t="s">
        <v>107</v>
      </c>
      <c r="J191" s="32">
        <v>15.0</v>
      </c>
      <c r="K191" s="30" t="s">
        <v>112</v>
      </c>
      <c r="L191" s="33">
        <v>6.7</v>
      </c>
      <c r="M191" s="30" t="s">
        <v>118</v>
      </c>
      <c r="N191" s="20" t="str">
        <f t="shared" si="1"/>
        <v>Easy</v>
      </c>
      <c r="O191" s="8" t="s">
        <v>142</v>
      </c>
      <c r="P191" s="32">
        <v>4.0</v>
      </c>
      <c r="Q191" s="32">
        <v>2.0</v>
      </c>
      <c r="R191" s="32">
        <v>5.0</v>
      </c>
      <c r="S191" s="32">
        <v>5.0</v>
      </c>
      <c r="T191" s="32">
        <v>5.0</v>
      </c>
      <c r="U191" s="32">
        <v>3.0</v>
      </c>
      <c r="V191" s="20">
        <f>ROUND((P191*'Business Analysis'!$B$35+Q191*'Business Analysis'!$B$36+R191*'Business Analysis'!$B$37+S191*'Business Analysis'!$B$38+T191*'Business Analysis'!$B$39+U191*'Business Analysis'!$B$40)/5*100,0)</f>
        <v>82</v>
      </c>
      <c r="W191" s="20" t="str">
        <f t="shared" si="2"/>
        <v>High</v>
      </c>
      <c r="X191" s="30" t="s">
        <v>637</v>
      </c>
      <c r="Y191" s="20" t="s">
        <v>388</v>
      </c>
      <c r="Z191" s="8" t="s">
        <v>1064</v>
      </c>
      <c r="AA191" s="20" t="s">
        <v>183</v>
      </c>
    </row>
    <row r="192" ht="15.75" customHeight="1">
      <c r="A192" s="12" t="s">
        <v>757</v>
      </c>
      <c r="B192" s="12" t="s">
        <v>209</v>
      </c>
      <c r="C192" s="6" t="s">
        <v>1056</v>
      </c>
      <c r="D192" s="6" t="s">
        <v>346</v>
      </c>
      <c r="E192" s="11" t="s">
        <v>209</v>
      </c>
      <c r="F192" s="11" t="s">
        <v>210</v>
      </c>
      <c r="G192" s="11" t="s">
        <v>98</v>
      </c>
      <c r="H192" s="14">
        <v>6600.0</v>
      </c>
      <c r="I192" s="12" t="s">
        <v>107</v>
      </c>
      <c r="J192" s="15">
        <v>46.0</v>
      </c>
      <c r="K192" s="12" t="s">
        <v>112</v>
      </c>
      <c r="L192" s="16">
        <v>2.2</v>
      </c>
      <c r="M192" s="12" t="s">
        <v>118</v>
      </c>
      <c r="N192" s="11" t="str">
        <f t="shared" si="1"/>
        <v>Competitive</v>
      </c>
      <c r="O192" s="6" t="s">
        <v>523</v>
      </c>
      <c r="P192" s="15">
        <v>1.0</v>
      </c>
      <c r="Q192" s="15">
        <v>4.0</v>
      </c>
      <c r="R192" s="15">
        <v>2.0</v>
      </c>
      <c r="S192" s="15">
        <v>1.0</v>
      </c>
      <c r="T192" s="15">
        <v>1.0</v>
      </c>
      <c r="U192" s="15">
        <v>3.0</v>
      </c>
      <c r="V192" s="11">
        <f>ROUND((P192*'Business Analysis'!$B$35+Q192*'Business Analysis'!$B$36+R192*'Business Analysis'!$B$37+S192*'Business Analysis'!$B$38+T192*'Business Analysis'!$B$39+U192*'Business Analysis'!$B$40)/5*100,0)</f>
        <v>37</v>
      </c>
      <c r="W192" s="11" t="str">
        <f t="shared" si="2"/>
        <v>Optional</v>
      </c>
      <c r="X192" s="12" t="s">
        <v>756</v>
      </c>
      <c r="Y192" s="11" t="s">
        <v>388</v>
      </c>
      <c r="Z192" s="6" t="s">
        <v>528</v>
      </c>
      <c r="AA192" s="11" t="s">
        <v>430</v>
      </c>
    </row>
    <row r="193" ht="15.75" customHeight="1">
      <c r="A193" s="30" t="s">
        <v>957</v>
      </c>
      <c r="B193" s="30" t="s">
        <v>209</v>
      </c>
      <c r="C193" s="8" t="s">
        <v>1056</v>
      </c>
      <c r="D193" s="8" t="s">
        <v>346</v>
      </c>
      <c r="E193" s="20" t="s">
        <v>209</v>
      </c>
      <c r="F193" s="20" t="s">
        <v>210</v>
      </c>
      <c r="G193" s="20" t="s">
        <v>191</v>
      </c>
      <c r="H193" s="31">
        <v>1600.0</v>
      </c>
      <c r="I193" s="30" t="s">
        <v>107</v>
      </c>
      <c r="J193" s="32">
        <v>34.0</v>
      </c>
      <c r="K193" s="30" t="s">
        <v>112</v>
      </c>
      <c r="L193" s="33">
        <v>2.4</v>
      </c>
      <c r="M193" s="30" t="s">
        <v>118</v>
      </c>
      <c r="N193" s="20" t="str">
        <f t="shared" si="1"/>
        <v>Moderate</v>
      </c>
      <c r="O193" s="8" t="s">
        <v>523</v>
      </c>
      <c r="P193" s="32">
        <v>1.0</v>
      </c>
      <c r="Q193" s="32">
        <v>3.0</v>
      </c>
      <c r="R193" s="32">
        <v>3.0</v>
      </c>
      <c r="S193" s="32">
        <v>1.0</v>
      </c>
      <c r="T193" s="32">
        <v>1.0</v>
      </c>
      <c r="U193" s="32">
        <v>3.0</v>
      </c>
      <c r="V193" s="20">
        <f>ROUND((P193*'Business Analysis'!$B$35+Q193*'Business Analysis'!$B$36+R193*'Business Analysis'!$B$37+S193*'Business Analysis'!$B$38+T193*'Business Analysis'!$B$39+U193*'Business Analysis'!$B$40)/5*100,0)</f>
        <v>38</v>
      </c>
      <c r="W193" s="20" t="str">
        <f t="shared" si="2"/>
        <v>Optional</v>
      </c>
      <c r="X193" s="30" t="s">
        <v>756</v>
      </c>
      <c r="Y193" s="20" t="s">
        <v>388</v>
      </c>
      <c r="Z193" s="8" t="s">
        <v>528</v>
      </c>
      <c r="AA193" s="20" t="s">
        <v>430</v>
      </c>
    </row>
    <row r="194" ht="15.75" customHeight="1">
      <c r="A194" s="12" t="s">
        <v>354</v>
      </c>
      <c r="B194" s="12" t="s">
        <v>50</v>
      </c>
      <c r="C194" s="6" t="s">
        <v>1065</v>
      </c>
      <c r="D194" s="6" t="s">
        <v>353</v>
      </c>
      <c r="E194" s="11" t="s">
        <v>29</v>
      </c>
      <c r="F194" s="11" t="s">
        <v>31</v>
      </c>
      <c r="G194" s="11" t="s">
        <v>98</v>
      </c>
      <c r="H194" s="14">
        <v>110.0</v>
      </c>
      <c r="I194" s="12" t="s">
        <v>107</v>
      </c>
      <c r="J194" s="15">
        <v>19.0</v>
      </c>
      <c r="K194" s="12" t="s">
        <v>112</v>
      </c>
      <c r="L194" s="16">
        <v>7.4</v>
      </c>
      <c r="M194" s="12" t="s">
        <v>118</v>
      </c>
      <c r="N194" s="11" t="str">
        <f t="shared" si="1"/>
        <v>Easy</v>
      </c>
      <c r="O194" s="6" t="s">
        <v>1066</v>
      </c>
      <c r="P194" s="15">
        <v>4.0</v>
      </c>
      <c r="Q194" s="15">
        <v>3.0</v>
      </c>
      <c r="R194" s="15">
        <v>4.0</v>
      </c>
      <c r="S194" s="15">
        <v>5.0</v>
      </c>
      <c r="T194" s="15">
        <v>5.0</v>
      </c>
      <c r="U194" s="15">
        <v>3.0</v>
      </c>
      <c r="V194" s="11">
        <f>ROUND((P194*'Business Analysis'!$B$35+Q194*'Business Analysis'!$B$36+R194*'Business Analysis'!$B$37+S194*'Business Analysis'!$B$38+T194*'Business Analysis'!$B$39+U194*'Business Analysis'!$B$40)/5*100,0)</f>
        <v>81</v>
      </c>
      <c r="W194" s="11" t="str">
        <f t="shared" si="2"/>
        <v>High</v>
      </c>
      <c r="X194" s="12" t="s">
        <v>652</v>
      </c>
      <c r="Y194" s="11" t="s">
        <v>388</v>
      </c>
      <c r="Z194" s="6" t="s">
        <v>213</v>
      </c>
      <c r="AA194" s="11" t="s">
        <v>183</v>
      </c>
    </row>
    <row r="195" ht="15.75" customHeight="1">
      <c r="A195" s="30" t="s">
        <v>692</v>
      </c>
      <c r="B195" s="30" t="s">
        <v>50</v>
      </c>
      <c r="C195" s="8" t="s">
        <v>1065</v>
      </c>
      <c r="D195" s="8" t="s">
        <v>353</v>
      </c>
      <c r="E195" s="20" t="s">
        <v>29</v>
      </c>
      <c r="F195" s="20" t="s">
        <v>31</v>
      </c>
      <c r="G195" s="20" t="s">
        <v>191</v>
      </c>
      <c r="H195" s="31">
        <v>20.0</v>
      </c>
      <c r="I195" s="30" t="s">
        <v>107</v>
      </c>
      <c r="J195" s="32">
        <v>10.0</v>
      </c>
      <c r="K195" s="30" t="s">
        <v>112</v>
      </c>
      <c r="L195" s="33">
        <v>9.3</v>
      </c>
      <c r="M195" s="30" t="s">
        <v>118</v>
      </c>
      <c r="N195" s="20" t="str">
        <f t="shared" si="1"/>
        <v>Easy</v>
      </c>
      <c r="O195" s="8" t="s">
        <v>1066</v>
      </c>
      <c r="P195" s="32">
        <v>4.0</v>
      </c>
      <c r="Q195" s="32">
        <v>2.0</v>
      </c>
      <c r="R195" s="32">
        <v>5.0</v>
      </c>
      <c r="S195" s="32">
        <v>5.0</v>
      </c>
      <c r="T195" s="32">
        <v>5.0</v>
      </c>
      <c r="U195" s="32">
        <v>3.0</v>
      </c>
      <c r="V195" s="20">
        <f>ROUND((P195*'Business Analysis'!$B$35+Q195*'Business Analysis'!$B$36+R195*'Business Analysis'!$B$37+S195*'Business Analysis'!$B$38+T195*'Business Analysis'!$B$39+U195*'Business Analysis'!$B$40)/5*100,0)</f>
        <v>82</v>
      </c>
      <c r="W195" s="20" t="str">
        <f t="shared" si="2"/>
        <v>High</v>
      </c>
      <c r="X195" s="30" t="s">
        <v>652</v>
      </c>
      <c r="Y195" s="20" t="s">
        <v>388</v>
      </c>
      <c r="Z195" s="8" t="s">
        <v>213</v>
      </c>
      <c r="AA195" s="20" t="s">
        <v>183</v>
      </c>
    </row>
    <row r="196" ht="15.75" customHeight="1">
      <c r="A196" s="12" t="s">
        <v>655</v>
      </c>
      <c r="B196" s="12" t="s">
        <v>50</v>
      </c>
      <c r="C196" s="6" t="s">
        <v>1065</v>
      </c>
      <c r="D196" s="6" t="s">
        <v>353</v>
      </c>
      <c r="E196" s="11" t="s">
        <v>29</v>
      </c>
      <c r="F196" s="11" t="s">
        <v>31</v>
      </c>
      <c r="G196" s="11" t="s">
        <v>98</v>
      </c>
      <c r="H196" s="14">
        <v>70.0</v>
      </c>
      <c r="I196" s="12" t="s">
        <v>107</v>
      </c>
      <c r="J196" s="15">
        <v>17.0</v>
      </c>
      <c r="K196" s="12" t="s">
        <v>112</v>
      </c>
      <c r="L196" s="16">
        <v>7.2</v>
      </c>
      <c r="M196" s="12" t="s">
        <v>118</v>
      </c>
      <c r="N196" s="11" t="str">
        <f t="shared" si="1"/>
        <v>Easy</v>
      </c>
      <c r="O196" s="6" t="s">
        <v>1066</v>
      </c>
      <c r="P196" s="15">
        <v>4.0</v>
      </c>
      <c r="Q196" s="15">
        <v>3.0</v>
      </c>
      <c r="R196" s="15">
        <v>4.0</v>
      </c>
      <c r="S196" s="15">
        <v>5.0</v>
      </c>
      <c r="T196" s="15">
        <v>5.0</v>
      </c>
      <c r="U196" s="15">
        <v>3.0</v>
      </c>
      <c r="V196" s="11">
        <f>ROUND((P196*'Business Analysis'!$B$35+Q196*'Business Analysis'!$B$36+R196*'Business Analysis'!$B$37+S196*'Business Analysis'!$B$38+T196*'Business Analysis'!$B$39+U196*'Business Analysis'!$B$40)/5*100,0)</f>
        <v>81</v>
      </c>
      <c r="W196" s="11" t="str">
        <f t="shared" si="2"/>
        <v>High</v>
      </c>
      <c r="X196" s="12" t="s">
        <v>654</v>
      </c>
      <c r="Y196" s="11" t="s">
        <v>388</v>
      </c>
      <c r="Z196" s="6" t="s">
        <v>213</v>
      </c>
      <c r="AA196" s="11" t="s">
        <v>183</v>
      </c>
    </row>
    <row r="197" ht="15.75" customHeight="1">
      <c r="A197" s="30" t="s">
        <v>657</v>
      </c>
      <c r="B197" s="30" t="s">
        <v>50</v>
      </c>
      <c r="C197" s="8" t="s">
        <v>1065</v>
      </c>
      <c r="D197" s="8" t="s">
        <v>353</v>
      </c>
      <c r="E197" s="20" t="s">
        <v>29</v>
      </c>
      <c r="F197" s="20" t="s">
        <v>31</v>
      </c>
      <c r="G197" s="20" t="s">
        <v>98</v>
      </c>
      <c r="H197" s="31">
        <v>70.0</v>
      </c>
      <c r="I197" s="30" t="s">
        <v>107</v>
      </c>
      <c r="J197" s="32">
        <v>17.0</v>
      </c>
      <c r="K197" s="30" t="s">
        <v>112</v>
      </c>
      <c r="L197" s="33">
        <v>7.2</v>
      </c>
      <c r="M197" s="30" t="s">
        <v>118</v>
      </c>
      <c r="N197" s="20" t="str">
        <f t="shared" si="1"/>
        <v>Easy</v>
      </c>
      <c r="O197" s="8" t="s">
        <v>1066</v>
      </c>
      <c r="P197" s="32">
        <v>4.0</v>
      </c>
      <c r="Q197" s="32">
        <v>3.0</v>
      </c>
      <c r="R197" s="32">
        <v>4.0</v>
      </c>
      <c r="S197" s="32">
        <v>5.0</v>
      </c>
      <c r="T197" s="32">
        <v>5.0</v>
      </c>
      <c r="U197" s="32">
        <v>3.0</v>
      </c>
      <c r="V197" s="20">
        <f>ROUND((P197*'Business Analysis'!$B$35+Q197*'Business Analysis'!$B$36+R197*'Business Analysis'!$B$37+S197*'Business Analysis'!$B$38+T197*'Business Analysis'!$B$39+U197*'Business Analysis'!$B$40)/5*100,0)</f>
        <v>81</v>
      </c>
      <c r="W197" s="20" t="str">
        <f t="shared" si="2"/>
        <v>High</v>
      </c>
      <c r="X197" s="30" t="s">
        <v>656</v>
      </c>
      <c r="Y197" s="20" t="s">
        <v>388</v>
      </c>
      <c r="Z197" s="8" t="s">
        <v>213</v>
      </c>
      <c r="AA197" s="20" t="s">
        <v>183</v>
      </c>
    </row>
    <row r="198" ht="15.75" customHeight="1">
      <c r="A198" s="12" t="s">
        <v>708</v>
      </c>
      <c r="B198" s="12" t="s">
        <v>50</v>
      </c>
      <c r="C198" s="6" t="s">
        <v>1065</v>
      </c>
      <c r="D198" s="6" t="s">
        <v>353</v>
      </c>
      <c r="E198" s="11" t="s">
        <v>29</v>
      </c>
      <c r="F198" s="11" t="s">
        <v>31</v>
      </c>
      <c r="G198" s="11" t="s">
        <v>191</v>
      </c>
      <c r="H198" s="14">
        <v>20.0</v>
      </c>
      <c r="I198" s="12" t="s">
        <v>107</v>
      </c>
      <c r="J198" s="15">
        <v>10.0</v>
      </c>
      <c r="K198" s="12" t="s">
        <v>112</v>
      </c>
      <c r="L198" s="16">
        <v>9.1</v>
      </c>
      <c r="M198" s="12" t="s">
        <v>118</v>
      </c>
      <c r="N198" s="11" t="str">
        <f t="shared" si="1"/>
        <v>Easy</v>
      </c>
      <c r="O198" s="6" t="s">
        <v>1066</v>
      </c>
      <c r="P198" s="15">
        <v>4.0</v>
      </c>
      <c r="Q198" s="15">
        <v>2.0</v>
      </c>
      <c r="R198" s="15">
        <v>5.0</v>
      </c>
      <c r="S198" s="15">
        <v>5.0</v>
      </c>
      <c r="T198" s="15">
        <v>5.0</v>
      </c>
      <c r="U198" s="15">
        <v>3.0</v>
      </c>
      <c r="V198" s="11">
        <f>ROUND((P198*'Business Analysis'!$B$35+Q198*'Business Analysis'!$B$36+R198*'Business Analysis'!$B$37+S198*'Business Analysis'!$B$38+T198*'Business Analysis'!$B$39+U198*'Business Analysis'!$B$40)/5*100,0)</f>
        <v>82</v>
      </c>
      <c r="W198" s="11" t="str">
        <f t="shared" si="2"/>
        <v>High</v>
      </c>
      <c r="X198" s="12" t="s">
        <v>656</v>
      </c>
      <c r="Y198" s="11" t="s">
        <v>388</v>
      </c>
      <c r="Z198" s="6" t="s">
        <v>213</v>
      </c>
      <c r="AA198" s="11" t="s">
        <v>183</v>
      </c>
    </row>
    <row r="199" ht="15.75" customHeight="1">
      <c r="A199" s="30" t="s">
        <v>659</v>
      </c>
      <c r="B199" s="30" t="s">
        <v>50</v>
      </c>
      <c r="C199" s="8" t="s">
        <v>1065</v>
      </c>
      <c r="D199" s="8" t="s">
        <v>353</v>
      </c>
      <c r="E199" s="20" t="s">
        <v>29</v>
      </c>
      <c r="F199" s="20" t="s">
        <v>31</v>
      </c>
      <c r="G199" s="20" t="s">
        <v>98</v>
      </c>
      <c r="H199" s="31">
        <v>40.0</v>
      </c>
      <c r="I199" s="30" t="s">
        <v>107</v>
      </c>
      <c r="J199" s="32">
        <v>15.0</v>
      </c>
      <c r="K199" s="30" t="s">
        <v>112</v>
      </c>
      <c r="L199" s="33">
        <v>7.0</v>
      </c>
      <c r="M199" s="30" t="s">
        <v>118</v>
      </c>
      <c r="N199" s="20" t="str">
        <f t="shared" si="1"/>
        <v>Easy</v>
      </c>
      <c r="O199" s="8" t="s">
        <v>1066</v>
      </c>
      <c r="P199" s="32">
        <v>4.0</v>
      </c>
      <c r="Q199" s="32">
        <v>2.0</v>
      </c>
      <c r="R199" s="32">
        <v>5.0</v>
      </c>
      <c r="S199" s="32">
        <v>5.0</v>
      </c>
      <c r="T199" s="32">
        <v>5.0</v>
      </c>
      <c r="U199" s="32">
        <v>3.0</v>
      </c>
      <c r="V199" s="20">
        <f>ROUND((P199*'Business Analysis'!$B$35+Q199*'Business Analysis'!$B$36+R199*'Business Analysis'!$B$37+S199*'Business Analysis'!$B$38+T199*'Business Analysis'!$B$39+U199*'Business Analysis'!$B$40)/5*100,0)</f>
        <v>82</v>
      </c>
      <c r="W199" s="20" t="str">
        <f t="shared" si="2"/>
        <v>High</v>
      </c>
      <c r="X199" s="30" t="s">
        <v>658</v>
      </c>
      <c r="Y199" s="20" t="s">
        <v>388</v>
      </c>
      <c r="Z199" s="8" t="s">
        <v>213</v>
      </c>
      <c r="AA199" s="20" t="s">
        <v>183</v>
      </c>
    </row>
    <row r="200" ht="15.75" customHeight="1">
      <c r="A200" s="12" t="s">
        <v>662</v>
      </c>
      <c r="B200" s="12" t="s">
        <v>50</v>
      </c>
      <c r="C200" s="6" t="s">
        <v>1065</v>
      </c>
      <c r="D200" s="6" t="s">
        <v>353</v>
      </c>
      <c r="E200" s="11" t="s">
        <v>29</v>
      </c>
      <c r="F200" s="11" t="s">
        <v>31</v>
      </c>
      <c r="G200" s="11" t="s">
        <v>98</v>
      </c>
      <c r="H200" s="14">
        <v>30.0</v>
      </c>
      <c r="I200" s="12" t="s">
        <v>107</v>
      </c>
      <c r="J200" s="15">
        <v>13.0</v>
      </c>
      <c r="K200" s="12" t="s">
        <v>112</v>
      </c>
      <c r="L200" s="16">
        <v>6.9</v>
      </c>
      <c r="M200" s="12" t="s">
        <v>118</v>
      </c>
      <c r="N200" s="11" t="str">
        <f t="shared" si="1"/>
        <v>Easy</v>
      </c>
      <c r="O200" s="6" t="s">
        <v>1066</v>
      </c>
      <c r="P200" s="15">
        <v>4.0</v>
      </c>
      <c r="Q200" s="15">
        <v>2.0</v>
      </c>
      <c r="R200" s="15">
        <v>5.0</v>
      </c>
      <c r="S200" s="15">
        <v>5.0</v>
      </c>
      <c r="T200" s="15">
        <v>5.0</v>
      </c>
      <c r="U200" s="15">
        <v>3.0</v>
      </c>
      <c r="V200" s="11">
        <f>ROUND((P200*'Business Analysis'!$B$35+Q200*'Business Analysis'!$B$36+R200*'Business Analysis'!$B$37+S200*'Business Analysis'!$B$38+T200*'Business Analysis'!$B$39+U200*'Business Analysis'!$B$40)/5*100,0)</f>
        <v>82</v>
      </c>
      <c r="W200" s="11" t="str">
        <f t="shared" si="2"/>
        <v>High</v>
      </c>
      <c r="X200" s="12" t="s">
        <v>661</v>
      </c>
      <c r="Y200" s="11" t="s">
        <v>388</v>
      </c>
      <c r="Z200" s="6" t="s">
        <v>213</v>
      </c>
      <c r="AA200" s="11" t="s">
        <v>183</v>
      </c>
    </row>
    <row r="201" ht="15.75" customHeight="1">
      <c r="A201" s="30" t="s">
        <v>666</v>
      </c>
      <c r="B201" s="30" t="s">
        <v>50</v>
      </c>
      <c r="C201" s="8" t="s">
        <v>1065</v>
      </c>
      <c r="D201" s="8" t="s">
        <v>353</v>
      </c>
      <c r="E201" s="20" t="s">
        <v>29</v>
      </c>
      <c r="F201" s="20" t="s">
        <v>31</v>
      </c>
      <c r="G201" s="20" t="s">
        <v>98</v>
      </c>
      <c r="H201" s="31">
        <v>30.0</v>
      </c>
      <c r="I201" s="30" t="s">
        <v>107</v>
      </c>
      <c r="J201" s="32">
        <v>12.0</v>
      </c>
      <c r="K201" s="30" t="s">
        <v>112</v>
      </c>
      <c r="L201" s="33">
        <v>6.8</v>
      </c>
      <c r="M201" s="30" t="s">
        <v>118</v>
      </c>
      <c r="N201" s="20" t="str">
        <f t="shared" si="1"/>
        <v>Easy</v>
      </c>
      <c r="O201" s="8" t="s">
        <v>1066</v>
      </c>
      <c r="P201" s="32">
        <v>4.0</v>
      </c>
      <c r="Q201" s="32">
        <v>2.0</v>
      </c>
      <c r="R201" s="32">
        <v>5.0</v>
      </c>
      <c r="S201" s="32">
        <v>5.0</v>
      </c>
      <c r="T201" s="32">
        <v>5.0</v>
      </c>
      <c r="U201" s="32">
        <v>3.0</v>
      </c>
      <c r="V201" s="20">
        <f>ROUND((P201*'Business Analysis'!$B$35+Q201*'Business Analysis'!$B$36+R201*'Business Analysis'!$B$37+S201*'Business Analysis'!$B$38+T201*'Business Analysis'!$B$39+U201*'Business Analysis'!$B$40)/5*100,0)</f>
        <v>82</v>
      </c>
      <c r="W201" s="20" t="str">
        <f t="shared" si="2"/>
        <v>High</v>
      </c>
      <c r="X201" s="30" t="s">
        <v>665</v>
      </c>
      <c r="Y201" s="20" t="s">
        <v>388</v>
      </c>
      <c r="Z201" s="8" t="s">
        <v>213</v>
      </c>
      <c r="AA201" s="20" t="s">
        <v>183</v>
      </c>
    </row>
    <row r="202" ht="15.75" customHeight="1">
      <c r="A202" s="12" t="s">
        <v>668</v>
      </c>
      <c r="B202" s="12" t="s">
        <v>50</v>
      </c>
      <c r="C202" s="6" t="s">
        <v>1065</v>
      </c>
      <c r="D202" s="6" t="s">
        <v>353</v>
      </c>
      <c r="E202" s="11" t="s">
        <v>29</v>
      </c>
      <c r="F202" s="11" t="s">
        <v>31</v>
      </c>
      <c r="G202" s="11" t="s">
        <v>98</v>
      </c>
      <c r="H202" s="14">
        <v>140.0</v>
      </c>
      <c r="I202" s="12" t="s">
        <v>107</v>
      </c>
      <c r="J202" s="15">
        <v>24.0</v>
      </c>
      <c r="K202" s="12" t="s">
        <v>112</v>
      </c>
      <c r="L202" s="16">
        <v>7.3</v>
      </c>
      <c r="M202" s="12" t="s">
        <v>118</v>
      </c>
      <c r="N202" s="11" t="str">
        <f t="shared" si="1"/>
        <v>Moderate</v>
      </c>
      <c r="O202" s="6" t="s">
        <v>1066</v>
      </c>
      <c r="P202" s="15">
        <v>4.0</v>
      </c>
      <c r="Q202" s="15">
        <v>4.0</v>
      </c>
      <c r="R202" s="15">
        <v>4.0</v>
      </c>
      <c r="S202" s="15">
        <v>5.0</v>
      </c>
      <c r="T202" s="15">
        <v>5.0</v>
      </c>
      <c r="U202" s="15">
        <v>3.0</v>
      </c>
      <c r="V202" s="11">
        <f>ROUND((P202*'Business Analysis'!$B$35+Q202*'Business Analysis'!$B$36+R202*'Business Analysis'!$B$37+S202*'Business Analysis'!$B$38+T202*'Business Analysis'!$B$39+U202*'Business Analysis'!$B$40)/5*100,0)</f>
        <v>84</v>
      </c>
      <c r="W202" s="11" t="str">
        <f t="shared" si="2"/>
        <v>High</v>
      </c>
      <c r="X202" s="12" t="s">
        <v>667</v>
      </c>
      <c r="Y202" s="11" t="s">
        <v>388</v>
      </c>
      <c r="Z202" s="6" t="s">
        <v>213</v>
      </c>
      <c r="AA202" s="11" t="s">
        <v>183</v>
      </c>
    </row>
    <row r="203" ht="15.75" customHeight="1">
      <c r="A203" s="30" t="s">
        <v>759</v>
      </c>
      <c r="B203" s="30" t="s">
        <v>50</v>
      </c>
      <c r="C203" s="8" t="s">
        <v>1065</v>
      </c>
      <c r="D203" s="8" t="s">
        <v>353</v>
      </c>
      <c r="E203" s="20" t="s">
        <v>29</v>
      </c>
      <c r="F203" s="20" t="s">
        <v>31</v>
      </c>
      <c r="G203" s="20" t="s">
        <v>191</v>
      </c>
      <c r="H203" s="31">
        <v>20.0</v>
      </c>
      <c r="I203" s="30" t="s">
        <v>107</v>
      </c>
      <c r="J203" s="32">
        <v>11.0</v>
      </c>
      <c r="K203" s="30" t="s">
        <v>112</v>
      </c>
      <c r="L203" s="33">
        <v>9.0</v>
      </c>
      <c r="M203" s="30" t="s">
        <v>118</v>
      </c>
      <c r="N203" s="20" t="str">
        <f t="shared" si="1"/>
        <v>Easy</v>
      </c>
      <c r="O203" s="8" t="s">
        <v>1066</v>
      </c>
      <c r="P203" s="32">
        <v>4.0</v>
      </c>
      <c r="Q203" s="32">
        <v>2.0</v>
      </c>
      <c r="R203" s="32">
        <v>5.0</v>
      </c>
      <c r="S203" s="32">
        <v>5.0</v>
      </c>
      <c r="T203" s="32">
        <v>5.0</v>
      </c>
      <c r="U203" s="32">
        <v>3.0</v>
      </c>
      <c r="V203" s="20">
        <f>ROUND((P203*'Business Analysis'!$B$35+Q203*'Business Analysis'!$B$36+R203*'Business Analysis'!$B$37+S203*'Business Analysis'!$B$38+T203*'Business Analysis'!$B$39+U203*'Business Analysis'!$B$40)/5*100,0)</f>
        <v>82</v>
      </c>
      <c r="W203" s="20" t="str">
        <f t="shared" si="2"/>
        <v>High</v>
      </c>
      <c r="X203" s="30" t="s">
        <v>667</v>
      </c>
      <c r="Y203" s="20" t="s">
        <v>388</v>
      </c>
      <c r="Z203" s="8" t="s">
        <v>213</v>
      </c>
      <c r="AA203" s="20" t="s">
        <v>183</v>
      </c>
    </row>
    <row r="204" ht="15.75" customHeight="1">
      <c r="A204" s="12" t="s">
        <v>670</v>
      </c>
      <c r="B204" s="12" t="s">
        <v>50</v>
      </c>
      <c r="C204" s="6" t="s">
        <v>1065</v>
      </c>
      <c r="D204" s="6" t="s">
        <v>353</v>
      </c>
      <c r="E204" s="11" t="s">
        <v>29</v>
      </c>
      <c r="F204" s="11" t="s">
        <v>31</v>
      </c>
      <c r="G204" s="11" t="s">
        <v>98</v>
      </c>
      <c r="H204" s="14">
        <v>70.0</v>
      </c>
      <c r="I204" s="12" t="s">
        <v>107</v>
      </c>
      <c r="J204" s="15">
        <v>18.0</v>
      </c>
      <c r="K204" s="12" t="s">
        <v>112</v>
      </c>
      <c r="L204" s="16">
        <v>7.1</v>
      </c>
      <c r="M204" s="12" t="s">
        <v>118</v>
      </c>
      <c r="N204" s="11" t="str">
        <f t="shared" si="1"/>
        <v>Easy</v>
      </c>
      <c r="O204" s="6" t="s">
        <v>1066</v>
      </c>
      <c r="P204" s="15">
        <v>4.0</v>
      </c>
      <c r="Q204" s="15">
        <v>3.0</v>
      </c>
      <c r="R204" s="15">
        <v>4.0</v>
      </c>
      <c r="S204" s="15">
        <v>5.0</v>
      </c>
      <c r="T204" s="15">
        <v>5.0</v>
      </c>
      <c r="U204" s="15">
        <v>3.0</v>
      </c>
      <c r="V204" s="11">
        <f>ROUND((P204*'Business Analysis'!$B$35+Q204*'Business Analysis'!$B$36+R204*'Business Analysis'!$B$37+S204*'Business Analysis'!$B$38+T204*'Business Analysis'!$B$39+U204*'Business Analysis'!$B$40)/5*100,0)</f>
        <v>81</v>
      </c>
      <c r="W204" s="11" t="str">
        <f t="shared" si="2"/>
        <v>High</v>
      </c>
      <c r="X204" s="12" t="s">
        <v>669</v>
      </c>
      <c r="Y204" s="11" t="s">
        <v>388</v>
      </c>
      <c r="Z204" s="6" t="s">
        <v>213</v>
      </c>
      <c r="AA204" s="11" t="s">
        <v>183</v>
      </c>
    </row>
    <row r="205" ht="15.75" customHeight="1">
      <c r="A205" s="30" t="s">
        <v>672</v>
      </c>
      <c r="B205" s="30" t="s">
        <v>50</v>
      </c>
      <c r="C205" s="8" t="s">
        <v>1065</v>
      </c>
      <c r="D205" s="8" t="s">
        <v>353</v>
      </c>
      <c r="E205" s="20" t="s">
        <v>29</v>
      </c>
      <c r="F205" s="20" t="s">
        <v>31</v>
      </c>
      <c r="G205" s="20" t="s">
        <v>98</v>
      </c>
      <c r="H205" s="31">
        <v>260.0</v>
      </c>
      <c r="I205" s="30" t="s">
        <v>107</v>
      </c>
      <c r="J205" s="32">
        <v>33.0</v>
      </c>
      <c r="K205" s="30" t="s">
        <v>112</v>
      </c>
      <c r="L205" s="33">
        <v>7.6</v>
      </c>
      <c r="M205" s="30" t="s">
        <v>118</v>
      </c>
      <c r="N205" s="20" t="str">
        <f t="shared" si="1"/>
        <v>Moderate</v>
      </c>
      <c r="O205" s="8" t="s">
        <v>1066</v>
      </c>
      <c r="P205" s="32">
        <v>4.0</v>
      </c>
      <c r="Q205" s="32">
        <v>5.0</v>
      </c>
      <c r="R205" s="32">
        <v>3.0</v>
      </c>
      <c r="S205" s="32">
        <v>5.0</v>
      </c>
      <c r="T205" s="32">
        <v>5.0</v>
      </c>
      <c r="U205" s="32">
        <v>3.0</v>
      </c>
      <c r="V205" s="20">
        <f>ROUND((P205*'Business Analysis'!$B$35+Q205*'Business Analysis'!$B$36+R205*'Business Analysis'!$B$37+S205*'Business Analysis'!$B$38+T205*'Business Analysis'!$B$39+U205*'Business Analysis'!$B$40)/5*100,0)</f>
        <v>83</v>
      </c>
      <c r="W205" s="20" t="str">
        <f t="shared" si="2"/>
        <v>High</v>
      </c>
      <c r="X205" s="30" t="s">
        <v>671</v>
      </c>
      <c r="Y205" s="20" t="s">
        <v>388</v>
      </c>
      <c r="Z205" s="8" t="s">
        <v>1067</v>
      </c>
      <c r="AA205" s="20" t="s">
        <v>183</v>
      </c>
    </row>
    <row r="206" ht="15.75" customHeight="1">
      <c r="A206" s="12" t="s">
        <v>771</v>
      </c>
      <c r="B206" s="12" t="s">
        <v>50</v>
      </c>
      <c r="C206" s="6" t="s">
        <v>1065</v>
      </c>
      <c r="D206" s="6" t="s">
        <v>353</v>
      </c>
      <c r="E206" s="11" t="s">
        <v>29</v>
      </c>
      <c r="F206" s="11" t="s">
        <v>31</v>
      </c>
      <c r="G206" s="11" t="s">
        <v>191</v>
      </c>
      <c r="H206" s="14">
        <v>30.0</v>
      </c>
      <c r="I206" s="12" t="s">
        <v>107</v>
      </c>
      <c r="J206" s="15">
        <v>14.0</v>
      </c>
      <c r="K206" s="12" t="s">
        <v>112</v>
      </c>
      <c r="L206" s="16">
        <v>9.2</v>
      </c>
      <c r="M206" s="12" t="s">
        <v>118</v>
      </c>
      <c r="N206" s="11" t="str">
        <f t="shared" si="1"/>
        <v>Easy</v>
      </c>
      <c r="O206" s="6" t="s">
        <v>1066</v>
      </c>
      <c r="P206" s="15">
        <v>4.0</v>
      </c>
      <c r="Q206" s="15">
        <v>2.0</v>
      </c>
      <c r="R206" s="15">
        <v>5.0</v>
      </c>
      <c r="S206" s="15">
        <v>5.0</v>
      </c>
      <c r="T206" s="15">
        <v>5.0</v>
      </c>
      <c r="U206" s="15">
        <v>3.0</v>
      </c>
      <c r="V206" s="11">
        <f>ROUND((P206*'Business Analysis'!$B$35+Q206*'Business Analysis'!$B$36+R206*'Business Analysis'!$B$37+S206*'Business Analysis'!$B$38+T206*'Business Analysis'!$B$39+U206*'Business Analysis'!$B$40)/5*100,0)</f>
        <v>82</v>
      </c>
      <c r="W206" s="11" t="str">
        <f t="shared" si="2"/>
        <v>High</v>
      </c>
      <c r="X206" s="12" t="s">
        <v>671</v>
      </c>
      <c r="Y206" s="11" t="s">
        <v>388</v>
      </c>
      <c r="Z206" s="6" t="s">
        <v>213</v>
      </c>
      <c r="AA206" s="11" t="s">
        <v>183</v>
      </c>
    </row>
    <row r="207" ht="15.75" customHeight="1">
      <c r="A207" s="30" t="s">
        <v>675</v>
      </c>
      <c r="B207" s="30" t="s">
        <v>50</v>
      </c>
      <c r="C207" s="8" t="s">
        <v>1065</v>
      </c>
      <c r="D207" s="8" t="s">
        <v>353</v>
      </c>
      <c r="E207" s="20" t="s">
        <v>29</v>
      </c>
      <c r="F207" s="20" t="s">
        <v>31</v>
      </c>
      <c r="G207" s="20" t="s">
        <v>98</v>
      </c>
      <c r="H207" s="31">
        <v>70.0</v>
      </c>
      <c r="I207" s="30" t="s">
        <v>107</v>
      </c>
      <c r="J207" s="32">
        <v>18.0</v>
      </c>
      <c r="K207" s="30" t="s">
        <v>112</v>
      </c>
      <c r="L207" s="33">
        <v>7.0</v>
      </c>
      <c r="M207" s="30" t="s">
        <v>118</v>
      </c>
      <c r="N207" s="20" t="str">
        <f t="shared" si="1"/>
        <v>Easy</v>
      </c>
      <c r="O207" s="8" t="s">
        <v>1066</v>
      </c>
      <c r="P207" s="32">
        <v>4.0</v>
      </c>
      <c r="Q207" s="32">
        <v>3.0</v>
      </c>
      <c r="R207" s="32">
        <v>4.0</v>
      </c>
      <c r="S207" s="32">
        <v>5.0</v>
      </c>
      <c r="T207" s="32">
        <v>5.0</v>
      </c>
      <c r="U207" s="32">
        <v>3.0</v>
      </c>
      <c r="V207" s="20">
        <f>ROUND((P207*'Business Analysis'!$B$35+Q207*'Business Analysis'!$B$36+R207*'Business Analysis'!$B$37+S207*'Business Analysis'!$B$38+T207*'Business Analysis'!$B$39+U207*'Business Analysis'!$B$40)/5*100,0)</f>
        <v>81</v>
      </c>
      <c r="W207" s="20" t="str">
        <f t="shared" si="2"/>
        <v>High</v>
      </c>
      <c r="X207" s="30" t="s">
        <v>674</v>
      </c>
      <c r="Y207" s="20" t="s">
        <v>388</v>
      </c>
      <c r="Z207" s="8" t="s">
        <v>213</v>
      </c>
      <c r="AA207" s="20" t="s">
        <v>183</v>
      </c>
    </row>
    <row r="208" ht="15.75" customHeight="1">
      <c r="A208" s="12" t="s">
        <v>677</v>
      </c>
      <c r="B208" s="12" t="s">
        <v>50</v>
      </c>
      <c r="C208" s="6" t="s">
        <v>1065</v>
      </c>
      <c r="D208" s="6" t="s">
        <v>353</v>
      </c>
      <c r="E208" s="11" t="s">
        <v>29</v>
      </c>
      <c r="F208" s="11" t="s">
        <v>31</v>
      </c>
      <c r="G208" s="11" t="s">
        <v>98</v>
      </c>
      <c r="H208" s="14">
        <v>30.0</v>
      </c>
      <c r="I208" s="12" t="s">
        <v>107</v>
      </c>
      <c r="J208" s="15">
        <v>13.0</v>
      </c>
      <c r="K208" s="12" t="s">
        <v>112</v>
      </c>
      <c r="L208" s="16">
        <v>6.9</v>
      </c>
      <c r="M208" s="12" t="s">
        <v>118</v>
      </c>
      <c r="N208" s="11" t="str">
        <f t="shared" si="1"/>
        <v>Easy</v>
      </c>
      <c r="O208" s="6" t="s">
        <v>1066</v>
      </c>
      <c r="P208" s="15">
        <v>4.0</v>
      </c>
      <c r="Q208" s="15">
        <v>2.0</v>
      </c>
      <c r="R208" s="15">
        <v>5.0</v>
      </c>
      <c r="S208" s="15">
        <v>5.0</v>
      </c>
      <c r="T208" s="15">
        <v>5.0</v>
      </c>
      <c r="U208" s="15">
        <v>3.0</v>
      </c>
      <c r="V208" s="11">
        <f>ROUND((P208*'Business Analysis'!$B$35+Q208*'Business Analysis'!$B$36+R208*'Business Analysis'!$B$37+S208*'Business Analysis'!$B$38+T208*'Business Analysis'!$B$39+U208*'Business Analysis'!$B$40)/5*100,0)</f>
        <v>82</v>
      </c>
      <c r="W208" s="11" t="str">
        <f t="shared" si="2"/>
        <v>High</v>
      </c>
      <c r="X208" s="12" t="s">
        <v>676</v>
      </c>
      <c r="Y208" s="11" t="s">
        <v>388</v>
      </c>
      <c r="Z208" s="6" t="s">
        <v>213</v>
      </c>
      <c r="AA208" s="11" t="s">
        <v>183</v>
      </c>
    </row>
    <row r="209" ht="15.75" customHeight="1">
      <c r="A209" s="30" t="s">
        <v>361</v>
      </c>
      <c r="B209" s="30" t="s">
        <v>1068</v>
      </c>
      <c r="C209" s="8" t="s">
        <v>1069</v>
      </c>
      <c r="D209" s="8" t="s">
        <v>360</v>
      </c>
      <c r="E209" s="20" t="s">
        <v>365</v>
      </c>
      <c r="F209" s="20" t="s">
        <v>31</v>
      </c>
      <c r="G209" s="20" t="s">
        <v>191</v>
      </c>
      <c r="H209" s="31">
        <v>110.0</v>
      </c>
      <c r="I209" s="30" t="s">
        <v>107</v>
      </c>
      <c r="J209" s="32">
        <v>6.0</v>
      </c>
      <c r="K209" s="30" t="s">
        <v>112</v>
      </c>
      <c r="L209" s="33">
        <v>3.2</v>
      </c>
      <c r="M209" s="30" t="s">
        <v>118</v>
      </c>
      <c r="N209" s="20" t="str">
        <f t="shared" si="1"/>
        <v>Easy</v>
      </c>
      <c r="O209" s="8" t="s">
        <v>1070</v>
      </c>
      <c r="P209" s="32">
        <v>5.0</v>
      </c>
      <c r="Q209" s="32">
        <v>3.0</v>
      </c>
      <c r="R209" s="32">
        <v>5.0</v>
      </c>
      <c r="S209" s="32">
        <v>4.0</v>
      </c>
      <c r="T209" s="32">
        <v>4.0</v>
      </c>
      <c r="U209" s="32">
        <v>3.0</v>
      </c>
      <c r="V209" s="20">
        <f>ROUND((P209*'Business Analysis'!$B$35+Q209*'Business Analysis'!$B$36+R209*'Business Analysis'!$B$37+S209*'Business Analysis'!$B$38+T209*'Business Analysis'!$B$39+U209*'Business Analysis'!$B$40)/5*100,0)</f>
        <v>84</v>
      </c>
      <c r="W209" s="20" t="str">
        <f t="shared" si="2"/>
        <v>High</v>
      </c>
      <c r="X209" s="30" t="s">
        <v>180</v>
      </c>
      <c r="Y209" s="20" t="s">
        <v>181</v>
      </c>
      <c r="Z209" s="8" t="s">
        <v>1071</v>
      </c>
      <c r="AA209" s="20" t="s">
        <v>183</v>
      </c>
    </row>
    <row r="210" ht="15.75" customHeight="1">
      <c r="A210" s="12" t="s">
        <v>1072</v>
      </c>
      <c r="B210" s="12" t="s">
        <v>1068</v>
      </c>
      <c r="C210" s="6" t="s">
        <v>1069</v>
      </c>
      <c r="D210" s="6" t="s">
        <v>360</v>
      </c>
      <c r="E210" s="11" t="s">
        <v>365</v>
      </c>
      <c r="F210" s="11" t="s">
        <v>31</v>
      </c>
      <c r="G210" s="11" t="s">
        <v>191</v>
      </c>
      <c r="H210" s="14">
        <v>90.0</v>
      </c>
      <c r="I210" s="12" t="s">
        <v>107</v>
      </c>
      <c r="J210" s="15">
        <v>5.0</v>
      </c>
      <c r="K210" s="12" t="s">
        <v>112</v>
      </c>
      <c r="L210" s="16">
        <v>3.0</v>
      </c>
      <c r="M210" s="12" t="s">
        <v>118</v>
      </c>
      <c r="N210" s="11" t="str">
        <f t="shared" si="1"/>
        <v>Easy</v>
      </c>
      <c r="O210" s="6" t="s">
        <v>1070</v>
      </c>
      <c r="P210" s="15">
        <v>5.0</v>
      </c>
      <c r="Q210" s="15">
        <v>3.0</v>
      </c>
      <c r="R210" s="15">
        <v>5.0</v>
      </c>
      <c r="S210" s="15">
        <v>4.0</v>
      </c>
      <c r="T210" s="15">
        <v>4.0</v>
      </c>
      <c r="U210" s="15">
        <v>3.0</v>
      </c>
      <c r="V210" s="11">
        <f>ROUND((P210*'Business Analysis'!$B$35+Q210*'Business Analysis'!$B$36+R210*'Business Analysis'!$B$37+S210*'Business Analysis'!$B$38+T210*'Business Analysis'!$B$39+U210*'Business Analysis'!$B$40)/5*100,0)</f>
        <v>84</v>
      </c>
      <c r="W210" s="11" t="str">
        <f t="shared" si="2"/>
        <v>High</v>
      </c>
      <c r="X210" s="12" t="s">
        <v>180</v>
      </c>
      <c r="Y210" s="11" t="s">
        <v>181</v>
      </c>
      <c r="Z210" s="6" t="s">
        <v>1073</v>
      </c>
      <c r="AA210" s="11" t="s">
        <v>183</v>
      </c>
    </row>
    <row r="211" ht="15.75" customHeight="1">
      <c r="A211" s="30" t="s">
        <v>1074</v>
      </c>
      <c r="B211" s="30" t="s">
        <v>1068</v>
      </c>
      <c r="C211" s="8" t="s">
        <v>1069</v>
      </c>
      <c r="D211" s="8" t="s">
        <v>360</v>
      </c>
      <c r="E211" s="20" t="s">
        <v>365</v>
      </c>
      <c r="F211" s="20" t="s">
        <v>31</v>
      </c>
      <c r="G211" s="20" t="s">
        <v>191</v>
      </c>
      <c r="H211" s="31">
        <v>50.0</v>
      </c>
      <c r="I211" s="30" t="s">
        <v>107</v>
      </c>
      <c r="J211" s="32">
        <v>5.0</v>
      </c>
      <c r="K211" s="30" t="s">
        <v>112</v>
      </c>
      <c r="L211" s="33">
        <v>2.8</v>
      </c>
      <c r="M211" s="30" t="s">
        <v>118</v>
      </c>
      <c r="N211" s="20" t="str">
        <f t="shared" si="1"/>
        <v>Easy</v>
      </c>
      <c r="O211" s="8" t="s">
        <v>1070</v>
      </c>
      <c r="P211" s="32">
        <v>5.0</v>
      </c>
      <c r="Q211" s="32">
        <v>3.0</v>
      </c>
      <c r="R211" s="32">
        <v>5.0</v>
      </c>
      <c r="S211" s="32">
        <v>4.0</v>
      </c>
      <c r="T211" s="32">
        <v>4.0</v>
      </c>
      <c r="U211" s="32">
        <v>3.0</v>
      </c>
      <c r="V211" s="20">
        <f>ROUND((P211*'Business Analysis'!$B$35+Q211*'Business Analysis'!$B$36+R211*'Business Analysis'!$B$37+S211*'Business Analysis'!$B$38+T211*'Business Analysis'!$B$39+U211*'Business Analysis'!$B$40)/5*100,0)</f>
        <v>84</v>
      </c>
      <c r="W211" s="20" t="str">
        <f t="shared" si="2"/>
        <v>High</v>
      </c>
      <c r="X211" s="30" t="s">
        <v>180</v>
      </c>
      <c r="Y211" s="20" t="s">
        <v>181</v>
      </c>
      <c r="Z211" s="8" t="s">
        <v>1073</v>
      </c>
      <c r="AA211" s="20" t="s">
        <v>183</v>
      </c>
    </row>
    <row r="212" ht="15.75" customHeight="1">
      <c r="A212" s="12" t="s">
        <v>639</v>
      </c>
      <c r="B212" s="12" t="s">
        <v>1068</v>
      </c>
      <c r="C212" s="6" t="s">
        <v>1069</v>
      </c>
      <c r="D212" s="6" t="s">
        <v>360</v>
      </c>
      <c r="E212" s="11" t="s">
        <v>365</v>
      </c>
      <c r="F212" s="11" t="s">
        <v>131</v>
      </c>
      <c r="G212" s="11" t="s">
        <v>98</v>
      </c>
      <c r="H212" s="14">
        <v>30.0</v>
      </c>
      <c r="I212" s="12" t="s">
        <v>107</v>
      </c>
      <c r="J212" s="15">
        <v>5.0</v>
      </c>
      <c r="K212" s="12" t="s">
        <v>112</v>
      </c>
      <c r="L212" s="16">
        <v>2.6</v>
      </c>
      <c r="M212" s="12" t="s">
        <v>118</v>
      </c>
      <c r="N212" s="11" t="str">
        <f t="shared" si="1"/>
        <v>Easy</v>
      </c>
      <c r="O212" s="6" t="s">
        <v>1070</v>
      </c>
      <c r="P212" s="15">
        <v>5.0</v>
      </c>
      <c r="Q212" s="15">
        <v>2.0</v>
      </c>
      <c r="R212" s="15">
        <v>5.0</v>
      </c>
      <c r="S212" s="15">
        <v>4.0</v>
      </c>
      <c r="T212" s="15">
        <v>4.0</v>
      </c>
      <c r="U212" s="15">
        <v>3.0</v>
      </c>
      <c r="V212" s="11">
        <f>ROUND((P212*'Business Analysis'!$B$35+Q212*'Business Analysis'!$B$36+R212*'Business Analysis'!$B$37+S212*'Business Analysis'!$B$38+T212*'Business Analysis'!$B$39+U212*'Business Analysis'!$B$40)/5*100,0)</f>
        <v>81</v>
      </c>
      <c r="W212" s="11" t="str">
        <f t="shared" si="2"/>
        <v>High</v>
      </c>
      <c r="X212" s="12" t="s">
        <v>638</v>
      </c>
      <c r="Y212" s="11" t="s">
        <v>388</v>
      </c>
      <c r="Z212" s="6" t="s">
        <v>1073</v>
      </c>
      <c r="AA212" s="11" t="s">
        <v>183</v>
      </c>
    </row>
    <row r="213" ht="15.75" customHeight="1">
      <c r="A213" s="30" t="s">
        <v>427</v>
      </c>
      <c r="B213" s="30" t="s">
        <v>1068</v>
      </c>
      <c r="C213" s="8" t="s">
        <v>1069</v>
      </c>
      <c r="D213" s="8" t="s">
        <v>360</v>
      </c>
      <c r="E213" s="20" t="s">
        <v>365</v>
      </c>
      <c r="F213" s="20" t="s">
        <v>31</v>
      </c>
      <c r="G213" s="20" t="s">
        <v>98</v>
      </c>
      <c r="H213" s="31">
        <v>20.0</v>
      </c>
      <c r="I213" s="30" t="s">
        <v>107</v>
      </c>
      <c r="J213" s="32">
        <v>3.0</v>
      </c>
      <c r="K213" s="30" t="s">
        <v>112</v>
      </c>
      <c r="L213" s="33">
        <v>2.1</v>
      </c>
      <c r="M213" s="30" t="s">
        <v>118</v>
      </c>
      <c r="N213" s="20" t="str">
        <f t="shared" si="1"/>
        <v>Easy</v>
      </c>
      <c r="O213" s="8" t="s">
        <v>1070</v>
      </c>
      <c r="P213" s="32">
        <v>5.0</v>
      </c>
      <c r="Q213" s="32">
        <v>2.0</v>
      </c>
      <c r="R213" s="32">
        <v>5.0</v>
      </c>
      <c r="S213" s="32">
        <v>4.0</v>
      </c>
      <c r="T213" s="32">
        <v>4.0</v>
      </c>
      <c r="U213" s="32">
        <v>3.0</v>
      </c>
      <c r="V213" s="20">
        <f>ROUND((P213*'Business Analysis'!$B$35+Q213*'Business Analysis'!$B$36+R213*'Business Analysis'!$B$37+S213*'Business Analysis'!$B$38+T213*'Business Analysis'!$B$39+U213*'Business Analysis'!$B$40)/5*100,0)</f>
        <v>81</v>
      </c>
      <c r="W213" s="20" t="str">
        <f t="shared" si="2"/>
        <v>High</v>
      </c>
      <c r="X213" s="30" t="s">
        <v>408</v>
      </c>
      <c r="Y213" s="20" t="s">
        <v>181</v>
      </c>
      <c r="Z213" s="8" t="s">
        <v>1073</v>
      </c>
      <c r="AA213" s="20" t="s">
        <v>183</v>
      </c>
    </row>
    <row r="214" ht="15.75" customHeight="1">
      <c r="A214" s="12" t="s">
        <v>1075</v>
      </c>
      <c r="B214" s="12" t="s">
        <v>1068</v>
      </c>
      <c r="C214" s="6" t="s">
        <v>1069</v>
      </c>
      <c r="D214" s="6" t="s">
        <v>360</v>
      </c>
      <c r="E214" s="11" t="s">
        <v>365</v>
      </c>
      <c r="F214" s="11" t="s">
        <v>31</v>
      </c>
      <c r="G214" s="11" t="s">
        <v>191</v>
      </c>
      <c r="H214" s="14">
        <v>20.0</v>
      </c>
      <c r="I214" s="12" t="s">
        <v>107</v>
      </c>
      <c r="J214" s="15">
        <v>3.0</v>
      </c>
      <c r="K214" s="12" t="s">
        <v>112</v>
      </c>
      <c r="L214" s="16">
        <v>2.0</v>
      </c>
      <c r="M214" s="12" t="s">
        <v>118</v>
      </c>
      <c r="N214" s="11" t="str">
        <f t="shared" si="1"/>
        <v>Easy</v>
      </c>
      <c r="O214" s="6" t="s">
        <v>1070</v>
      </c>
      <c r="P214" s="15">
        <v>5.0</v>
      </c>
      <c r="Q214" s="15">
        <v>2.0</v>
      </c>
      <c r="R214" s="15">
        <v>5.0</v>
      </c>
      <c r="S214" s="15">
        <v>4.0</v>
      </c>
      <c r="T214" s="15">
        <v>4.0</v>
      </c>
      <c r="U214" s="15">
        <v>3.0</v>
      </c>
      <c r="V214" s="11">
        <f>ROUND((P214*'Business Analysis'!$B$35+Q214*'Business Analysis'!$B$36+R214*'Business Analysis'!$B$37+S214*'Business Analysis'!$B$38+T214*'Business Analysis'!$B$39+U214*'Business Analysis'!$B$40)/5*100,0)</f>
        <v>81</v>
      </c>
      <c r="W214" s="11" t="str">
        <f t="shared" si="2"/>
        <v>High</v>
      </c>
      <c r="X214" s="12" t="s">
        <v>408</v>
      </c>
      <c r="Y214" s="11" t="s">
        <v>181</v>
      </c>
      <c r="Z214" s="6" t="s">
        <v>1073</v>
      </c>
      <c r="AA214" s="11" t="s">
        <v>183</v>
      </c>
    </row>
    <row r="215" ht="15.75" customHeight="1">
      <c r="A215" s="30" t="s">
        <v>663</v>
      </c>
      <c r="B215" s="30" t="s">
        <v>1068</v>
      </c>
      <c r="C215" s="8" t="s">
        <v>1069</v>
      </c>
      <c r="D215" s="8" t="s">
        <v>360</v>
      </c>
      <c r="E215" s="20" t="s">
        <v>365</v>
      </c>
      <c r="F215" s="20" t="s">
        <v>31</v>
      </c>
      <c r="G215" s="20" t="s">
        <v>191</v>
      </c>
      <c r="H215" s="31">
        <v>20.0</v>
      </c>
      <c r="I215" s="30" t="s">
        <v>107</v>
      </c>
      <c r="J215" s="32">
        <v>4.0</v>
      </c>
      <c r="K215" s="30" t="s">
        <v>112</v>
      </c>
      <c r="L215" s="33">
        <v>3.1</v>
      </c>
      <c r="M215" s="30" t="s">
        <v>118</v>
      </c>
      <c r="N215" s="20" t="str">
        <f t="shared" si="1"/>
        <v>Easy</v>
      </c>
      <c r="O215" s="8" t="s">
        <v>1070</v>
      </c>
      <c r="P215" s="32">
        <v>5.0</v>
      </c>
      <c r="Q215" s="32">
        <v>2.0</v>
      </c>
      <c r="R215" s="32">
        <v>5.0</v>
      </c>
      <c r="S215" s="32">
        <v>4.0</v>
      </c>
      <c r="T215" s="32">
        <v>4.0</v>
      </c>
      <c r="U215" s="32">
        <v>3.0</v>
      </c>
      <c r="V215" s="20">
        <f>ROUND((P215*'Business Analysis'!$B$35+Q215*'Business Analysis'!$B$36+R215*'Business Analysis'!$B$37+S215*'Business Analysis'!$B$38+T215*'Business Analysis'!$B$39+U215*'Business Analysis'!$B$40)/5*100,0)</f>
        <v>81</v>
      </c>
      <c r="W215" s="20" t="str">
        <f t="shared" si="2"/>
        <v>High</v>
      </c>
      <c r="X215" s="30" t="s">
        <v>459</v>
      </c>
      <c r="Y215" s="20" t="s">
        <v>388</v>
      </c>
      <c r="Z215" s="8" t="s">
        <v>1073</v>
      </c>
      <c r="AA215" s="20" t="s">
        <v>183</v>
      </c>
    </row>
    <row r="216" ht="15.75" customHeight="1">
      <c r="A216" s="12" t="s">
        <v>680</v>
      </c>
      <c r="B216" s="12" t="s">
        <v>1068</v>
      </c>
      <c r="C216" s="6" t="s">
        <v>1069</v>
      </c>
      <c r="D216" s="6" t="s">
        <v>360</v>
      </c>
      <c r="E216" s="11" t="s">
        <v>365</v>
      </c>
      <c r="F216" s="11" t="s">
        <v>131</v>
      </c>
      <c r="G216" s="11" t="s">
        <v>98</v>
      </c>
      <c r="H216" s="14">
        <v>20.0</v>
      </c>
      <c r="I216" s="12" t="s">
        <v>107</v>
      </c>
      <c r="J216" s="15">
        <v>4.0</v>
      </c>
      <c r="K216" s="12" t="s">
        <v>112</v>
      </c>
      <c r="L216" s="16">
        <v>3.4</v>
      </c>
      <c r="M216" s="12" t="s">
        <v>118</v>
      </c>
      <c r="N216" s="11" t="str">
        <f t="shared" si="1"/>
        <v>Easy</v>
      </c>
      <c r="O216" s="6" t="s">
        <v>1070</v>
      </c>
      <c r="P216" s="15">
        <v>5.0</v>
      </c>
      <c r="Q216" s="15">
        <v>2.0</v>
      </c>
      <c r="R216" s="15">
        <v>5.0</v>
      </c>
      <c r="S216" s="15">
        <v>4.0</v>
      </c>
      <c r="T216" s="15">
        <v>4.0</v>
      </c>
      <c r="U216" s="15">
        <v>3.0</v>
      </c>
      <c r="V216" s="11">
        <f>ROUND((P216*'Business Analysis'!$B$35+Q216*'Business Analysis'!$B$36+R216*'Business Analysis'!$B$37+S216*'Business Analysis'!$B$38+T216*'Business Analysis'!$B$39+U216*'Business Analysis'!$B$40)/5*100,0)</f>
        <v>81</v>
      </c>
      <c r="W216" s="11" t="str">
        <f t="shared" si="2"/>
        <v>High</v>
      </c>
      <c r="X216" s="12" t="s">
        <v>678</v>
      </c>
      <c r="Y216" s="11" t="s">
        <v>388</v>
      </c>
      <c r="Z216" s="6" t="s">
        <v>1076</v>
      </c>
      <c r="AA216" s="11" t="s">
        <v>183</v>
      </c>
    </row>
    <row r="217" ht="15.75" customHeight="1">
      <c r="A217" s="30" t="s">
        <v>1077</v>
      </c>
      <c r="B217" s="30" t="s">
        <v>1068</v>
      </c>
      <c r="C217" s="8" t="s">
        <v>1069</v>
      </c>
      <c r="D217" s="8" t="s">
        <v>360</v>
      </c>
      <c r="E217" s="20" t="s">
        <v>365</v>
      </c>
      <c r="F217" s="20" t="s">
        <v>31</v>
      </c>
      <c r="G217" s="20" t="s">
        <v>191</v>
      </c>
      <c r="H217" s="31">
        <v>10.0</v>
      </c>
      <c r="I217" s="30" t="s">
        <v>107</v>
      </c>
      <c r="J217" s="32">
        <v>2.0</v>
      </c>
      <c r="K217" s="30" t="s">
        <v>112</v>
      </c>
      <c r="L217" s="33">
        <v>2.5</v>
      </c>
      <c r="M217" s="30" t="s">
        <v>118</v>
      </c>
      <c r="N217" s="20" t="str">
        <f t="shared" si="1"/>
        <v>Easy</v>
      </c>
      <c r="O217" s="8" t="s">
        <v>1070</v>
      </c>
      <c r="P217" s="32">
        <v>5.0</v>
      </c>
      <c r="Q217" s="32">
        <v>1.0</v>
      </c>
      <c r="R217" s="32">
        <v>5.0</v>
      </c>
      <c r="S217" s="32">
        <v>4.0</v>
      </c>
      <c r="T217" s="32">
        <v>4.0</v>
      </c>
      <c r="U217" s="32">
        <v>3.0</v>
      </c>
      <c r="V217" s="20">
        <f>ROUND((P217*'Business Analysis'!$B$35+Q217*'Business Analysis'!$B$36+R217*'Business Analysis'!$B$37+S217*'Business Analysis'!$B$38+T217*'Business Analysis'!$B$39+U217*'Business Analysis'!$B$40)/5*100,0)</f>
        <v>78</v>
      </c>
      <c r="W217" s="20" t="str">
        <f t="shared" si="2"/>
        <v>High</v>
      </c>
      <c r="X217" s="30" t="s">
        <v>408</v>
      </c>
      <c r="Y217" s="20" t="s">
        <v>181</v>
      </c>
      <c r="Z217" s="8" t="s">
        <v>1073</v>
      </c>
      <c r="AA217" s="20" t="s">
        <v>183</v>
      </c>
    </row>
    <row r="218" ht="15.75" customHeight="1">
      <c r="A218" s="12" t="s">
        <v>641</v>
      </c>
      <c r="B218" s="12" t="s">
        <v>618</v>
      </c>
      <c r="C218" s="6" t="s">
        <v>1069</v>
      </c>
      <c r="D218" s="6" t="s">
        <v>360</v>
      </c>
      <c r="E218" s="11" t="s">
        <v>130</v>
      </c>
      <c r="F218" s="11" t="s">
        <v>131</v>
      </c>
      <c r="G218" s="11" t="s">
        <v>98</v>
      </c>
      <c r="H218" s="14">
        <v>30.0</v>
      </c>
      <c r="I218" s="12" t="s">
        <v>107</v>
      </c>
      <c r="J218" s="15">
        <v>12.0</v>
      </c>
      <c r="K218" s="12" t="s">
        <v>112</v>
      </c>
      <c r="L218" s="16">
        <v>6.2</v>
      </c>
      <c r="M218" s="12" t="s">
        <v>118</v>
      </c>
      <c r="N218" s="11" t="str">
        <f t="shared" si="1"/>
        <v>Easy</v>
      </c>
      <c r="O218" s="6" t="s">
        <v>420</v>
      </c>
      <c r="P218" s="15">
        <v>3.0</v>
      </c>
      <c r="Q218" s="15">
        <v>1.0</v>
      </c>
      <c r="R218" s="15">
        <v>5.0</v>
      </c>
      <c r="S218" s="15">
        <v>3.0</v>
      </c>
      <c r="T218" s="15">
        <v>2.0</v>
      </c>
      <c r="U218" s="15">
        <v>3.0</v>
      </c>
      <c r="V218" s="11">
        <f>ROUND((P218*'Business Analysis'!$B$35+Q218*'Business Analysis'!$B$36+R218*'Business Analysis'!$B$37+S218*'Business Analysis'!$B$38+T218*'Business Analysis'!$B$39+U218*'Business Analysis'!$B$40)/5*100,0)</f>
        <v>59</v>
      </c>
      <c r="W218" s="11" t="str">
        <f t="shared" si="2"/>
        <v>Low</v>
      </c>
      <c r="X218" s="12" t="s">
        <v>640</v>
      </c>
      <c r="Y218" s="11" t="s">
        <v>388</v>
      </c>
      <c r="Z218" s="6" t="s">
        <v>507</v>
      </c>
      <c r="AA218" s="11" t="s">
        <v>430</v>
      </c>
    </row>
    <row r="219" ht="15.75" customHeight="1">
      <c r="A219" s="30" t="s">
        <v>373</v>
      </c>
      <c r="B219" s="30" t="s">
        <v>1078</v>
      </c>
      <c r="C219" s="8" t="s">
        <v>1079</v>
      </c>
      <c r="D219" s="8" t="s">
        <v>372</v>
      </c>
      <c r="E219" s="20" t="s">
        <v>365</v>
      </c>
      <c r="F219" s="20" t="s">
        <v>31</v>
      </c>
      <c r="G219" s="20" t="s">
        <v>191</v>
      </c>
      <c r="H219" s="31">
        <v>1300.0</v>
      </c>
      <c r="I219" s="30" t="s">
        <v>107</v>
      </c>
      <c r="J219" s="32">
        <v>38.0</v>
      </c>
      <c r="K219" s="30" t="s">
        <v>112</v>
      </c>
      <c r="L219" s="33">
        <v>6.1</v>
      </c>
      <c r="M219" s="30" t="s">
        <v>118</v>
      </c>
      <c r="N219" s="20" t="str">
        <f t="shared" si="1"/>
        <v>Moderate</v>
      </c>
      <c r="O219" s="8" t="s">
        <v>1080</v>
      </c>
      <c r="P219" s="32">
        <v>1.0</v>
      </c>
      <c r="Q219" s="32">
        <v>5.0</v>
      </c>
      <c r="R219" s="32">
        <v>2.0</v>
      </c>
      <c r="S219" s="32">
        <v>2.0</v>
      </c>
      <c r="T219" s="32">
        <v>1.0</v>
      </c>
      <c r="U219" s="32">
        <v>1.0</v>
      </c>
      <c r="V219" s="20">
        <f>ROUND((P219*'Business Analysis'!$B$35+Q219*'Business Analysis'!$B$36+R219*'Business Analysis'!$B$37+S219*'Business Analysis'!$B$38+T219*'Business Analysis'!$B$39+U219*'Business Analysis'!$B$40)/5*100,0)</f>
        <v>39</v>
      </c>
      <c r="W219" s="20" t="str">
        <f t="shared" si="2"/>
        <v>Optional</v>
      </c>
      <c r="X219" s="30"/>
      <c r="Y219" s="20" t="s">
        <v>1081</v>
      </c>
      <c r="Z219" s="8" t="s">
        <v>1082</v>
      </c>
      <c r="AA219" s="20" t="s">
        <v>183</v>
      </c>
    </row>
    <row r="220" ht="15.75" customHeight="1">
      <c r="A220" s="12" t="s">
        <v>1083</v>
      </c>
      <c r="B220" s="12" t="s">
        <v>1078</v>
      </c>
      <c r="C220" s="6" t="s">
        <v>1079</v>
      </c>
      <c r="D220" s="6" t="s">
        <v>372</v>
      </c>
      <c r="E220" s="11" t="s">
        <v>365</v>
      </c>
      <c r="F220" s="11" t="s">
        <v>31</v>
      </c>
      <c r="G220" s="11" t="s">
        <v>191</v>
      </c>
      <c r="H220" s="14">
        <v>170.0</v>
      </c>
      <c r="I220" s="12" t="s">
        <v>107</v>
      </c>
      <c r="J220" s="15">
        <v>15.0</v>
      </c>
      <c r="K220" s="12" t="s">
        <v>112</v>
      </c>
      <c r="L220" s="16">
        <v>4.2</v>
      </c>
      <c r="M220" s="12" t="s">
        <v>118</v>
      </c>
      <c r="N220" s="11" t="str">
        <f t="shared" si="1"/>
        <v>Easy</v>
      </c>
      <c r="O220" s="6" t="s">
        <v>1080</v>
      </c>
      <c r="P220" s="15">
        <v>1.0</v>
      </c>
      <c r="Q220" s="15">
        <v>4.0</v>
      </c>
      <c r="R220" s="15">
        <v>5.0</v>
      </c>
      <c r="S220" s="15">
        <v>2.0</v>
      </c>
      <c r="T220" s="15">
        <v>1.0</v>
      </c>
      <c r="U220" s="15">
        <v>1.0</v>
      </c>
      <c r="V220" s="11">
        <f>ROUND((P220*'Business Analysis'!$B$35+Q220*'Business Analysis'!$B$36+R220*'Business Analysis'!$B$37+S220*'Business Analysis'!$B$38+T220*'Business Analysis'!$B$39+U220*'Business Analysis'!$B$40)/5*100,0)</f>
        <v>48</v>
      </c>
      <c r="W220" s="11" t="str">
        <f t="shared" si="2"/>
        <v>Low</v>
      </c>
      <c r="X220" s="12"/>
      <c r="Y220" s="11" t="s">
        <v>1081</v>
      </c>
      <c r="Z220" s="6" t="s">
        <v>1082</v>
      </c>
      <c r="AA220" s="11" t="s">
        <v>183</v>
      </c>
    </row>
    <row r="221" ht="15.75" customHeight="1">
      <c r="A221" s="30" t="s">
        <v>1084</v>
      </c>
      <c r="B221" s="30" t="s">
        <v>1078</v>
      </c>
      <c r="C221" s="8" t="s">
        <v>1079</v>
      </c>
      <c r="D221" s="8" t="s">
        <v>372</v>
      </c>
      <c r="E221" s="20" t="s">
        <v>365</v>
      </c>
      <c r="F221" s="20" t="s">
        <v>31</v>
      </c>
      <c r="G221" s="20" t="s">
        <v>191</v>
      </c>
      <c r="H221" s="31">
        <v>110.0</v>
      </c>
      <c r="I221" s="30" t="s">
        <v>107</v>
      </c>
      <c r="J221" s="32">
        <v>14.0</v>
      </c>
      <c r="K221" s="30" t="s">
        <v>112</v>
      </c>
      <c r="L221" s="33">
        <v>4.0</v>
      </c>
      <c r="M221" s="30" t="s">
        <v>118</v>
      </c>
      <c r="N221" s="20" t="str">
        <f t="shared" si="1"/>
        <v>Easy</v>
      </c>
      <c r="O221" s="8" t="s">
        <v>1080</v>
      </c>
      <c r="P221" s="32">
        <v>1.0</v>
      </c>
      <c r="Q221" s="32">
        <v>3.0</v>
      </c>
      <c r="R221" s="32">
        <v>5.0</v>
      </c>
      <c r="S221" s="32">
        <v>2.0</v>
      </c>
      <c r="T221" s="32">
        <v>1.0</v>
      </c>
      <c r="U221" s="32">
        <v>1.0</v>
      </c>
      <c r="V221" s="20">
        <f>ROUND((P221*'Business Analysis'!$B$35+Q221*'Business Analysis'!$B$36+R221*'Business Analysis'!$B$37+S221*'Business Analysis'!$B$38+T221*'Business Analysis'!$B$39+U221*'Business Analysis'!$B$40)/5*100,0)</f>
        <v>45</v>
      </c>
      <c r="W221" s="20" t="str">
        <f t="shared" si="2"/>
        <v>Low</v>
      </c>
      <c r="X221" s="30"/>
      <c r="Y221" s="20" t="s">
        <v>1081</v>
      </c>
      <c r="Z221" s="8" t="s">
        <v>1082</v>
      </c>
      <c r="AA221" s="20" t="s">
        <v>183</v>
      </c>
    </row>
    <row r="222" ht="15.75" customHeight="1">
      <c r="A222" s="12" t="s">
        <v>1085</v>
      </c>
      <c r="B222" s="12" t="s">
        <v>1078</v>
      </c>
      <c r="C222" s="6" t="s">
        <v>1079</v>
      </c>
      <c r="D222" s="6" t="s">
        <v>372</v>
      </c>
      <c r="E222" s="11" t="s">
        <v>365</v>
      </c>
      <c r="F222" s="11" t="s">
        <v>31</v>
      </c>
      <c r="G222" s="11" t="s">
        <v>191</v>
      </c>
      <c r="H222" s="14">
        <v>60.0</v>
      </c>
      <c r="I222" s="12" t="s">
        <v>107</v>
      </c>
      <c r="J222" s="15">
        <v>10.0</v>
      </c>
      <c r="K222" s="12" t="s">
        <v>112</v>
      </c>
      <c r="L222" s="16">
        <v>3.8</v>
      </c>
      <c r="M222" s="12" t="s">
        <v>118</v>
      </c>
      <c r="N222" s="11" t="str">
        <f t="shared" si="1"/>
        <v>Easy</v>
      </c>
      <c r="O222" s="6" t="s">
        <v>1080</v>
      </c>
      <c r="P222" s="15">
        <v>1.0</v>
      </c>
      <c r="Q222" s="15">
        <v>3.0</v>
      </c>
      <c r="R222" s="15">
        <v>5.0</v>
      </c>
      <c r="S222" s="15">
        <v>2.0</v>
      </c>
      <c r="T222" s="15">
        <v>1.0</v>
      </c>
      <c r="U222" s="15">
        <v>1.0</v>
      </c>
      <c r="V222" s="11">
        <f>ROUND((P222*'Business Analysis'!$B$35+Q222*'Business Analysis'!$B$36+R222*'Business Analysis'!$B$37+S222*'Business Analysis'!$B$38+T222*'Business Analysis'!$B$39+U222*'Business Analysis'!$B$40)/5*100,0)</f>
        <v>45</v>
      </c>
      <c r="W222" s="11" t="str">
        <f t="shared" si="2"/>
        <v>Low</v>
      </c>
      <c r="X222" s="12"/>
      <c r="Y222" s="11" t="s">
        <v>1081</v>
      </c>
      <c r="Z222" s="6" t="s">
        <v>1082</v>
      </c>
      <c r="AA222" s="11" t="s">
        <v>183</v>
      </c>
    </row>
    <row r="223" ht="15.75" customHeight="1">
      <c r="A223" s="30" t="s">
        <v>1086</v>
      </c>
      <c r="B223" s="30" t="s">
        <v>1078</v>
      </c>
      <c r="C223" s="8" t="s">
        <v>1079</v>
      </c>
      <c r="D223" s="8" t="s">
        <v>372</v>
      </c>
      <c r="E223" s="20" t="s">
        <v>365</v>
      </c>
      <c r="F223" s="20" t="s">
        <v>31</v>
      </c>
      <c r="G223" s="20" t="s">
        <v>191</v>
      </c>
      <c r="H223" s="31">
        <v>90.0</v>
      </c>
      <c r="I223" s="30" t="s">
        <v>107</v>
      </c>
      <c r="J223" s="32">
        <v>12.0</v>
      </c>
      <c r="K223" s="30" t="s">
        <v>112</v>
      </c>
      <c r="L223" s="33">
        <v>3.5</v>
      </c>
      <c r="M223" s="30" t="s">
        <v>118</v>
      </c>
      <c r="N223" s="20" t="str">
        <f t="shared" si="1"/>
        <v>Easy</v>
      </c>
      <c r="O223" s="8" t="s">
        <v>1080</v>
      </c>
      <c r="P223" s="32">
        <v>1.0</v>
      </c>
      <c r="Q223" s="32">
        <v>3.0</v>
      </c>
      <c r="R223" s="32">
        <v>5.0</v>
      </c>
      <c r="S223" s="32">
        <v>2.0</v>
      </c>
      <c r="T223" s="32">
        <v>1.0</v>
      </c>
      <c r="U223" s="32">
        <v>1.0</v>
      </c>
      <c r="V223" s="20">
        <f>ROUND((P223*'Business Analysis'!$B$35+Q223*'Business Analysis'!$B$36+R223*'Business Analysis'!$B$37+S223*'Business Analysis'!$B$38+T223*'Business Analysis'!$B$39+U223*'Business Analysis'!$B$40)/5*100,0)</f>
        <v>45</v>
      </c>
      <c r="W223" s="20" t="str">
        <f t="shared" si="2"/>
        <v>Low</v>
      </c>
      <c r="X223" s="30"/>
      <c r="Y223" s="20" t="s">
        <v>1081</v>
      </c>
      <c r="Z223" s="8" t="s">
        <v>1082</v>
      </c>
      <c r="AA223" s="20" t="s">
        <v>508</v>
      </c>
    </row>
    <row r="224" ht="15.75" customHeight="1">
      <c r="A224" s="12" t="s">
        <v>1087</v>
      </c>
      <c r="B224" s="12" t="s">
        <v>1078</v>
      </c>
      <c r="C224" s="6" t="s">
        <v>1079</v>
      </c>
      <c r="D224" s="6" t="s">
        <v>372</v>
      </c>
      <c r="E224" s="11" t="s">
        <v>365</v>
      </c>
      <c r="F224" s="11" t="s">
        <v>31</v>
      </c>
      <c r="G224" s="11" t="s">
        <v>191</v>
      </c>
      <c r="H224" s="14">
        <v>50.0</v>
      </c>
      <c r="I224" s="12" t="s">
        <v>107</v>
      </c>
      <c r="J224" s="15">
        <v>10.0</v>
      </c>
      <c r="K224" s="12" t="s">
        <v>112</v>
      </c>
      <c r="L224" s="16">
        <v>3.2</v>
      </c>
      <c r="M224" s="12" t="s">
        <v>118</v>
      </c>
      <c r="N224" s="11" t="str">
        <f t="shared" si="1"/>
        <v>Easy</v>
      </c>
      <c r="O224" s="6" t="s">
        <v>1080</v>
      </c>
      <c r="P224" s="15">
        <v>1.0</v>
      </c>
      <c r="Q224" s="15">
        <v>3.0</v>
      </c>
      <c r="R224" s="15">
        <v>5.0</v>
      </c>
      <c r="S224" s="15">
        <v>2.0</v>
      </c>
      <c r="T224" s="15">
        <v>1.0</v>
      </c>
      <c r="U224" s="15">
        <v>1.0</v>
      </c>
      <c r="V224" s="11">
        <f>ROUND((P224*'Business Analysis'!$B$35+Q224*'Business Analysis'!$B$36+R224*'Business Analysis'!$B$37+S224*'Business Analysis'!$B$38+T224*'Business Analysis'!$B$39+U224*'Business Analysis'!$B$40)/5*100,0)</f>
        <v>45</v>
      </c>
      <c r="W224" s="11" t="str">
        <f t="shared" si="2"/>
        <v>Low</v>
      </c>
      <c r="X224" s="12"/>
      <c r="Y224" s="11" t="s">
        <v>1081</v>
      </c>
      <c r="Z224" s="6" t="s">
        <v>1082</v>
      </c>
      <c r="AA224" s="11" t="s">
        <v>183</v>
      </c>
    </row>
    <row r="225" ht="15.75" customHeight="1">
      <c r="A225" s="30" t="s">
        <v>381</v>
      </c>
      <c r="B225" s="30" t="s">
        <v>1088</v>
      </c>
      <c r="C225" s="8" t="s">
        <v>1089</v>
      </c>
      <c r="D225" s="8" t="s">
        <v>380</v>
      </c>
      <c r="E225" s="20" t="s">
        <v>130</v>
      </c>
      <c r="F225" s="20" t="s">
        <v>131</v>
      </c>
      <c r="G225" s="20" t="s">
        <v>191</v>
      </c>
      <c r="H225" s="31">
        <v>20.0</v>
      </c>
      <c r="I225" s="30" t="s">
        <v>107</v>
      </c>
      <c r="J225" s="32">
        <v>12.0</v>
      </c>
      <c r="K225" s="30" t="s">
        <v>112</v>
      </c>
      <c r="L225" s="33">
        <v>6.2</v>
      </c>
      <c r="M225" s="30" t="s">
        <v>118</v>
      </c>
      <c r="N225" s="20" t="str">
        <f t="shared" si="1"/>
        <v>Easy</v>
      </c>
      <c r="O225" s="8" t="s">
        <v>537</v>
      </c>
      <c r="P225" s="32">
        <v>4.0</v>
      </c>
      <c r="Q225" s="32">
        <v>2.0</v>
      </c>
      <c r="R225" s="32">
        <v>5.0</v>
      </c>
      <c r="S225" s="32">
        <v>4.0</v>
      </c>
      <c r="T225" s="32">
        <v>4.0</v>
      </c>
      <c r="U225" s="32">
        <v>4.0</v>
      </c>
      <c r="V225" s="20">
        <f>ROUND((P225*'Business Analysis'!$B$35+Q225*'Business Analysis'!$B$36+R225*'Business Analysis'!$B$37+S225*'Business Analysis'!$B$38+T225*'Business Analysis'!$B$39+U225*'Business Analysis'!$B$40)/5*100,0)</f>
        <v>78</v>
      </c>
      <c r="W225" s="20" t="str">
        <f t="shared" si="2"/>
        <v>High</v>
      </c>
      <c r="X225" s="30" t="s">
        <v>436</v>
      </c>
      <c r="Y225" s="20" t="s">
        <v>388</v>
      </c>
      <c r="Z225" s="8" t="s">
        <v>234</v>
      </c>
      <c r="AA225" s="20" t="s">
        <v>183</v>
      </c>
    </row>
    <row r="226" ht="15.75" customHeight="1">
      <c r="A226" s="12" t="s">
        <v>1090</v>
      </c>
      <c r="B226" s="12" t="s">
        <v>1088</v>
      </c>
      <c r="C226" s="6" t="s">
        <v>1089</v>
      </c>
      <c r="D226" s="6" t="s">
        <v>380</v>
      </c>
      <c r="E226" s="11" t="s">
        <v>29</v>
      </c>
      <c r="F226" s="11" t="s">
        <v>31</v>
      </c>
      <c r="G226" s="11" t="s">
        <v>191</v>
      </c>
      <c r="H226" s="14">
        <v>30.0</v>
      </c>
      <c r="I226" s="12" t="s">
        <v>107</v>
      </c>
      <c r="J226" s="15">
        <v>18.0</v>
      </c>
      <c r="K226" s="12" t="s">
        <v>112</v>
      </c>
      <c r="L226" s="16">
        <v>9.1</v>
      </c>
      <c r="M226" s="12" t="s">
        <v>118</v>
      </c>
      <c r="N226" s="11" t="str">
        <f t="shared" si="1"/>
        <v>Easy</v>
      </c>
      <c r="O226" s="6" t="s">
        <v>537</v>
      </c>
      <c r="P226" s="15">
        <v>4.0</v>
      </c>
      <c r="Q226" s="15">
        <v>2.0</v>
      </c>
      <c r="R226" s="15">
        <v>4.0</v>
      </c>
      <c r="S226" s="15">
        <v>5.0</v>
      </c>
      <c r="T226" s="15">
        <v>4.0</v>
      </c>
      <c r="U226" s="15">
        <v>4.0</v>
      </c>
      <c r="V226" s="11">
        <f>ROUND((P226*'Business Analysis'!$B$35+Q226*'Business Analysis'!$B$36+R226*'Business Analysis'!$B$37+S226*'Business Analysis'!$B$38+T226*'Business Analysis'!$B$39+U226*'Business Analysis'!$B$40)/5*100,0)</f>
        <v>77</v>
      </c>
      <c r="W226" s="11" t="str">
        <f t="shared" si="2"/>
        <v>High</v>
      </c>
      <c r="X226" s="12" t="s">
        <v>444</v>
      </c>
      <c r="Y226" s="11" t="s">
        <v>388</v>
      </c>
      <c r="Z226" s="6" t="s">
        <v>626</v>
      </c>
      <c r="AA226" s="11" t="s">
        <v>508</v>
      </c>
    </row>
    <row r="227" ht="15.75" customHeight="1">
      <c r="A227" s="30" t="s">
        <v>1091</v>
      </c>
      <c r="B227" s="30" t="s">
        <v>1088</v>
      </c>
      <c r="C227" s="8" t="s">
        <v>1089</v>
      </c>
      <c r="D227" s="8" t="s">
        <v>380</v>
      </c>
      <c r="E227" s="20" t="s">
        <v>29</v>
      </c>
      <c r="F227" s="20" t="s">
        <v>31</v>
      </c>
      <c r="G227" s="20" t="s">
        <v>191</v>
      </c>
      <c r="H227" s="31">
        <v>20.0</v>
      </c>
      <c r="I227" s="30" t="s">
        <v>107</v>
      </c>
      <c r="J227" s="32">
        <v>12.0</v>
      </c>
      <c r="K227" s="30" t="s">
        <v>112</v>
      </c>
      <c r="L227" s="33">
        <v>9.0</v>
      </c>
      <c r="M227" s="30" t="s">
        <v>118</v>
      </c>
      <c r="N227" s="20" t="str">
        <f t="shared" si="1"/>
        <v>Easy</v>
      </c>
      <c r="O227" s="8" t="s">
        <v>537</v>
      </c>
      <c r="P227" s="32">
        <v>4.0</v>
      </c>
      <c r="Q227" s="32">
        <v>2.0</v>
      </c>
      <c r="R227" s="32">
        <v>5.0</v>
      </c>
      <c r="S227" s="32">
        <v>5.0</v>
      </c>
      <c r="T227" s="32">
        <v>5.0</v>
      </c>
      <c r="U227" s="32">
        <v>4.0</v>
      </c>
      <c r="V227" s="20">
        <f>ROUND((P227*'Business Analysis'!$B$35+Q227*'Business Analysis'!$B$36+R227*'Business Analysis'!$B$37+S227*'Business Analysis'!$B$38+T227*'Business Analysis'!$B$39+U227*'Business Analysis'!$B$40)/5*100,0)</f>
        <v>84</v>
      </c>
      <c r="W227" s="20" t="str">
        <f t="shared" si="2"/>
        <v>High</v>
      </c>
      <c r="X227" s="30" t="s">
        <v>444</v>
      </c>
      <c r="Y227" s="20" t="s">
        <v>388</v>
      </c>
      <c r="Z227" s="8" t="s">
        <v>213</v>
      </c>
      <c r="AA227" s="20" t="s">
        <v>183</v>
      </c>
    </row>
    <row r="228" ht="15.75" customHeight="1">
      <c r="A228" s="12" t="s">
        <v>1092</v>
      </c>
      <c r="B228" s="12" t="s">
        <v>1088</v>
      </c>
      <c r="C228" s="6" t="s">
        <v>1089</v>
      </c>
      <c r="D228" s="6" t="s">
        <v>380</v>
      </c>
      <c r="E228" s="11" t="s">
        <v>130</v>
      </c>
      <c r="F228" s="11" t="s">
        <v>131</v>
      </c>
      <c r="G228" s="11" t="s">
        <v>191</v>
      </c>
      <c r="H228" s="14">
        <v>40.0</v>
      </c>
      <c r="I228" s="12" t="s">
        <v>107</v>
      </c>
      <c r="J228" s="15">
        <v>20.0</v>
      </c>
      <c r="K228" s="12" t="s">
        <v>112</v>
      </c>
      <c r="L228" s="16">
        <v>8.2</v>
      </c>
      <c r="M228" s="12" t="s">
        <v>118</v>
      </c>
      <c r="N228" s="11" t="str">
        <f t="shared" si="1"/>
        <v>Easy</v>
      </c>
      <c r="O228" s="6" t="s">
        <v>537</v>
      </c>
      <c r="P228" s="15">
        <v>4.0</v>
      </c>
      <c r="Q228" s="15">
        <v>2.0</v>
      </c>
      <c r="R228" s="15">
        <v>4.0</v>
      </c>
      <c r="S228" s="15">
        <v>3.0</v>
      </c>
      <c r="T228" s="15">
        <v>3.0</v>
      </c>
      <c r="U228" s="15">
        <v>4.0</v>
      </c>
      <c r="V228" s="11">
        <f>ROUND((P228*'Business Analysis'!$B$35+Q228*'Business Analysis'!$B$36+R228*'Business Analysis'!$B$37+S228*'Business Analysis'!$B$38+T228*'Business Analysis'!$B$39+U228*'Business Analysis'!$B$40)/5*100,0)</f>
        <v>68</v>
      </c>
      <c r="W228" s="11" t="str">
        <f t="shared" si="2"/>
        <v>Medium</v>
      </c>
      <c r="X228" s="12" t="s">
        <v>448</v>
      </c>
      <c r="Y228" s="11" t="s">
        <v>388</v>
      </c>
      <c r="Z228" s="6" t="s">
        <v>507</v>
      </c>
      <c r="AA228" s="11" t="s">
        <v>508</v>
      </c>
    </row>
    <row r="229" ht="15.75" customHeight="1">
      <c r="A229" s="30" t="s">
        <v>1093</v>
      </c>
      <c r="B229" s="30" t="s">
        <v>1088</v>
      </c>
      <c r="C229" s="8" t="s">
        <v>1089</v>
      </c>
      <c r="D229" s="8" t="s">
        <v>380</v>
      </c>
      <c r="E229" s="20" t="s">
        <v>29</v>
      </c>
      <c r="F229" s="20" t="s">
        <v>31</v>
      </c>
      <c r="G229" s="20" t="s">
        <v>191</v>
      </c>
      <c r="H229" s="31">
        <v>10.0</v>
      </c>
      <c r="I229" s="30" t="s">
        <v>107</v>
      </c>
      <c r="J229" s="32">
        <v>8.0</v>
      </c>
      <c r="K229" s="30" t="s">
        <v>112</v>
      </c>
      <c r="L229" s="33">
        <v>8.4</v>
      </c>
      <c r="M229" s="30" t="s">
        <v>118</v>
      </c>
      <c r="N229" s="20" t="str">
        <f t="shared" si="1"/>
        <v>Easy</v>
      </c>
      <c r="O229" s="8" t="s">
        <v>537</v>
      </c>
      <c r="P229" s="32">
        <v>4.0</v>
      </c>
      <c r="Q229" s="32">
        <v>1.0</v>
      </c>
      <c r="R229" s="32">
        <v>5.0</v>
      </c>
      <c r="S229" s="32">
        <v>5.0</v>
      </c>
      <c r="T229" s="32">
        <v>5.0</v>
      </c>
      <c r="U229" s="32">
        <v>4.0</v>
      </c>
      <c r="V229" s="20">
        <f>ROUND((P229*'Business Analysis'!$B$35+Q229*'Business Analysis'!$B$36+R229*'Business Analysis'!$B$37+S229*'Business Analysis'!$B$38+T229*'Business Analysis'!$B$39+U229*'Business Analysis'!$B$40)/5*100,0)</f>
        <v>81</v>
      </c>
      <c r="W229" s="20" t="str">
        <f t="shared" si="2"/>
        <v>High</v>
      </c>
      <c r="X229" s="30" t="s">
        <v>439</v>
      </c>
      <c r="Y229" s="20" t="s">
        <v>388</v>
      </c>
      <c r="Z229" s="8" t="s">
        <v>213</v>
      </c>
      <c r="AA229" s="20" t="s">
        <v>183</v>
      </c>
    </row>
    <row r="230" ht="15.75" customHeight="1">
      <c r="A230" s="12" t="s">
        <v>1094</v>
      </c>
      <c r="B230" s="12" t="s">
        <v>1088</v>
      </c>
      <c r="C230" s="6" t="s">
        <v>1089</v>
      </c>
      <c r="D230" s="6" t="s">
        <v>380</v>
      </c>
      <c r="E230" s="11" t="s">
        <v>29</v>
      </c>
      <c r="F230" s="11" t="s">
        <v>31</v>
      </c>
      <c r="G230" s="11" t="s">
        <v>191</v>
      </c>
      <c r="H230" s="14">
        <v>10.0</v>
      </c>
      <c r="I230" s="12" t="s">
        <v>107</v>
      </c>
      <c r="J230" s="15">
        <v>9.0</v>
      </c>
      <c r="K230" s="12" t="s">
        <v>112</v>
      </c>
      <c r="L230" s="16">
        <v>8.6</v>
      </c>
      <c r="M230" s="12" t="s">
        <v>118</v>
      </c>
      <c r="N230" s="11" t="str">
        <f t="shared" si="1"/>
        <v>Easy</v>
      </c>
      <c r="O230" s="6" t="s">
        <v>537</v>
      </c>
      <c r="P230" s="15">
        <v>4.0</v>
      </c>
      <c r="Q230" s="15">
        <v>1.0</v>
      </c>
      <c r="R230" s="15">
        <v>5.0</v>
      </c>
      <c r="S230" s="15">
        <v>5.0</v>
      </c>
      <c r="T230" s="15">
        <v>5.0</v>
      </c>
      <c r="U230" s="15">
        <v>4.0</v>
      </c>
      <c r="V230" s="11">
        <f>ROUND((P230*'Business Analysis'!$B$35+Q230*'Business Analysis'!$B$36+R230*'Business Analysis'!$B$37+S230*'Business Analysis'!$B$38+T230*'Business Analysis'!$B$39+U230*'Business Analysis'!$B$40)/5*100,0)</f>
        <v>81</v>
      </c>
      <c r="W230" s="11" t="str">
        <f t="shared" si="2"/>
        <v>High</v>
      </c>
      <c r="X230" s="12" t="s">
        <v>637</v>
      </c>
      <c r="Y230" s="11" t="s">
        <v>388</v>
      </c>
      <c r="Z230" s="6" t="s">
        <v>213</v>
      </c>
      <c r="AA230" s="11" t="s">
        <v>183</v>
      </c>
    </row>
    <row r="231" ht="15.75" customHeight="1">
      <c r="A231" s="30" t="s">
        <v>1095</v>
      </c>
      <c r="B231" s="30" t="s">
        <v>1088</v>
      </c>
      <c r="C231" s="8" t="s">
        <v>1089</v>
      </c>
      <c r="D231" s="8" t="s">
        <v>380</v>
      </c>
      <c r="E231" s="20" t="s">
        <v>29</v>
      </c>
      <c r="F231" s="20" t="s">
        <v>31</v>
      </c>
      <c r="G231" s="20" t="s">
        <v>191</v>
      </c>
      <c r="H231" s="31">
        <v>20.0</v>
      </c>
      <c r="I231" s="30" t="s">
        <v>107</v>
      </c>
      <c r="J231" s="32">
        <v>11.0</v>
      </c>
      <c r="K231" s="30" t="s">
        <v>112</v>
      </c>
      <c r="L231" s="33">
        <v>9.0</v>
      </c>
      <c r="M231" s="30" t="s">
        <v>118</v>
      </c>
      <c r="N231" s="20" t="str">
        <f t="shared" si="1"/>
        <v>Easy</v>
      </c>
      <c r="O231" s="8" t="s">
        <v>537</v>
      </c>
      <c r="P231" s="32">
        <v>4.0</v>
      </c>
      <c r="Q231" s="32">
        <v>2.0</v>
      </c>
      <c r="R231" s="32">
        <v>5.0</v>
      </c>
      <c r="S231" s="32">
        <v>5.0</v>
      </c>
      <c r="T231" s="32">
        <v>5.0</v>
      </c>
      <c r="U231" s="32">
        <v>4.0</v>
      </c>
      <c r="V231" s="20">
        <f>ROUND((P231*'Business Analysis'!$B$35+Q231*'Business Analysis'!$B$36+R231*'Business Analysis'!$B$37+S231*'Business Analysis'!$B$38+T231*'Business Analysis'!$B$39+U231*'Business Analysis'!$B$40)/5*100,0)</f>
        <v>84</v>
      </c>
      <c r="W231" s="20" t="str">
        <f t="shared" si="2"/>
        <v>High</v>
      </c>
      <c r="X231" s="30" t="s">
        <v>493</v>
      </c>
      <c r="Y231" s="20" t="s">
        <v>388</v>
      </c>
      <c r="Z231" s="8" t="s">
        <v>213</v>
      </c>
      <c r="AA231" s="20" t="s">
        <v>183</v>
      </c>
    </row>
    <row r="232" ht="15.75" customHeight="1">
      <c r="A232" s="12" t="s">
        <v>1096</v>
      </c>
      <c r="B232" s="12" t="s">
        <v>1088</v>
      </c>
      <c r="C232" s="6" t="s">
        <v>1089</v>
      </c>
      <c r="D232" s="6" t="s">
        <v>380</v>
      </c>
      <c r="E232" s="11" t="s">
        <v>209</v>
      </c>
      <c r="F232" s="11" t="s">
        <v>131</v>
      </c>
      <c r="G232" s="11" t="s">
        <v>191</v>
      </c>
      <c r="H232" s="14">
        <v>70.0</v>
      </c>
      <c r="I232" s="12" t="s">
        <v>107</v>
      </c>
      <c r="J232" s="15">
        <v>14.0</v>
      </c>
      <c r="K232" s="12" t="s">
        <v>112</v>
      </c>
      <c r="L232" s="16">
        <v>2.8</v>
      </c>
      <c r="M232" s="12" t="s">
        <v>118</v>
      </c>
      <c r="N232" s="11" t="str">
        <f t="shared" si="1"/>
        <v>Easy</v>
      </c>
      <c r="O232" s="6" t="s">
        <v>523</v>
      </c>
      <c r="P232" s="15">
        <v>1.0</v>
      </c>
      <c r="Q232" s="15">
        <v>1.0</v>
      </c>
      <c r="R232" s="15">
        <v>5.0</v>
      </c>
      <c r="S232" s="15">
        <v>1.0</v>
      </c>
      <c r="T232" s="15">
        <v>1.0</v>
      </c>
      <c r="U232" s="15">
        <v>4.0</v>
      </c>
      <c r="V232" s="11">
        <f>ROUND((P232*'Business Analysis'!$B$35+Q232*'Business Analysis'!$B$36+R232*'Business Analysis'!$B$37+S232*'Business Analysis'!$B$38+T232*'Business Analysis'!$B$39+U232*'Business Analysis'!$B$40)/5*100,0)</f>
        <v>42</v>
      </c>
      <c r="W232" s="11" t="str">
        <f t="shared" si="2"/>
        <v>Low</v>
      </c>
      <c r="X232" s="12" t="s">
        <v>511</v>
      </c>
      <c r="Y232" s="11" t="s">
        <v>388</v>
      </c>
      <c r="Z232" s="6" t="s">
        <v>528</v>
      </c>
      <c r="AA232" s="11" t="s">
        <v>430</v>
      </c>
    </row>
    <row r="233" ht="15.75" customHeight="1">
      <c r="A233" s="30" t="s">
        <v>804</v>
      </c>
      <c r="B233" s="30" t="s">
        <v>1088</v>
      </c>
      <c r="C233" s="8" t="s">
        <v>1089</v>
      </c>
      <c r="D233" s="8" t="s">
        <v>380</v>
      </c>
      <c r="E233" s="20" t="s">
        <v>209</v>
      </c>
      <c r="F233" s="20" t="s">
        <v>131</v>
      </c>
      <c r="G233" s="20" t="s">
        <v>191</v>
      </c>
      <c r="H233" s="31">
        <v>20.0</v>
      </c>
      <c r="I233" s="30" t="s">
        <v>107</v>
      </c>
      <c r="J233" s="32">
        <v>9.0</v>
      </c>
      <c r="K233" s="30" t="s">
        <v>112</v>
      </c>
      <c r="L233" s="33">
        <v>3.0</v>
      </c>
      <c r="M233" s="30" t="s">
        <v>118</v>
      </c>
      <c r="N233" s="20" t="str">
        <f t="shared" si="1"/>
        <v>Easy</v>
      </c>
      <c r="O233" s="8" t="s">
        <v>537</v>
      </c>
      <c r="P233" s="32">
        <v>2.0</v>
      </c>
      <c r="Q233" s="32">
        <v>2.0</v>
      </c>
      <c r="R233" s="32">
        <v>5.0</v>
      </c>
      <c r="S233" s="32">
        <v>1.0</v>
      </c>
      <c r="T233" s="32">
        <v>2.0</v>
      </c>
      <c r="U233" s="32">
        <v>4.0</v>
      </c>
      <c r="V233" s="20">
        <f>ROUND((P233*'Business Analysis'!$B$35+Q233*'Business Analysis'!$B$36+R233*'Business Analysis'!$B$37+S233*'Business Analysis'!$B$38+T233*'Business Analysis'!$B$39+U233*'Business Analysis'!$B$40)/5*100,0)</f>
        <v>53</v>
      </c>
      <c r="W233" s="20" t="str">
        <f t="shared" si="2"/>
        <v>Low</v>
      </c>
      <c r="X233" s="30" t="s">
        <v>642</v>
      </c>
      <c r="Y233" s="20" t="s">
        <v>388</v>
      </c>
      <c r="Z233" s="8" t="s">
        <v>528</v>
      </c>
      <c r="AA233" s="20" t="s">
        <v>183</v>
      </c>
    </row>
    <row r="234" ht="15.75" customHeight="1">
      <c r="A234" s="12" t="s">
        <v>643</v>
      </c>
      <c r="B234" s="12" t="s">
        <v>1088</v>
      </c>
      <c r="C234" s="6" t="s">
        <v>1089</v>
      </c>
      <c r="D234" s="6" t="s">
        <v>380</v>
      </c>
      <c r="E234" s="11" t="s">
        <v>209</v>
      </c>
      <c r="F234" s="11" t="s">
        <v>210</v>
      </c>
      <c r="G234" s="11" t="s">
        <v>98</v>
      </c>
      <c r="H234" s="14">
        <v>10.0</v>
      </c>
      <c r="I234" s="12" t="s">
        <v>107</v>
      </c>
      <c r="J234" s="15">
        <v>5.0</v>
      </c>
      <c r="K234" s="12" t="s">
        <v>112</v>
      </c>
      <c r="L234" s="16">
        <v>1.9</v>
      </c>
      <c r="M234" s="12" t="s">
        <v>118</v>
      </c>
      <c r="N234" s="11" t="str">
        <f t="shared" si="1"/>
        <v>Easy</v>
      </c>
      <c r="O234" s="6" t="s">
        <v>537</v>
      </c>
      <c r="P234" s="15">
        <v>2.0</v>
      </c>
      <c r="Q234" s="15">
        <v>1.0</v>
      </c>
      <c r="R234" s="15">
        <v>5.0</v>
      </c>
      <c r="S234" s="15">
        <v>1.0</v>
      </c>
      <c r="T234" s="15">
        <v>2.0</v>
      </c>
      <c r="U234" s="15">
        <v>4.0</v>
      </c>
      <c r="V234" s="11">
        <f>ROUND((P234*'Business Analysis'!$B$35+Q234*'Business Analysis'!$B$36+R234*'Business Analysis'!$B$37+S234*'Business Analysis'!$B$38+T234*'Business Analysis'!$B$39+U234*'Business Analysis'!$B$40)/5*100,0)</f>
        <v>50</v>
      </c>
      <c r="W234" s="11" t="str">
        <f t="shared" si="2"/>
        <v>Low</v>
      </c>
      <c r="X234" s="12" t="s">
        <v>642</v>
      </c>
      <c r="Y234" s="11" t="s">
        <v>388</v>
      </c>
      <c r="Z234" s="6" t="s">
        <v>528</v>
      </c>
      <c r="AA234" s="11" t="s">
        <v>183</v>
      </c>
    </row>
    <row r="235" ht="15.75" customHeight="1">
      <c r="A235" s="30" t="s">
        <v>761</v>
      </c>
      <c r="B235" s="30" t="s">
        <v>1088</v>
      </c>
      <c r="C235" s="8" t="s">
        <v>1089</v>
      </c>
      <c r="D235" s="8" t="s">
        <v>380</v>
      </c>
      <c r="E235" s="20" t="s">
        <v>130</v>
      </c>
      <c r="F235" s="20" t="s">
        <v>131</v>
      </c>
      <c r="G235" s="20" t="s">
        <v>98</v>
      </c>
      <c r="H235" s="31">
        <v>590.0</v>
      </c>
      <c r="I235" s="30" t="s">
        <v>107</v>
      </c>
      <c r="J235" s="32">
        <v>32.0</v>
      </c>
      <c r="K235" s="30" t="s">
        <v>112</v>
      </c>
      <c r="L235" s="33">
        <v>3.9</v>
      </c>
      <c r="M235" s="30" t="s">
        <v>118</v>
      </c>
      <c r="N235" s="20" t="str">
        <f t="shared" si="1"/>
        <v>Moderate</v>
      </c>
      <c r="O235" s="8" t="s">
        <v>420</v>
      </c>
      <c r="P235" s="32">
        <v>2.0</v>
      </c>
      <c r="Q235" s="32">
        <v>2.0</v>
      </c>
      <c r="R235" s="32">
        <v>3.0</v>
      </c>
      <c r="S235" s="32">
        <v>3.0</v>
      </c>
      <c r="T235" s="32">
        <v>2.0</v>
      </c>
      <c r="U235" s="32">
        <v>4.0</v>
      </c>
      <c r="V235" s="20">
        <f>ROUND((P235*'Business Analysis'!$B$35+Q235*'Business Analysis'!$B$36+R235*'Business Analysis'!$B$37+S235*'Business Analysis'!$B$38+T235*'Business Analysis'!$B$39+U235*'Business Analysis'!$B$40)/5*100,0)</f>
        <v>51</v>
      </c>
      <c r="W235" s="20" t="str">
        <f t="shared" si="2"/>
        <v>Low</v>
      </c>
      <c r="X235" s="30" t="s">
        <v>760</v>
      </c>
      <c r="Y235" s="20" t="s">
        <v>388</v>
      </c>
      <c r="Z235" s="8" t="s">
        <v>507</v>
      </c>
      <c r="AA235" s="20" t="s">
        <v>430</v>
      </c>
    </row>
    <row r="236" ht="15.75" customHeight="1">
      <c r="A236" s="12" t="s">
        <v>1097</v>
      </c>
      <c r="B236" s="12" t="s">
        <v>1088</v>
      </c>
      <c r="C236" s="6" t="s">
        <v>1089</v>
      </c>
      <c r="D236" s="6" t="s">
        <v>380</v>
      </c>
      <c r="E236" s="11" t="s">
        <v>130</v>
      </c>
      <c r="F236" s="11" t="s">
        <v>131</v>
      </c>
      <c r="G236" s="11" t="s">
        <v>191</v>
      </c>
      <c r="H236" s="14">
        <v>1300.0</v>
      </c>
      <c r="I236" s="12" t="s">
        <v>107</v>
      </c>
      <c r="J236" s="15">
        <v>46.0</v>
      </c>
      <c r="K236" s="12" t="s">
        <v>112</v>
      </c>
      <c r="L236" s="16">
        <v>8.5</v>
      </c>
      <c r="M236" s="12" t="s">
        <v>118</v>
      </c>
      <c r="N236" s="11" t="str">
        <f t="shared" si="1"/>
        <v>Competitive</v>
      </c>
      <c r="O236" s="6" t="s">
        <v>420</v>
      </c>
      <c r="P236" s="15">
        <v>2.0</v>
      </c>
      <c r="Q236" s="15">
        <v>3.0</v>
      </c>
      <c r="R236" s="15">
        <v>2.0</v>
      </c>
      <c r="S236" s="15">
        <v>3.0</v>
      </c>
      <c r="T236" s="15">
        <v>2.0</v>
      </c>
      <c r="U236" s="15">
        <v>4.0</v>
      </c>
      <c r="V236" s="11">
        <f>ROUND((P236*'Business Analysis'!$B$35+Q236*'Business Analysis'!$B$36+R236*'Business Analysis'!$B$37+S236*'Business Analysis'!$B$38+T236*'Business Analysis'!$B$39+U236*'Business Analysis'!$B$40)/5*100,0)</f>
        <v>50</v>
      </c>
      <c r="W236" s="11" t="str">
        <f t="shared" si="2"/>
        <v>Low</v>
      </c>
      <c r="X236" s="12" t="s">
        <v>760</v>
      </c>
      <c r="Y236" s="11" t="s">
        <v>388</v>
      </c>
      <c r="Z236" s="6" t="s">
        <v>507</v>
      </c>
      <c r="AA236" s="11" t="s">
        <v>430</v>
      </c>
    </row>
    <row r="237" ht="15.75" customHeight="1">
      <c r="A237" s="30" t="s">
        <v>1098</v>
      </c>
      <c r="B237" s="30" t="s">
        <v>1088</v>
      </c>
      <c r="C237" s="8" t="s">
        <v>1089</v>
      </c>
      <c r="D237" s="8" t="s">
        <v>380</v>
      </c>
      <c r="E237" s="20" t="s">
        <v>209</v>
      </c>
      <c r="F237" s="20" t="s">
        <v>210</v>
      </c>
      <c r="G237" s="20" t="s">
        <v>191</v>
      </c>
      <c r="H237" s="31">
        <v>210.0</v>
      </c>
      <c r="I237" s="30" t="s">
        <v>107</v>
      </c>
      <c r="J237" s="32">
        <v>22.0</v>
      </c>
      <c r="K237" s="30" t="s">
        <v>112</v>
      </c>
      <c r="L237" s="33">
        <v>2.4</v>
      </c>
      <c r="M237" s="30" t="s">
        <v>118</v>
      </c>
      <c r="N237" s="20" t="str">
        <f t="shared" si="1"/>
        <v>Moderate</v>
      </c>
      <c r="O237" s="8" t="s">
        <v>523</v>
      </c>
      <c r="P237" s="32">
        <v>1.0</v>
      </c>
      <c r="Q237" s="32">
        <v>1.0</v>
      </c>
      <c r="R237" s="32">
        <v>4.0</v>
      </c>
      <c r="S237" s="32">
        <v>1.0</v>
      </c>
      <c r="T237" s="32">
        <v>1.0</v>
      </c>
      <c r="U237" s="32">
        <v>4.0</v>
      </c>
      <c r="V237" s="20">
        <f>ROUND((P237*'Business Analysis'!$B$35+Q237*'Business Analysis'!$B$36+R237*'Business Analysis'!$B$37+S237*'Business Analysis'!$B$38+T237*'Business Analysis'!$B$39+U237*'Business Analysis'!$B$40)/5*100,0)</f>
        <v>38</v>
      </c>
      <c r="W237" s="20" t="str">
        <f t="shared" si="2"/>
        <v>Optional</v>
      </c>
      <c r="X237" s="30" t="s">
        <v>760</v>
      </c>
      <c r="Y237" s="20" t="s">
        <v>388</v>
      </c>
      <c r="Z237" s="8" t="s">
        <v>528</v>
      </c>
      <c r="AA237" s="20" t="s">
        <v>430</v>
      </c>
    </row>
    <row r="238" ht="15.75" customHeight="1">
      <c r="A238" s="12" t="s">
        <v>840</v>
      </c>
      <c r="B238" s="12" t="s">
        <v>1088</v>
      </c>
      <c r="C238" s="6" t="s">
        <v>1089</v>
      </c>
      <c r="D238" s="6" t="s">
        <v>380</v>
      </c>
      <c r="E238" s="11" t="s">
        <v>130</v>
      </c>
      <c r="F238" s="11" t="s">
        <v>131</v>
      </c>
      <c r="G238" s="11" t="s">
        <v>191</v>
      </c>
      <c r="H238" s="14">
        <v>880.0</v>
      </c>
      <c r="I238" s="12" t="s">
        <v>107</v>
      </c>
      <c r="J238" s="15">
        <v>36.0</v>
      </c>
      <c r="K238" s="12" t="s">
        <v>112</v>
      </c>
      <c r="L238" s="16">
        <v>4.5</v>
      </c>
      <c r="M238" s="12" t="s">
        <v>118</v>
      </c>
      <c r="N238" s="11" t="str">
        <f t="shared" si="1"/>
        <v>Moderate</v>
      </c>
      <c r="O238" s="6" t="s">
        <v>420</v>
      </c>
      <c r="P238" s="15">
        <v>2.0</v>
      </c>
      <c r="Q238" s="15">
        <v>2.0</v>
      </c>
      <c r="R238" s="15">
        <v>2.0</v>
      </c>
      <c r="S238" s="15">
        <v>3.0</v>
      </c>
      <c r="T238" s="15">
        <v>2.0</v>
      </c>
      <c r="U238" s="15">
        <v>4.0</v>
      </c>
      <c r="V238" s="11">
        <f>ROUND((P238*'Business Analysis'!$B$35+Q238*'Business Analysis'!$B$36+R238*'Business Analysis'!$B$37+S238*'Business Analysis'!$B$38+T238*'Business Analysis'!$B$39+U238*'Business Analysis'!$B$40)/5*100,0)</f>
        <v>47</v>
      </c>
      <c r="W238" s="11" t="str">
        <f t="shared" si="2"/>
        <v>Low</v>
      </c>
      <c r="X238" s="12" t="s">
        <v>713</v>
      </c>
      <c r="Y238" s="11" t="s">
        <v>388</v>
      </c>
      <c r="Z238" s="6" t="s">
        <v>507</v>
      </c>
      <c r="AA238" s="11" t="s">
        <v>430</v>
      </c>
    </row>
    <row r="239" ht="15.75" customHeight="1">
      <c r="A239" s="30" t="s">
        <v>395</v>
      </c>
      <c r="B239" s="30" t="s">
        <v>209</v>
      </c>
      <c r="C239" s="8" t="s">
        <v>1099</v>
      </c>
      <c r="D239" s="8" t="s">
        <v>394</v>
      </c>
      <c r="E239" s="20" t="s">
        <v>209</v>
      </c>
      <c r="F239" s="20" t="s">
        <v>210</v>
      </c>
      <c r="G239" s="20" t="s">
        <v>191</v>
      </c>
      <c r="H239" s="31">
        <v>18100.0</v>
      </c>
      <c r="I239" s="30" t="s">
        <v>107</v>
      </c>
      <c r="J239" s="32">
        <v>50.0</v>
      </c>
      <c r="K239" s="30" t="s">
        <v>112</v>
      </c>
      <c r="L239" s="33">
        <v>1.8</v>
      </c>
      <c r="M239" s="30" t="s">
        <v>118</v>
      </c>
      <c r="N239" s="20" t="str">
        <f t="shared" si="1"/>
        <v>Competitive</v>
      </c>
      <c r="O239" s="8" t="s">
        <v>523</v>
      </c>
      <c r="P239" s="32">
        <v>1.0</v>
      </c>
      <c r="Q239" s="32">
        <v>5.0</v>
      </c>
      <c r="R239" s="32">
        <v>2.0</v>
      </c>
      <c r="S239" s="32">
        <v>1.0</v>
      </c>
      <c r="T239" s="32">
        <v>1.0</v>
      </c>
      <c r="U239" s="32">
        <v>3.0</v>
      </c>
      <c r="V239" s="20">
        <f>ROUND((P239*'Business Analysis'!$B$35+Q239*'Business Analysis'!$B$36+R239*'Business Analysis'!$B$37+S239*'Business Analysis'!$B$38+T239*'Business Analysis'!$B$39+U239*'Business Analysis'!$B$40)/5*100,0)</f>
        <v>40</v>
      </c>
      <c r="W239" s="20" t="str">
        <f t="shared" si="2"/>
        <v>Low</v>
      </c>
      <c r="X239" s="30" t="s">
        <v>749</v>
      </c>
      <c r="Y239" s="20" t="s">
        <v>388</v>
      </c>
      <c r="Z239" s="8" t="s">
        <v>528</v>
      </c>
      <c r="AA239" s="20" t="s">
        <v>430</v>
      </c>
    </row>
    <row r="240" ht="15.75" customHeight="1">
      <c r="A240" s="12" t="s">
        <v>1100</v>
      </c>
      <c r="B240" s="12" t="s">
        <v>209</v>
      </c>
      <c r="C240" s="6" t="s">
        <v>1099</v>
      </c>
      <c r="D240" s="6" t="s">
        <v>394</v>
      </c>
      <c r="E240" s="11" t="s">
        <v>209</v>
      </c>
      <c r="F240" s="11" t="s">
        <v>210</v>
      </c>
      <c r="G240" s="11" t="s">
        <v>191</v>
      </c>
      <c r="H240" s="14">
        <v>9900.0</v>
      </c>
      <c r="I240" s="12" t="s">
        <v>107</v>
      </c>
      <c r="J240" s="15">
        <v>46.0</v>
      </c>
      <c r="K240" s="12" t="s">
        <v>112</v>
      </c>
      <c r="L240" s="16">
        <v>1.4</v>
      </c>
      <c r="M240" s="12" t="s">
        <v>118</v>
      </c>
      <c r="N240" s="11" t="str">
        <f t="shared" si="1"/>
        <v>Competitive</v>
      </c>
      <c r="O240" s="6" t="s">
        <v>523</v>
      </c>
      <c r="P240" s="15">
        <v>1.0</v>
      </c>
      <c r="Q240" s="15">
        <v>4.0</v>
      </c>
      <c r="R240" s="15">
        <v>2.0</v>
      </c>
      <c r="S240" s="15">
        <v>1.0</v>
      </c>
      <c r="T240" s="15">
        <v>1.0</v>
      </c>
      <c r="U240" s="15">
        <v>3.0</v>
      </c>
      <c r="V240" s="11">
        <f>ROUND((P240*'Business Analysis'!$B$35+Q240*'Business Analysis'!$B$36+R240*'Business Analysis'!$B$37+S240*'Business Analysis'!$B$38+T240*'Business Analysis'!$B$39+U240*'Business Analysis'!$B$40)/5*100,0)</f>
        <v>37</v>
      </c>
      <c r="W240" s="11" t="str">
        <f t="shared" si="2"/>
        <v>Optional</v>
      </c>
      <c r="X240" s="12" t="s">
        <v>734</v>
      </c>
      <c r="Y240" s="11" t="s">
        <v>388</v>
      </c>
      <c r="Z240" s="6" t="s">
        <v>528</v>
      </c>
      <c r="AA240" s="11" t="s">
        <v>430</v>
      </c>
    </row>
    <row r="241" ht="15.75" customHeight="1">
      <c r="A241" s="30" t="s">
        <v>1101</v>
      </c>
      <c r="B241" s="30" t="s">
        <v>209</v>
      </c>
      <c r="C241" s="8" t="s">
        <v>1099</v>
      </c>
      <c r="D241" s="8" t="s">
        <v>394</v>
      </c>
      <c r="E241" s="20" t="s">
        <v>209</v>
      </c>
      <c r="F241" s="20" t="s">
        <v>210</v>
      </c>
      <c r="G241" s="20" t="s">
        <v>191</v>
      </c>
      <c r="H241" s="31">
        <v>2400.0</v>
      </c>
      <c r="I241" s="30" t="s">
        <v>107</v>
      </c>
      <c r="J241" s="32">
        <v>32.0</v>
      </c>
      <c r="K241" s="30" t="s">
        <v>112</v>
      </c>
      <c r="L241" s="33">
        <v>1.3</v>
      </c>
      <c r="M241" s="30" t="s">
        <v>118</v>
      </c>
      <c r="N241" s="20" t="str">
        <f t="shared" si="1"/>
        <v>Moderate</v>
      </c>
      <c r="O241" s="8" t="s">
        <v>523</v>
      </c>
      <c r="P241" s="32">
        <v>1.0</v>
      </c>
      <c r="Q241" s="32">
        <v>3.0</v>
      </c>
      <c r="R241" s="32">
        <v>3.0</v>
      </c>
      <c r="S241" s="32">
        <v>1.0</v>
      </c>
      <c r="T241" s="32">
        <v>1.0</v>
      </c>
      <c r="U241" s="32">
        <v>3.0</v>
      </c>
      <c r="V241" s="20">
        <f>ROUND((P241*'Business Analysis'!$B$35+Q241*'Business Analysis'!$B$36+R241*'Business Analysis'!$B$37+S241*'Business Analysis'!$B$38+T241*'Business Analysis'!$B$39+U241*'Business Analysis'!$B$40)/5*100,0)</f>
        <v>38</v>
      </c>
      <c r="W241" s="20" t="str">
        <f t="shared" si="2"/>
        <v>Optional</v>
      </c>
      <c r="X241" s="30" t="s">
        <v>737</v>
      </c>
      <c r="Y241" s="20" t="s">
        <v>388</v>
      </c>
      <c r="Z241" s="8" t="s">
        <v>528</v>
      </c>
      <c r="AA241" s="20" t="s">
        <v>430</v>
      </c>
    </row>
    <row r="242" ht="15.75" customHeight="1">
      <c r="A242" s="12" t="s">
        <v>1102</v>
      </c>
      <c r="B242" s="12" t="s">
        <v>209</v>
      </c>
      <c r="C242" s="6" t="s">
        <v>1099</v>
      </c>
      <c r="D242" s="6" t="s">
        <v>394</v>
      </c>
      <c r="E242" s="11" t="s">
        <v>209</v>
      </c>
      <c r="F242" s="11" t="s">
        <v>210</v>
      </c>
      <c r="G242" s="11" t="s">
        <v>191</v>
      </c>
      <c r="H242" s="14">
        <v>1900.0</v>
      </c>
      <c r="I242" s="12" t="s">
        <v>107</v>
      </c>
      <c r="J242" s="15">
        <v>28.0</v>
      </c>
      <c r="K242" s="12" t="s">
        <v>112</v>
      </c>
      <c r="L242" s="16">
        <v>1.2</v>
      </c>
      <c r="M242" s="12" t="s">
        <v>118</v>
      </c>
      <c r="N242" s="11" t="str">
        <f t="shared" si="1"/>
        <v>Moderate</v>
      </c>
      <c r="O242" s="6" t="s">
        <v>523</v>
      </c>
      <c r="P242" s="15">
        <v>1.0</v>
      </c>
      <c r="Q242" s="15">
        <v>3.0</v>
      </c>
      <c r="R242" s="15">
        <v>3.0</v>
      </c>
      <c r="S242" s="15">
        <v>1.0</v>
      </c>
      <c r="T242" s="15">
        <v>1.0</v>
      </c>
      <c r="U242" s="15">
        <v>3.0</v>
      </c>
      <c r="V242" s="11">
        <f>ROUND((P242*'Business Analysis'!$B$35+Q242*'Business Analysis'!$B$36+R242*'Business Analysis'!$B$37+S242*'Business Analysis'!$B$38+T242*'Business Analysis'!$B$39+U242*'Business Analysis'!$B$40)/5*100,0)</f>
        <v>38</v>
      </c>
      <c r="W242" s="11" t="str">
        <f t="shared" si="2"/>
        <v>Optional</v>
      </c>
      <c r="X242" s="12" t="s">
        <v>706</v>
      </c>
      <c r="Y242" s="11" t="s">
        <v>388</v>
      </c>
      <c r="Z242" s="6" t="s">
        <v>528</v>
      </c>
      <c r="AA242" s="11" t="s">
        <v>430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2:W242">
    <cfRule type="cellIs" dxfId="0" priority="1" operator="equal">
      <formula>"Critical"</formula>
    </cfRule>
  </conditionalFormatting>
  <conditionalFormatting sqref="W2:W242">
    <cfRule type="cellIs" dxfId="1" priority="2" operator="equal">
      <formula>"High"</formula>
    </cfRule>
  </conditionalFormatting>
  <conditionalFormatting sqref="W2:W242">
    <cfRule type="cellIs" dxfId="2" priority="3" operator="equal">
      <formula>"Medium"</formula>
    </cfRule>
  </conditionalFormatting>
  <conditionalFormatting sqref="W2:W242">
    <cfRule type="cellIs" dxfId="3" priority="4" operator="equal">
      <formula>"Low"</formula>
    </cfRule>
  </conditionalFormatting>
  <conditionalFormatting sqref="W2:W242">
    <cfRule type="cellIs" dxfId="4" priority="5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57"/>
    <col customWidth="1" min="2" max="2" width="32.57"/>
    <col customWidth="1" min="3" max="3" width="61.86"/>
    <col customWidth="1" min="4" max="4" width="54.0"/>
    <col customWidth="1" min="5" max="5" width="47.86"/>
    <col customWidth="1" min="6" max="6" width="11.71"/>
    <col customWidth="1" min="7" max="7" width="7.29"/>
    <col customWidth="1" min="8" max="8" width="36.43"/>
    <col customWidth="1" min="9" max="9" width="18.71"/>
    <col customWidth="1" min="10" max="10" width="9.0"/>
    <col customWidth="1" min="11" max="11" width="9.29"/>
    <col customWidth="1" min="12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</row>
    <row r="2">
      <c r="A2" s="6" t="s">
        <v>17</v>
      </c>
      <c r="B2" s="6" t="s">
        <v>21</v>
      </c>
      <c r="C2" s="6" t="s">
        <v>22</v>
      </c>
      <c r="D2" s="6" t="s">
        <v>24</v>
      </c>
      <c r="E2" s="6" t="s">
        <v>26</v>
      </c>
      <c r="F2" s="7" t="s">
        <v>29</v>
      </c>
      <c r="G2" s="7" t="s">
        <v>31</v>
      </c>
      <c r="H2" s="6" t="s">
        <v>32</v>
      </c>
      <c r="I2" s="6" t="s">
        <v>32</v>
      </c>
      <c r="J2" s="11">
        <f>COUNTIF('Keyword Master Database'!$D$2:$D$242,A2)</f>
        <v>15</v>
      </c>
      <c r="K2" s="13">
        <f>SUMIF('Keyword Master Database'!$D$2:$D$242,A2,'Keyword Master Database'!$H$2:$H$242)</f>
        <v>1831940</v>
      </c>
    </row>
    <row r="3">
      <c r="A3" s="8" t="s">
        <v>119</v>
      </c>
      <c r="B3" s="8" t="s">
        <v>123</v>
      </c>
      <c r="C3" s="8" t="s">
        <v>124</v>
      </c>
      <c r="D3" s="8" t="s">
        <v>126</v>
      </c>
      <c r="E3" s="8" t="s">
        <v>129</v>
      </c>
      <c r="F3" s="9" t="s">
        <v>130</v>
      </c>
      <c r="G3" s="9" t="s">
        <v>131</v>
      </c>
      <c r="H3" s="8" t="s">
        <v>132</v>
      </c>
      <c r="I3" s="8" t="s">
        <v>133</v>
      </c>
      <c r="J3" s="20">
        <f>COUNTIF('Keyword Master Database'!$D$2:$D$242,A3)</f>
        <v>11</v>
      </c>
      <c r="K3" s="22">
        <f>SUMIF('Keyword Master Database'!$D$2:$D$242,A3,'Keyword Master Database'!$H$2:$H$242)</f>
        <v>38200</v>
      </c>
    </row>
    <row r="4">
      <c r="A4" s="6" t="s">
        <v>145</v>
      </c>
      <c r="B4" s="6" t="s">
        <v>146</v>
      </c>
      <c r="C4" s="6" t="s">
        <v>147</v>
      </c>
      <c r="D4" s="6" t="s">
        <v>148</v>
      </c>
      <c r="E4" s="6" t="s">
        <v>150</v>
      </c>
      <c r="F4" s="7" t="s">
        <v>29</v>
      </c>
      <c r="G4" s="7" t="s">
        <v>31</v>
      </c>
      <c r="H4" s="6" t="s">
        <v>151</v>
      </c>
      <c r="I4" s="6" t="s">
        <v>133</v>
      </c>
      <c r="J4" s="11">
        <f>COUNTIF('Keyword Master Database'!$D$2:$D$242,A4)</f>
        <v>10</v>
      </c>
      <c r="K4" s="13">
        <f>SUMIF('Keyword Master Database'!$D$2:$D$242,A4,'Keyword Master Database'!$H$2:$H$242)</f>
        <v>87570</v>
      </c>
    </row>
    <row r="5">
      <c r="A5" s="8" t="s">
        <v>152</v>
      </c>
      <c r="B5" s="8" t="s">
        <v>153</v>
      </c>
      <c r="C5" s="8" t="s">
        <v>154</v>
      </c>
      <c r="D5" s="8" t="s">
        <v>155</v>
      </c>
      <c r="E5" s="8" t="s">
        <v>156</v>
      </c>
      <c r="F5" s="9" t="s">
        <v>29</v>
      </c>
      <c r="G5" s="9" t="s">
        <v>31</v>
      </c>
      <c r="H5" s="8" t="s">
        <v>158</v>
      </c>
      <c r="I5" s="8" t="s">
        <v>159</v>
      </c>
      <c r="J5" s="20">
        <f>COUNTIF('Keyword Master Database'!$D$2:$D$242,A5)</f>
        <v>10</v>
      </c>
      <c r="K5" s="22">
        <f>SUMIF('Keyword Master Database'!$D$2:$D$242,A5,'Keyword Master Database'!$H$2:$H$242)</f>
        <v>18730</v>
      </c>
    </row>
    <row r="6">
      <c r="A6" s="6" t="s">
        <v>168</v>
      </c>
      <c r="B6" s="6" t="s">
        <v>169</v>
      </c>
      <c r="C6" s="6" t="s">
        <v>171</v>
      </c>
      <c r="D6" s="6" t="s">
        <v>174</v>
      </c>
      <c r="E6" s="6" t="s">
        <v>175</v>
      </c>
      <c r="F6" s="7" t="s">
        <v>29</v>
      </c>
      <c r="G6" s="7" t="s">
        <v>31</v>
      </c>
      <c r="H6" s="6" t="s">
        <v>179</v>
      </c>
      <c r="I6" s="6" t="s">
        <v>159</v>
      </c>
      <c r="J6" s="11">
        <f>COUNTIF('Keyword Master Database'!$D$2:$D$242,A6)</f>
        <v>10</v>
      </c>
      <c r="K6" s="13">
        <f>SUMIF('Keyword Master Database'!$D$2:$D$242,A6,'Keyword Master Database'!$H$2:$H$242)</f>
        <v>49310</v>
      </c>
    </row>
    <row r="7">
      <c r="A7" s="8" t="s">
        <v>184</v>
      </c>
      <c r="B7" s="8" t="s">
        <v>185</v>
      </c>
      <c r="C7" s="8" t="s">
        <v>186</v>
      </c>
      <c r="D7" s="8" t="s">
        <v>187</v>
      </c>
      <c r="E7" s="8" t="s">
        <v>189</v>
      </c>
      <c r="F7" s="9" t="s">
        <v>29</v>
      </c>
      <c r="G7" s="9" t="s">
        <v>31</v>
      </c>
      <c r="H7" s="8" t="s">
        <v>190</v>
      </c>
      <c r="I7" s="8" t="s">
        <v>159</v>
      </c>
      <c r="J7" s="20">
        <f>COUNTIF('Keyword Master Database'!$D$2:$D$242,A7)</f>
        <v>10</v>
      </c>
      <c r="K7" s="22">
        <f>SUMIF('Keyword Master Database'!$D$2:$D$242,A7,'Keyword Master Database'!$H$2:$H$242)</f>
        <v>35690</v>
      </c>
    </row>
    <row r="8">
      <c r="A8" s="6" t="s">
        <v>192</v>
      </c>
      <c r="B8" s="6" t="s">
        <v>193</v>
      </c>
      <c r="C8" s="6" t="s">
        <v>194</v>
      </c>
      <c r="D8" s="6" t="s">
        <v>195</v>
      </c>
      <c r="E8" s="6" t="s">
        <v>196</v>
      </c>
      <c r="F8" s="7" t="s">
        <v>29</v>
      </c>
      <c r="G8" s="7" t="s">
        <v>31</v>
      </c>
      <c r="H8" s="6" t="s">
        <v>197</v>
      </c>
      <c r="I8" s="6" t="s">
        <v>159</v>
      </c>
      <c r="J8" s="11">
        <f>COUNTIF('Keyword Master Database'!$D$2:$D$242,A8)</f>
        <v>8</v>
      </c>
      <c r="K8" s="13">
        <f>SUMIF('Keyword Master Database'!$D$2:$D$242,A8,'Keyword Master Database'!$H$2:$H$242)</f>
        <v>23050</v>
      </c>
    </row>
    <row r="9">
      <c r="A9" s="8" t="s">
        <v>198</v>
      </c>
      <c r="B9" s="8" t="s">
        <v>199</v>
      </c>
      <c r="C9" s="8" t="s">
        <v>200</v>
      </c>
      <c r="D9" s="8" t="s">
        <v>201</v>
      </c>
      <c r="E9" s="8" t="s">
        <v>202</v>
      </c>
      <c r="F9" s="9" t="s">
        <v>29</v>
      </c>
      <c r="G9" s="9" t="s">
        <v>31</v>
      </c>
      <c r="H9" s="8" t="s">
        <v>203</v>
      </c>
      <c r="I9" s="8" t="s">
        <v>159</v>
      </c>
      <c r="J9" s="20">
        <f>COUNTIF('Keyword Master Database'!$D$2:$D$242,A9)</f>
        <v>10</v>
      </c>
      <c r="K9" s="22">
        <f>SUMIF('Keyword Master Database'!$D$2:$D$242,A9,'Keyword Master Database'!$H$2:$H$242)</f>
        <v>27980</v>
      </c>
    </row>
    <row r="10">
      <c r="A10" s="6" t="s">
        <v>204</v>
      </c>
      <c r="B10" s="6" t="s">
        <v>205</v>
      </c>
      <c r="C10" s="6" t="s">
        <v>206</v>
      </c>
      <c r="D10" s="6" t="s">
        <v>207</v>
      </c>
      <c r="E10" s="6" t="s">
        <v>208</v>
      </c>
      <c r="F10" s="7" t="s">
        <v>209</v>
      </c>
      <c r="G10" s="7" t="s">
        <v>210</v>
      </c>
      <c r="H10" s="6" t="s">
        <v>211</v>
      </c>
      <c r="I10" s="6" t="s">
        <v>212</v>
      </c>
      <c r="J10" s="11">
        <f>COUNTIF('Keyword Master Database'!$D$2:$D$242,A10)</f>
        <v>6</v>
      </c>
      <c r="K10" s="13">
        <f>SUMIF('Keyword Master Database'!$D$2:$D$242,A10,'Keyword Master Database'!$H$2:$H$242)</f>
        <v>56900</v>
      </c>
    </row>
    <row r="11">
      <c r="A11" s="8" t="s">
        <v>215</v>
      </c>
      <c r="B11" s="8" t="s">
        <v>216</v>
      </c>
      <c r="C11" s="8" t="s">
        <v>217</v>
      </c>
      <c r="D11" s="8" t="s">
        <v>218</v>
      </c>
      <c r="E11" s="8" t="s">
        <v>219</v>
      </c>
      <c r="F11" s="9" t="s">
        <v>29</v>
      </c>
      <c r="G11" s="9" t="s">
        <v>31</v>
      </c>
      <c r="H11" s="8" t="s">
        <v>220</v>
      </c>
      <c r="I11" s="8" t="s">
        <v>159</v>
      </c>
      <c r="J11" s="20">
        <f>COUNTIF('Keyword Master Database'!$D$2:$D$242,A11)</f>
        <v>11</v>
      </c>
      <c r="K11" s="22">
        <f>SUMIF('Keyword Master Database'!$D$2:$D$242,A11,'Keyword Master Database'!$H$2:$H$242)</f>
        <v>72390</v>
      </c>
    </row>
    <row r="12">
      <c r="A12" s="6" t="s">
        <v>221</v>
      </c>
      <c r="B12" s="6" t="s">
        <v>222</v>
      </c>
      <c r="C12" s="6" t="s">
        <v>223</v>
      </c>
      <c r="D12" s="6" t="s">
        <v>224</v>
      </c>
      <c r="E12" s="6" t="s">
        <v>225</v>
      </c>
      <c r="F12" s="7" t="s">
        <v>29</v>
      </c>
      <c r="G12" s="7" t="s">
        <v>31</v>
      </c>
      <c r="H12" s="6" t="s">
        <v>226</v>
      </c>
      <c r="I12" s="6" t="s">
        <v>159</v>
      </c>
      <c r="J12" s="11">
        <f>COUNTIF('Keyword Master Database'!$D$2:$D$242,A12)</f>
        <v>9</v>
      </c>
      <c r="K12" s="13">
        <f>SUMIF('Keyword Master Database'!$D$2:$D$242,A12,'Keyword Master Database'!$H$2:$H$242)</f>
        <v>45160</v>
      </c>
    </row>
    <row r="13">
      <c r="A13" s="8" t="s">
        <v>228</v>
      </c>
      <c r="B13" s="8" t="s">
        <v>229</v>
      </c>
      <c r="C13" s="8" t="s">
        <v>230</v>
      </c>
      <c r="D13" s="8" t="s">
        <v>231</v>
      </c>
      <c r="E13" s="8" t="s">
        <v>232</v>
      </c>
      <c r="F13" s="9" t="s">
        <v>29</v>
      </c>
      <c r="G13" s="9" t="s">
        <v>31</v>
      </c>
      <c r="H13" s="8" t="s">
        <v>233</v>
      </c>
      <c r="I13" s="8" t="s">
        <v>159</v>
      </c>
      <c r="J13" s="20">
        <f>COUNTIF('Keyword Master Database'!$D$2:$D$242,A13)</f>
        <v>11</v>
      </c>
      <c r="K13" s="22">
        <f>SUMIF('Keyword Master Database'!$D$2:$D$242,A13,'Keyword Master Database'!$H$2:$H$242)</f>
        <v>135720</v>
      </c>
    </row>
    <row r="14">
      <c r="A14" s="6" t="s">
        <v>236</v>
      </c>
      <c r="B14" s="6" t="s">
        <v>237</v>
      </c>
      <c r="C14" s="6" t="s">
        <v>238</v>
      </c>
      <c r="D14" s="6" t="s">
        <v>239</v>
      </c>
      <c r="E14" s="6" t="s">
        <v>240</v>
      </c>
      <c r="F14" s="7" t="s">
        <v>29</v>
      </c>
      <c r="G14" s="7" t="s">
        <v>31</v>
      </c>
      <c r="H14" s="6" t="s">
        <v>241</v>
      </c>
      <c r="I14" s="6" t="s">
        <v>159</v>
      </c>
      <c r="J14" s="11">
        <f>COUNTIF('Keyword Master Database'!$D$2:$D$242,A14)</f>
        <v>6</v>
      </c>
      <c r="K14" s="13">
        <f>SUMIF('Keyword Master Database'!$D$2:$D$242,A14,'Keyword Master Database'!$H$2:$H$242)</f>
        <v>36400</v>
      </c>
    </row>
    <row r="15">
      <c r="A15" s="8" t="s">
        <v>242</v>
      </c>
      <c r="B15" s="8" t="s">
        <v>243</v>
      </c>
      <c r="C15" s="8" t="s">
        <v>244</v>
      </c>
      <c r="D15" s="8" t="s">
        <v>245</v>
      </c>
      <c r="E15" s="8" t="s">
        <v>246</v>
      </c>
      <c r="F15" s="9" t="s">
        <v>29</v>
      </c>
      <c r="G15" s="9" t="s">
        <v>31</v>
      </c>
      <c r="H15" s="8" t="s">
        <v>247</v>
      </c>
      <c r="I15" s="8" t="s">
        <v>133</v>
      </c>
      <c r="J15" s="20">
        <f>COUNTIF('Keyword Master Database'!$D$2:$D$242,A15)</f>
        <v>12</v>
      </c>
      <c r="K15" s="22">
        <f>SUMIF('Keyword Master Database'!$D$2:$D$242,A15,'Keyword Master Database'!$H$2:$H$242)</f>
        <v>158970</v>
      </c>
    </row>
    <row r="16">
      <c r="A16" s="6" t="s">
        <v>251</v>
      </c>
      <c r="B16" s="6" t="s">
        <v>252</v>
      </c>
      <c r="C16" s="6" t="s">
        <v>253</v>
      </c>
      <c r="D16" s="6" t="s">
        <v>254</v>
      </c>
      <c r="E16" s="6" t="s">
        <v>255</v>
      </c>
      <c r="F16" s="7" t="s">
        <v>29</v>
      </c>
      <c r="G16" s="7" t="s">
        <v>31</v>
      </c>
      <c r="H16" s="6" t="s">
        <v>256</v>
      </c>
      <c r="I16" s="6" t="s">
        <v>159</v>
      </c>
      <c r="J16" s="11">
        <f>COUNTIF('Keyword Master Database'!$D$2:$D$242,A16)</f>
        <v>5</v>
      </c>
      <c r="K16" s="13">
        <f>SUMIF('Keyword Master Database'!$D$2:$D$242,A16,'Keyword Master Database'!$H$2:$H$242)</f>
        <v>127390</v>
      </c>
    </row>
    <row r="17">
      <c r="A17" s="8" t="s">
        <v>258</v>
      </c>
      <c r="B17" s="8" t="s">
        <v>259</v>
      </c>
      <c r="C17" s="8" t="s">
        <v>261</v>
      </c>
      <c r="D17" s="8" t="s">
        <v>262</v>
      </c>
      <c r="E17" s="8" t="s">
        <v>263</v>
      </c>
      <c r="F17" s="9" t="s">
        <v>29</v>
      </c>
      <c r="G17" s="9" t="s">
        <v>31</v>
      </c>
      <c r="H17" s="8" t="s">
        <v>264</v>
      </c>
      <c r="I17" s="8" t="s">
        <v>159</v>
      </c>
      <c r="J17" s="20">
        <f>COUNTIF('Keyword Master Database'!$D$2:$D$242,A17)</f>
        <v>7</v>
      </c>
      <c r="K17" s="22">
        <f>SUMIF('Keyword Master Database'!$D$2:$D$242,A17,'Keyword Master Database'!$H$2:$H$242)</f>
        <v>262970</v>
      </c>
    </row>
    <row r="18">
      <c r="A18" s="6" t="s">
        <v>270</v>
      </c>
      <c r="B18" s="6" t="s">
        <v>272</v>
      </c>
      <c r="C18" s="6" t="s">
        <v>274</v>
      </c>
      <c r="D18" s="6" t="s">
        <v>275</v>
      </c>
      <c r="E18" s="6" t="s">
        <v>277</v>
      </c>
      <c r="F18" s="7" t="s">
        <v>29</v>
      </c>
      <c r="G18" s="7" t="s">
        <v>31</v>
      </c>
      <c r="H18" s="6" t="s">
        <v>278</v>
      </c>
      <c r="I18" s="6" t="s">
        <v>133</v>
      </c>
      <c r="J18" s="11">
        <f>COUNTIF('Keyword Master Database'!$D$2:$D$242,A18)</f>
        <v>12</v>
      </c>
      <c r="K18" s="13">
        <f>SUMIF('Keyword Master Database'!$D$2:$D$242,A18,'Keyword Master Database'!$H$2:$H$242)</f>
        <v>24750</v>
      </c>
    </row>
    <row r="19">
      <c r="A19" s="8" t="s">
        <v>307</v>
      </c>
      <c r="B19" s="8" t="s">
        <v>309</v>
      </c>
      <c r="C19" s="8" t="s">
        <v>311</v>
      </c>
      <c r="D19" s="8" t="s">
        <v>313</v>
      </c>
      <c r="E19" s="8" t="s">
        <v>315</v>
      </c>
      <c r="F19" s="9" t="s">
        <v>29</v>
      </c>
      <c r="G19" s="9" t="s">
        <v>31</v>
      </c>
      <c r="H19" s="8" t="s">
        <v>319</v>
      </c>
      <c r="I19" s="8" t="s">
        <v>159</v>
      </c>
      <c r="J19" s="20">
        <f>COUNTIF('Keyword Master Database'!$D$2:$D$242,A19)</f>
        <v>8</v>
      </c>
      <c r="K19" s="22">
        <f>SUMIF('Keyword Master Database'!$D$2:$D$242,A19,'Keyword Master Database'!$H$2:$H$242)</f>
        <v>76330</v>
      </c>
    </row>
    <row r="20">
      <c r="A20" s="6" t="s">
        <v>333</v>
      </c>
      <c r="B20" s="6" t="s">
        <v>334</v>
      </c>
      <c r="C20" s="6" t="s">
        <v>335</v>
      </c>
      <c r="D20" s="6" t="s">
        <v>336</v>
      </c>
      <c r="E20" s="6" t="s">
        <v>337</v>
      </c>
      <c r="F20" s="7" t="s">
        <v>29</v>
      </c>
      <c r="G20" s="7" t="s">
        <v>31</v>
      </c>
      <c r="H20" s="6" t="s">
        <v>338</v>
      </c>
      <c r="I20" s="6" t="s">
        <v>159</v>
      </c>
      <c r="J20" s="11">
        <f>COUNTIF('Keyword Master Database'!$D$2:$D$242,A20)</f>
        <v>7</v>
      </c>
      <c r="K20" s="13">
        <f>SUMIF('Keyword Master Database'!$D$2:$D$242,A20,'Keyword Master Database'!$H$2:$H$242)</f>
        <v>16760</v>
      </c>
    </row>
    <row r="21" ht="15.75" customHeight="1">
      <c r="A21" s="8" t="s">
        <v>340</v>
      </c>
      <c r="B21" s="8" t="s">
        <v>341</v>
      </c>
      <c r="C21" s="8" t="s">
        <v>342</v>
      </c>
      <c r="D21" s="8" t="s">
        <v>343</v>
      </c>
      <c r="E21" s="8" t="s">
        <v>344</v>
      </c>
      <c r="F21" s="9" t="s">
        <v>29</v>
      </c>
      <c r="G21" s="9" t="s">
        <v>31</v>
      </c>
      <c r="H21" s="8" t="s">
        <v>345</v>
      </c>
      <c r="I21" s="8" t="s">
        <v>133</v>
      </c>
      <c r="J21" s="20">
        <f>COUNTIF('Keyword Master Database'!$D$2:$D$242,A21)</f>
        <v>5</v>
      </c>
      <c r="K21" s="22">
        <f>SUMIF('Keyword Master Database'!$D$2:$D$242,A21,'Keyword Master Database'!$H$2:$H$242)</f>
        <v>22700</v>
      </c>
    </row>
    <row r="22" ht="15.75" customHeight="1">
      <c r="A22" s="6" t="s">
        <v>346</v>
      </c>
      <c r="B22" s="6" t="s">
        <v>347</v>
      </c>
      <c r="C22" s="6" t="s">
        <v>348</v>
      </c>
      <c r="D22" s="6" t="s">
        <v>349</v>
      </c>
      <c r="E22" s="6" t="s">
        <v>350</v>
      </c>
      <c r="F22" s="7" t="s">
        <v>29</v>
      </c>
      <c r="G22" s="7" t="s">
        <v>31</v>
      </c>
      <c r="H22" s="6" t="s">
        <v>351</v>
      </c>
      <c r="I22" s="6" t="s">
        <v>159</v>
      </c>
      <c r="J22" s="11">
        <f>COUNTIF('Keyword Master Database'!$D$2:$D$242,A22)</f>
        <v>9</v>
      </c>
      <c r="K22" s="13">
        <f>SUMIF('Keyword Master Database'!$D$2:$D$242,A22,'Keyword Master Database'!$H$2:$H$242)</f>
        <v>8580</v>
      </c>
    </row>
    <row r="23" ht="15.75" customHeight="1">
      <c r="A23" s="8" t="s">
        <v>353</v>
      </c>
      <c r="B23" s="8" t="s">
        <v>354</v>
      </c>
      <c r="C23" s="8" t="s">
        <v>355</v>
      </c>
      <c r="D23" s="8" t="s">
        <v>356</v>
      </c>
      <c r="E23" s="8" t="s">
        <v>357</v>
      </c>
      <c r="F23" s="9" t="s">
        <v>29</v>
      </c>
      <c r="G23" s="9" t="s">
        <v>31</v>
      </c>
      <c r="H23" s="8" t="s">
        <v>358</v>
      </c>
      <c r="I23" s="8" t="s">
        <v>359</v>
      </c>
      <c r="J23" s="20">
        <f>COUNTIF('Keyword Master Database'!$D$2:$D$242,A23)</f>
        <v>15</v>
      </c>
      <c r="K23" s="22">
        <f>SUMIF('Keyword Master Database'!$D$2:$D$242,A23,'Keyword Master Database'!$H$2:$H$242)</f>
        <v>1010</v>
      </c>
    </row>
    <row r="24" ht="15.75" customHeight="1">
      <c r="A24" s="6" t="s">
        <v>360</v>
      </c>
      <c r="B24" s="6" t="s">
        <v>361</v>
      </c>
      <c r="C24" s="6" t="s">
        <v>362</v>
      </c>
      <c r="D24" s="6" t="s">
        <v>363</v>
      </c>
      <c r="E24" s="6" t="s">
        <v>364</v>
      </c>
      <c r="F24" s="7" t="s">
        <v>365</v>
      </c>
      <c r="G24" s="7" t="s">
        <v>31</v>
      </c>
      <c r="H24" s="6" t="s">
        <v>366</v>
      </c>
      <c r="I24" s="6" t="s">
        <v>367</v>
      </c>
      <c r="J24" s="11">
        <f>COUNTIF('Keyword Master Database'!$D$2:$D$242,A24)</f>
        <v>10</v>
      </c>
      <c r="K24" s="13">
        <f>SUMIF('Keyword Master Database'!$D$2:$D$242,A24,'Keyword Master Database'!$H$2:$H$242)</f>
        <v>400</v>
      </c>
    </row>
    <row r="25" ht="15.75" customHeight="1">
      <c r="A25" s="8" t="s">
        <v>372</v>
      </c>
      <c r="B25" s="8" t="s">
        <v>373</v>
      </c>
      <c r="C25" s="8" t="s">
        <v>374</v>
      </c>
      <c r="D25" s="8" t="s">
        <v>375</v>
      </c>
      <c r="E25" s="8" t="s">
        <v>376</v>
      </c>
      <c r="F25" s="9" t="s">
        <v>365</v>
      </c>
      <c r="G25" s="9" t="s">
        <v>31</v>
      </c>
      <c r="H25" s="8" t="s">
        <v>377</v>
      </c>
      <c r="I25" s="8" t="s">
        <v>378</v>
      </c>
      <c r="J25" s="20">
        <f>COUNTIF('Keyword Master Database'!$D$2:$D$242,A25)</f>
        <v>6</v>
      </c>
      <c r="K25" s="22">
        <f>SUMIF('Keyword Master Database'!$D$2:$D$242,A25,'Keyword Master Database'!$H$2:$H$242)</f>
        <v>1780</v>
      </c>
    </row>
    <row r="26" ht="15.75" customHeight="1">
      <c r="A26" s="6" t="s">
        <v>380</v>
      </c>
      <c r="B26" s="6" t="s">
        <v>381</v>
      </c>
      <c r="C26" s="6" t="s">
        <v>382</v>
      </c>
      <c r="D26" s="6" t="s">
        <v>384</v>
      </c>
      <c r="E26" s="6" t="s">
        <v>387</v>
      </c>
      <c r="F26" s="7" t="s">
        <v>130</v>
      </c>
      <c r="G26" s="7" t="s">
        <v>131</v>
      </c>
      <c r="H26" s="6" t="s">
        <v>390</v>
      </c>
      <c r="I26" s="6" t="s">
        <v>391</v>
      </c>
      <c r="J26" s="11">
        <f>COUNTIF('Keyword Master Database'!$D$2:$D$242,A26)</f>
        <v>14</v>
      </c>
      <c r="K26" s="13">
        <f>SUMIF('Keyword Master Database'!$D$2:$D$242,A26,'Keyword Master Database'!$H$2:$H$242)</f>
        <v>3230</v>
      </c>
    </row>
    <row r="27" ht="15.75" customHeight="1">
      <c r="A27" s="8" t="s">
        <v>394</v>
      </c>
      <c r="B27" s="8" t="s">
        <v>395</v>
      </c>
      <c r="C27" s="8" t="s">
        <v>396</v>
      </c>
      <c r="D27" s="8" t="s">
        <v>397</v>
      </c>
      <c r="E27" s="8" t="s">
        <v>398</v>
      </c>
      <c r="F27" s="9" t="s">
        <v>209</v>
      </c>
      <c r="G27" s="9" t="s">
        <v>210</v>
      </c>
      <c r="H27" s="8" t="s">
        <v>211</v>
      </c>
      <c r="I27" s="8" t="s">
        <v>212</v>
      </c>
      <c r="J27" s="20">
        <f>COUNTIF('Keyword Master Database'!$D$2:$D$242,A27)</f>
        <v>4</v>
      </c>
      <c r="K27" s="22">
        <f>SUMIF('Keyword Master Database'!$D$2:$D$242,A27,'Keyword Master Database'!$H$2:$H$242)</f>
        <v>32300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6" width="46.0"/>
    <col customWidth="1" min="7" max="7" width="50.0"/>
    <col customWidth="1" min="8" max="26" width="8.71"/>
  </cols>
  <sheetData>
    <row r="1" ht="30.0" customHeight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271</v>
      </c>
      <c r="F1" s="1" t="s">
        <v>273</v>
      </c>
      <c r="G1" s="1" t="s">
        <v>276</v>
      </c>
    </row>
    <row r="2" ht="52.5" customHeight="1">
      <c r="A2" s="6" t="s">
        <v>279</v>
      </c>
      <c r="B2" s="6" t="s">
        <v>280</v>
      </c>
      <c r="C2" s="6" t="s">
        <v>282</v>
      </c>
      <c r="D2" s="6" t="s">
        <v>283</v>
      </c>
      <c r="E2" s="6" t="s">
        <v>284</v>
      </c>
      <c r="F2" s="6" t="s">
        <v>285</v>
      </c>
      <c r="G2" s="6" t="s">
        <v>286</v>
      </c>
    </row>
    <row r="3" ht="76.5" customHeight="1">
      <c r="A3" s="8" t="s">
        <v>287</v>
      </c>
      <c r="B3" s="8" t="s">
        <v>288</v>
      </c>
      <c r="C3" s="8" t="s">
        <v>289</v>
      </c>
      <c r="D3" s="8" t="s">
        <v>290</v>
      </c>
      <c r="E3" s="8" t="s">
        <v>291</v>
      </c>
      <c r="F3" s="8" t="s">
        <v>292</v>
      </c>
      <c r="G3" s="8" t="s">
        <v>293</v>
      </c>
    </row>
    <row r="4" ht="40.5" customHeight="1">
      <c r="A4" s="6" t="s">
        <v>295</v>
      </c>
      <c r="B4" s="6" t="s">
        <v>296</v>
      </c>
      <c r="C4" s="6" t="s">
        <v>297</v>
      </c>
      <c r="D4" s="6" t="s">
        <v>298</v>
      </c>
      <c r="E4" s="6" t="s">
        <v>299</v>
      </c>
      <c r="F4" s="6" t="s">
        <v>300</v>
      </c>
      <c r="G4" s="6" t="s">
        <v>302</v>
      </c>
    </row>
    <row r="5" ht="76.5" customHeight="1">
      <c r="A5" s="8" t="s">
        <v>303</v>
      </c>
      <c r="B5" s="8" t="s">
        <v>304</v>
      </c>
      <c r="C5" s="8" t="s">
        <v>305</v>
      </c>
      <c r="D5" s="8" t="s">
        <v>308</v>
      </c>
      <c r="E5" s="8" t="s">
        <v>310</v>
      </c>
      <c r="F5" s="8" t="s">
        <v>312</v>
      </c>
      <c r="G5" s="8" t="s">
        <v>314</v>
      </c>
    </row>
    <row r="6" ht="52.5" customHeight="1">
      <c r="A6" s="6" t="s">
        <v>317</v>
      </c>
      <c r="B6" s="6" t="s">
        <v>318</v>
      </c>
      <c r="C6" s="6" t="s">
        <v>320</v>
      </c>
      <c r="D6" s="6" t="s">
        <v>322</v>
      </c>
      <c r="E6" s="6" t="s">
        <v>323</v>
      </c>
      <c r="F6" s="6" t="s">
        <v>324</v>
      </c>
      <c r="G6" s="6" t="s">
        <v>325</v>
      </c>
    </row>
    <row r="7" ht="40.5" customHeight="1">
      <c r="A7" s="8" t="s">
        <v>326</v>
      </c>
      <c r="B7" s="8" t="s">
        <v>327</v>
      </c>
      <c r="C7" s="8" t="s">
        <v>328</v>
      </c>
      <c r="D7" s="8" t="s">
        <v>329</v>
      </c>
      <c r="E7" s="8" t="s">
        <v>330</v>
      </c>
      <c r="F7" s="8" t="s">
        <v>331</v>
      </c>
      <c r="G7" s="8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3.29"/>
    <col customWidth="1" min="2" max="2" width="40.0"/>
    <col customWidth="1" min="3" max="3" width="37.29"/>
    <col customWidth="1" min="4" max="4" width="69.86"/>
    <col customWidth="1" min="5" max="5" width="11.71"/>
    <col customWidth="1" min="6" max="6" width="7.29"/>
    <col customWidth="1" min="7" max="7" width="11.14"/>
    <col customWidth="1" min="8" max="8" width="7.86"/>
    <col customWidth="1" min="9" max="9" width="45.29"/>
    <col customWidth="1" min="10" max="10" width="9.0"/>
    <col customWidth="1" min="11" max="11" width="9.43"/>
    <col customWidth="1" min="12" max="26" width="8.71"/>
  </cols>
  <sheetData>
    <row r="1">
      <c r="A1" s="1" t="s">
        <v>267</v>
      </c>
      <c r="B1" s="1" t="s">
        <v>400</v>
      </c>
      <c r="C1" s="1" t="s">
        <v>3</v>
      </c>
      <c r="D1" s="1" t="s">
        <v>4</v>
      </c>
      <c r="E1" s="1" t="s">
        <v>7</v>
      </c>
      <c r="F1" s="1" t="s">
        <v>9</v>
      </c>
      <c r="G1" s="1" t="s">
        <v>402</v>
      </c>
      <c r="H1" s="1" t="s">
        <v>404</v>
      </c>
      <c r="I1" s="1" t="s">
        <v>405</v>
      </c>
      <c r="J1" s="1" t="s">
        <v>12</v>
      </c>
      <c r="K1" s="1" t="s">
        <v>407</v>
      </c>
    </row>
    <row r="2">
      <c r="A2" s="6" t="s">
        <v>180</v>
      </c>
      <c r="B2" s="6" t="s">
        <v>32</v>
      </c>
      <c r="C2" s="6" t="s">
        <v>21</v>
      </c>
      <c r="D2" s="6" t="s">
        <v>412</v>
      </c>
      <c r="E2" s="11" t="str">
        <f t="array" ref="E2">INDEX('Keyword Master Database'!$E$2:$E$242,MATCH(C2,'Keyword Master Database'!$A$2:$A$242,0))</f>
        <v>Transactional</v>
      </c>
      <c r="F2" s="11" t="str">
        <f t="array" ref="F2">INDEX('Keyword Master Database'!$F$2:$F$242,MATCH(C2,'Keyword Master Database'!$A$2:$A$242,0))</f>
        <v>BOFU</v>
      </c>
      <c r="G2" s="7" t="s">
        <v>419</v>
      </c>
      <c r="H2" s="7" t="s">
        <v>181</v>
      </c>
      <c r="I2" s="6" t="s">
        <v>421</v>
      </c>
      <c r="J2" s="11">
        <f>COUNTIF('Keyword Master Database'!$X$2:$X$242,A2)</f>
        <v>14</v>
      </c>
      <c r="K2" s="13">
        <f>SUMIF('Keyword Master Database'!$X$2:$X$242,A2,'Keyword Master Database'!$H$2:$H$242)</f>
        <v>1831990</v>
      </c>
    </row>
    <row r="3">
      <c r="A3" s="8" t="s">
        <v>408</v>
      </c>
      <c r="B3" s="8" t="s">
        <v>426</v>
      </c>
      <c r="C3" s="8" t="s">
        <v>427</v>
      </c>
      <c r="D3" s="8" t="s">
        <v>429</v>
      </c>
      <c r="E3" s="20" t="str">
        <f t="array" ref="E3">INDEX('Keyword Master Database'!$E$2:$E$242,MATCH(C3,'Keyword Master Database'!$A$2:$A$242,0))</f>
        <v>Navigational</v>
      </c>
      <c r="F3" s="20" t="str">
        <f t="array" ref="F3">INDEX('Keyword Master Database'!$F$2:$F$242,MATCH(C3,'Keyword Master Database'!$A$2:$A$242,0))</f>
        <v>BOFU</v>
      </c>
      <c r="G3" s="9" t="s">
        <v>419</v>
      </c>
      <c r="H3" s="9" t="s">
        <v>181</v>
      </c>
      <c r="I3" s="8" t="s">
        <v>170</v>
      </c>
      <c r="J3" s="20">
        <f>COUNTIF('Keyword Master Database'!$X$2:$X$242,A3)</f>
        <v>4</v>
      </c>
      <c r="K3" s="22">
        <f>SUMIF('Keyword Master Database'!$X$2:$X$242,A3,'Keyword Master Database'!$H$2:$H$242)</f>
        <v>90</v>
      </c>
    </row>
    <row r="4">
      <c r="A4" s="6" t="s">
        <v>439</v>
      </c>
      <c r="B4" s="6" t="s">
        <v>151</v>
      </c>
      <c r="C4" s="6" t="s">
        <v>146</v>
      </c>
      <c r="D4" s="6" t="s">
        <v>440</v>
      </c>
      <c r="E4" s="11" t="str">
        <f t="array" ref="E4">INDEX('Keyword Master Database'!$E$2:$E$242,MATCH(C4,'Keyword Master Database'!$A$2:$A$242,0))</f>
        <v>Transactional</v>
      </c>
      <c r="F4" s="11" t="str">
        <f t="array" ref="F4">INDEX('Keyword Master Database'!$F$2:$F$242,MATCH(C4,'Keyword Master Database'!$A$2:$A$242,0))</f>
        <v>BOFU</v>
      </c>
      <c r="G4" s="7" t="s">
        <v>441</v>
      </c>
      <c r="H4" s="7" t="s">
        <v>388</v>
      </c>
      <c r="I4" s="6" t="s">
        <v>442</v>
      </c>
      <c r="J4" s="11">
        <f>COUNTIF('Keyword Master Database'!$X$2:$X$242,A4)</f>
        <v>11</v>
      </c>
      <c r="K4" s="13">
        <f>SUMIF('Keyword Master Database'!$X$2:$X$242,A4,'Keyword Master Database'!$H$2:$H$242)</f>
        <v>87580</v>
      </c>
    </row>
    <row r="5">
      <c r="A5" s="8" t="s">
        <v>444</v>
      </c>
      <c r="B5" s="8" t="s">
        <v>158</v>
      </c>
      <c r="C5" s="8" t="s">
        <v>153</v>
      </c>
      <c r="D5" s="8" t="s">
        <v>445</v>
      </c>
      <c r="E5" s="20" t="str">
        <f t="array" ref="E5">INDEX('Keyword Master Database'!$E$2:$E$242,MATCH(C5,'Keyword Master Database'!$A$2:$A$242,0))</f>
        <v>Transactional</v>
      </c>
      <c r="F5" s="20" t="str">
        <f t="array" ref="F5">INDEX('Keyword Master Database'!$F$2:$F$242,MATCH(C5,'Keyword Master Database'!$A$2:$A$242,0))</f>
        <v>BOFU</v>
      </c>
      <c r="G5" s="9" t="s">
        <v>441</v>
      </c>
      <c r="H5" s="9" t="s">
        <v>388</v>
      </c>
      <c r="I5" s="8" t="s">
        <v>446</v>
      </c>
      <c r="J5" s="20">
        <f>COUNTIF('Keyword Master Database'!$X$2:$X$242,A5)</f>
        <v>8</v>
      </c>
      <c r="K5" s="22">
        <f>SUMIF('Keyword Master Database'!$X$2:$X$242,A5,'Keyword Master Database'!$H$2:$H$242)</f>
        <v>15290</v>
      </c>
    </row>
    <row r="6">
      <c r="A6" s="6" t="s">
        <v>448</v>
      </c>
      <c r="B6" s="6" t="s">
        <v>179</v>
      </c>
      <c r="C6" s="6" t="s">
        <v>169</v>
      </c>
      <c r="D6" s="6" t="s">
        <v>449</v>
      </c>
      <c r="E6" s="11" t="str">
        <f t="array" ref="E6">INDEX('Keyword Master Database'!$E$2:$E$242,MATCH(C6,'Keyword Master Database'!$A$2:$A$242,0))</f>
        <v>Transactional</v>
      </c>
      <c r="F6" s="11" t="str">
        <f t="array" ref="F6">INDEX('Keyword Master Database'!$F$2:$F$242,MATCH(C6,'Keyword Master Database'!$A$2:$A$242,0))</f>
        <v>BOFU</v>
      </c>
      <c r="G6" s="7" t="s">
        <v>441</v>
      </c>
      <c r="H6" s="7" t="s">
        <v>388</v>
      </c>
      <c r="I6" s="6" t="s">
        <v>451</v>
      </c>
      <c r="J6" s="11">
        <f>COUNTIF('Keyword Master Database'!$X$2:$X$242,A6)</f>
        <v>8</v>
      </c>
      <c r="K6" s="13">
        <f>SUMIF('Keyword Master Database'!$X$2:$X$242,A6,'Keyword Master Database'!$H$2:$H$242)</f>
        <v>16250</v>
      </c>
    </row>
    <row r="7">
      <c r="A7" s="8" t="s">
        <v>452</v>
      </c>
      <c r="B7" s="8" t="s">
        <v>190</v>
      </c>
      <c r="C7" s="8" t="s">
        <v>185</v>
      </c>
      <c r="D7" s="8" t="s">
        <v>453</v>
      </c>
      <c r="E7" s="20" t="str">
        <f t="array" ref="E7">INDEX('Keyword Master Database'!$E$2:$E$242,MATCH(C7,'Keyword Master Database'!$A$2:$A$242,0))</f>
        <v>Transactional</v>
      </c>
      <c r="F7" s="20" t="str">
        <f t="array" ref="F7">INDEX('Keyword Master Database'!$F$2:$F$242,MATCH(C7,'Keyword Master Database'!$A$2:$A$242,0))</f>
        <v>BOFU</v>
      </c>
      <c r="G7" s="9" t="s">
        <v>441</v>
      </c>
      <c r="H7" s="9" t="s">
        <v>388</v>
      </c>
      <c r="I7" s="8" t="s">
        <v>170</v>
      </c>
      <c r="J7" s="20">
        <f>COUNTIF('Keyword Master Database'!$X$2:$X$242,A7)</f>
        <v>7</v>
      </c>
      <c r="K7" s="22">
        <f>SUMIF('Keyword Master Database'!$X$2:$X$242,A7,'Keyword Master Database'!$H$2:$H$242)</f>
        <v>32070</v>
      </c>
    </row>
    <row r="8">
      <c r="A8" s="6" t="s">
        <v>493</v>
      </c>
      <c r="B8" s="6" t="s">
        <v>197</v>
      </c>
      <c r="C8" s="6" t="s">
        <v>193</v>
      </c>
      <c r="D8" s="6" t="s">
        <v>497</v>
      </c>
      <c r="E8" s="11" t="str">
        <f t="array" ref="E8">INDEX('Keyword Master Database'!$E$2:$E$242,MATCH(C8,'Keyword Master Database'!$A$2:$A$242,0))</f>
        <v>Transactional</v>
      </c>
      <c r="F8" s="11" t="str">
        <f t="array" ref="F8">INDEX('Keyword Master Database'!$F$2:$F$242,MATCH(C8,'Keyword Master Database'!$A$2:$A$242,0))</f>
        <v>BOFU</v>
      </c>
      <c r="G8" s="7" t="s">
        <v>441</v>
      </c>
      <c r="H8" s="7" t="s">
        <v>388</v>
      </c>
      <c r="I8" s="6" t="s">
        <v>510</v>
      </c>
      <c r="J8" s="11">
        <f>COUNTIF('Keyword Master Database'!$X$2:$X$242,A8)</f>
        <v>5</v>
      </c>
      <c r="K8" s="13">
        <f>SUMIF('Keyword Master Database'!$X$2:$X$242,A8,'Keyword Master Database'!$H$2:$H$242)</f>
        <v>9070</v>
      </c>
    </row>
    <row r="9">
      <c r="A9" s="8" t="s">
        <v>511</v>
      </c>
      <c r="B9" s="8" t="s">
        <v>203</v>
      </c>
      <c r="C9" s="8" t="s">
        <v>199</v>
      </c>
      <c r="D9" s="8" t="s">
        <v>512</v>
      </c>
      <c r="E9" s="20" t="str">
        <f t="array" ref="E9">INDEX('Keyword Master Database'!$E$2:$E$242,MATCH(C9,'Keyword Master Database'!$A$2:$A$242,0))</f>
        <v>Transactional</v>
      </c>
      <c r="F9" s="20" t="str">
        <f t="array" ref="F9">INDEX('Keyword Master Database'!$F$2:$F$242,MATCH(C9,'Keyword Master Database'!$A$2:$A$242,0))</f>
        <v>BOFU</v>
      </c>
      <c r="G9" s="9" t="s">
        <v>441</v>
      </c>
      <c r="H9" s="9" t="s">
        <v>388</v>
      </c>
      <c r="I9" s="8" t="s">
        <v>170</v>
      </c>
      <c r="J9" s="20">
        <f>COUNTIF('Keyword Master Database'!$X$2:$X$242,A9)</f>
        <v>10</v>
      </c>
      <c r="K9" s="22">
        <f>SUMIF('Keyword Master Database'!$X$2:$X$242,A9,'Keyword Master Database'!$H$2:$H$242)</f>
        <v>26750</v>
      </c>
    </row>
    <row r="10">
      <c r="A10" s="6" t="s">
        <v>514</v>
      </c>
      <c r="B10" s="6" t="s">
        <v>515</v>
      </c>
      <c r="C10" s="6" t="s">
        <v>516</v>
      </c>
      <c r="D10" s="6" t="s">
        <v>517</v>
      </c>
      <c r="E10" s="11" t="str">
        <f t="array" ref="E10">INDEX('Keyword Master Database'!$E$2:$E$242,MATCH(C10,'Keyword Master Database'!$A$2:$A$242,0))</f>
        <v>Transactional</v>
      </c>
      <c r="F10" s="11" t="str">
        <f t="array" ref="F10">INDEX('Keyword Master Database'!$F$2:$F$242,MATCH(C10,'Keyword Master Database'!$A$2:$A$242,0))</f>
        <v>BOFU</v>
      </c>
      <c r="G10" s="7" t="s">
        <v>441</v>
      </c>
      <c r="H10" s="7" t="s">
        <v>388</v>
      </c>
      <c r="I10" s="6" t="s">
        <v>170</v>
      </c>
      <c r="J10" s="11">
        <f>COUNTIF('Keyword Master Database'!$X$2:$X$242,A10)</f>
        <v>1</v>
      </c>
      <c r="K10" s="13">
        <f>SUMIF('Keyword Master Database'!$X$2:$X$242,A10,'Keyword Master Database'!$H$2:$H$242)</f>
        <v>30</v>
      </c>
    </row>
    <row r="11">
      <c r="A11" s="8" t="s">
        <v>520</v>
      </c>
      <c r="B11" s="8" t="s">
        <v>220</v>
      </c>
      <c r="C11" s="8" t="s">
        <v>216</v>
      </c>
      <c r="D11" s="8" t="s">
        <v>521</v>
      </c>
      <c r="E11" s="20" t="str">
        <f t="array" ref="E11">INDEX('Keyword Master Database'!$E$2:$E$242,MATCH(C11,'Keyword Master Database'!$A$2:$A$242,0))</f>
        <v>Transactional</v>
      </c>
      <c r="F11" s="20" t="str">
        <f t="array" ref="F11">INDEX('Keyword Master Database'!$F$2:$F$242,MATCH(C11,'Keyword Master Database'!$A$2:$A$242,0))</f>
        <v>BOFU</v>
      </c>
      <c r="G11" s="9" t="s">
        <v>441</v>
      </c>
      <c r="H11" s="9" t="s">
        <v>388</v>
      </c>
      <c r="I11" s="8" t="s">
        <v>170</v>
      </c>
      <c r="J11" s="20">
        <f>COUNTIF('Keyword Master Database'!$X$2:$X$242,A11)</f>
        <v>4</v>
      </c>
      <c r="K11" s="22">
        <f>SUMIF('Keyword Master Database'!$X$2:$X$242,A11,'Keyword Master Database'!$H$2:$H$242)</f>
        <v>14960</v>
      </c>
    </row>
    <row r="12">
      <c r="A12" s="6" t="s">
        <v>531</v>
      </c>
      <c r="B12" s="6" t="s">
        <v>226</v>
      </c>
      <c r="C12" s="6" t="s">
        <v>222</v>
      </c>
      <c r="D12" s="6" t="s">
        <v>533</v>
      </c>
      <c r="E12" s="11" t="str">
        <f t="array" ref="E12">INDEX('Keyword Master Database'!$E$2:$E$242,MATCH(C12,'Keyword Master Database'!$A$2:$A$242,0))</f>
        <v>Transactional</v>
      </c>
      <c r="F12" s="11" t="str">
        <f t="array" ref="F12">INDEX('Keyword Master Database'!$F$2:$F$242,MATCH(C12,'Keyword Master Database'!$A$2:$A$242,0))</f>
        <v>BOFU</v>
      </c>
      <c r="G12" s="7" t="s">
        <v>441</v>
      </c>
      <c r="H12" s="7" t="s">
        <v>388</v>
      </c>
      <c r="I12" s="6" t="s">
        <v>170</v>
      </c>
      <c r="J12" s="11">
        <f>COUNTIF('Keyword Master Database'!$X$2:$X$242,A12)</f>
        <v>6</v>
      </c>
      <c r="K12" s="13">
        <f>SUMIF('Keyword Master Database'!$X$2:$X$242,A12,'Keyword Master Database'!$H$2:$H$242)</f>
        <v>37770</v>
      </c>
    </row>
    <row r="13">
      <c r="A13" s="8" t="s">
        <v>535</v>
      </c>
      <c r="B13" s="8" t="s">
        <v>233</v>
      </c>
      <c r="C13" s="8" t="s">
        <v>229</v>
      </c>
      <c r="D13" s="8" t="s">
        <v>536</v>
      </c>
      <c r="E13" s="20" t="str">
        <f t="array" ref="E13">INDEX('Keyword Master Database'!$E$2:$E$242,MATCH(C13,'Keyword Master Database'!$A$2:$A$242,0))</f>
        <v>Transactional</v>
      </c>
      <c r="F13" s="20" t="str">
        <f t="array" ref="F13">INDEX('Keyword Master Database'!$F$2:$F$242,MATCH(C13,'Keyword Master Database'!$A$2:$A$242,0))</f>
        <v>BOFU</v>
      </c>
      <c r="G13" s="9" t="s">
        <v>441</v>
      </c>
      <c r="H13" s="9" t="s">
        <v>388</v>
      </c>
      <c r="I13" s="8" t="s">
        <v>170</v>
      </c>
      <c r="J13" s="20">
        <f>COUNTIF('Keyword Master Database'!$X$2:$X$242,A13)</f>
        <v>5</v>
      </c>
      <c r="K13" s="22">
        <f>SUMIF('Keyword Master Database'!$X$2:$X$242,A13,'Keyword Master Database'!$H$2:$H$242)</f>
        <v>82820</v>
      </c>
    </row>
    <row r="14">
      <c r="A14" s="6" t="s">
        <v>547</v>
      </c>
      <c r="B14" s="6" t="s">
        <v>241</v>
      </c>
      <c r="C14" s="6" t="s">
        <v>237</v>
      </c>
      <c r="D14" s="6" t="s">
        <v>549</v>
      </c>
      <c r="E14" s="11" t="str">
        <f t="array" ref="E14">INDEX('Keyword Master Database'!$E$2:$E$242,MATCH(C14,'Keyword Master Database'!$A$2:$A$242,0))</f>
        <v>Transactional</v>
      </c>
      <c r="F14" s="11" t="str">
        <f t="array" ref="F14">INDEX('Keyword Master Database'!$F$2:$F$242,MATCH(C14,'Keyword Master Database'!$A$2:$A$242,0))</f>
        <v>BOFU</v>
      </c>
      <c r="G14" s="7" t="s">
        <v>441</v>
      </c>
      <c r="H14" s="7" t="s">
        <v>388</v>
      </c>
      <c r="I14" s="6" t="s">
        <v>170</v>
      </c>
      <c r="J14" s="11">
        <f>COUNTIF('Keyword Master Database'!$X$2:$X$242,A14)</f>
        <v>4</v>
      </c>
      <c r="K14" s="13">
        <f>SUMIF('Keyword Master Database'!$X$2:$X$242,A14,'Keyword Master Database'!$H$2:$H$242)</f>
        <v>27000</v>
      </c>
    </row>
    <row r="15">
      <c r="A15" s="8" t="s">
        <v>595</v>
      </c>
      <c r="B15" s="8" t="s">
        <v>247</v>
      </c>
      <c r="C15" s="8" t="s">
        <v>243</v>
      </c>
      <c r="D15" s="8" t="s">
        <v>597</v>
      </c>
      <c r="E15" s="20" t="str">
        <f t="array" ref="E15">INDEX('Keyword Master Database'!$E$2:$E$242,MATCH(C15,'Keyword Master Database'!$A$2:$A$242,0))</f>
        <v>Transactional</v>
      </c>
      <c r="F15" s="20" t="str">
        <f t="array" ref="F15">INDEX('Keyword Master Database'!$F$2:$F$242,MATCH(C15,'Keyword Master Database'!$A$2:$A$242,0))</f>
        <v>BOFU</v>
      </c>
      <c r="G15" s="9" t="s">
        <v>441</v>
      </c>
      <c r="H15" s="9" t="s">
        <v>388</v>
      </c>
      <c r="I15" s="8" t="s">
        <v>601</v>
      </c>
      <c r="J15" s="20">
        <f>COUNTIF('Keyword Master Database'!$X$2:$X$242,A15)</f>
        <v>9</v>
      </c>
      <c r="K15" s="22">
        <f>SUMIF('Keyword Master Database'!$X$2:$X$242,A15,'Keyword Master Database'!$H$2:$H$242)</f>
        <v>60870</v>
      </c>
    </row>
    <row r="16">
      <c r="A16" s="6" t="s">
        <v>608</v>
      </c>
      <c r="B16" s="6" t="s">
        <v>256</v>
      </c>
      <c r="C16" s="6" t="s">
        <v>252</v>
      </c>
      <c r="D16" s="6" t="s">
        <v>609</v>
      </c>
      <c r="E16" s="11" t="str">
        <f t="array" ref="E16">INDEX('Keyword Master Database'!$E$2:$E$242,MATCH(C16,'Keyword Master Database'!$A$2:$A$242,0))</f>
        <v>Transactional</v>
      </c>
      <c r="F16" s="11" t="str">
        <f t="array" ref="F16">INDEX('Keyword Master Database'!$F$2:$F$242,MATCH(C16,'Keyword Master Database'!$A$2:$A$242,0))</f>
        <v>BOFU</v>
      </c>
      <c r="G16" s="7" t="s">
        <v>441</v>
      </c>
      <c r="H16" s="7" t="s">
        <v>388</v>
      </c>
      <c r="I16" s="6" t="s">
        <v>170</v>
      </c>
      <c r="J16" s="11">
        <f>COUNTIF('Keyword Master Database'!$X$2:$X$242,A16)</f>
        <v>3</v>
      </c>
      <c r="K16" s="13">
        <f>SUMIF('Keyword Master Database'!$X$2:$X$242,A16,'Keyword Master Database'!$H$2:$H$242)</f>
        <v>93690</v>
      </c>
    </row>
    <row r="17">
      <c r="A17" s="8" t="s">
        <v>611</v>
      </c>
      <c r="B17" s="8" t="s">
        <v>264</v>
      </c>
      <c r="C17" s="8" t="s">
        <v>259</v>
      </c>
      <c r="D17" s="8" t="s">
        <v>612</v>
      </c>
      <c r="E17" s="20" t="str">
        <f t="array" ref="E17">INDEX('Keyword Master Database'!$E$2:$E$242,MATCH(C17,'Keyword Master Database'!$A$2:$A$242,0))</f>
        <v>Transactional</v>
      </c>
      <c r="F17" s="20" t="str">
        <f t="array" ref="F17">INDEX('Keyword Master Database'!$F$2:$F$242,MATCH(C17,'Keyword Master Database'!$A$2:$A$242,0))</f>
        <v>BOFU</v>
      </c>
      <c r="G17" s="9" t="s">
        <v>441</v>
      </c>
      <c r="H17" s="9" t="s">
        <v>388</v>
      </c>
      <c r="I17" s="8" t="s">
        <v>614</v>
      </c>
      <c r="J17" s="20">
        <f>COUNTIF('Keyword Master Database'!$X$2:$X$242,A17)</f>
        <v>6</v>
      </c>
      <c r="K17" s="22">
        <f>SUMIF('Keyword Master Database'!$X$2:$X$242,A17,'Keyword Master Database'!$H$2:$H$242)</f>
        <v>213470</v>
      </c>
    </row>
    <row r="18">
      <c r="A18" s="6" t="s">
        <v>615</v>
      </c>
      <c r="B18" s="6" t="s">
        <v>278</v>
      </c>
      <c r="C18" s="6" t="s">
        <v>272</v>
      </c>
      <c r="D18" s="6" t="s">
        <v>616</v>
      </c>
      <c r="E18" s="11" t="str">
        <f t="array" ref="E18">INDEX('Keyword Master Database'!$E$2:$E$242,MATCH(C18,'Keyword Master Database'!$A$2:$A$242,0))</f>
        <v>Transactional</v>
      </c>
      <c r="F18" s="11" t="str">
        <f t="array" ref="F18">INDEX('Keyword Master Database'!$F$2:$F$242,MATCH(C18,'Keyword Master Database'!$A$2:$A$242,0))</f>
        <v>BOFU</v>
      </c>
      <c r="G18" s="7" t="s">
        <v>441</v>
      </c>
      <c r="H18" s="7" t="s">
        <v>388</v>
      </c>
      <c r="I18" s="6" t="s">
        <v>170</v>
      </c>
      <c r="J18" s="11">
        <f>COUNTIF('Keyword Master Database'!$X$2:$X$242,A18)</f>
        <v>9</v>
      </c>
      <c r="K18" s="13">
        <f>SUMIF('Keyword Master Database'!$X$2:$X$242,A18,'Keyword Master Database'!$H$2:$H$242)</f>
        <v>17930</v>
      </c>
    </row>
    <row r="19">
      <c r="A19" s="8" t="s">
        <v>619</v>
      </c>
      <c r="B19" s="8" t="s">
        <v>620</v>
      </c>
      <c r="C19" s="8" t="s">
        <v>621</v>
      </c>
      <c r="D19" s="8" t="s">
        <v>622</v>
      </c>
      <c r="E19" s="20" t="str">
        <f t="array" ref="E19">INDEX('Keyword Master Database'!$E$2:$E$242,MATCH(C19,'Keyword Master Database'!$A$2:$A$242,0))</f>
        <v>Transactional</v>
      </c>
      <c r="F19" s="20" t="str">
        <f t="array" ref="F19">INDEX('Keyword Master Database'!$F$2:$F$242,MATCH(C19,'Keyword Master Database'!$A$2:$A$242,0))</f>
        <v>BOFU</v>
      </c>
      <c r="G19" s="9" t="s">
        <v>441</v>
      </c>
      <c r="H19" s="9" t="s">
        <v>388</v>
      </c>
      <c r="I19" s="8" t="s">
        <v>170</v>
      </c>
      <c r="J19" s="20">
        <f>COUNTIF('Keyword Master Database'!$X$2:$X$242,A19)</f>
        <v>2</v>
      </c>
      <c r="K19" s="22">
        <f>SUMIF('Keyword Master Database'!$X$2:$X$242,A19,'Keyword Master Database'!$H$2:$H$242)</f>
        <v>2420</v>
      </c>
    </row>
    <row r="20">
      <c r="A20" s="6" t="s">
        <v>625</v>
      </c>
      <c r="B20" s="6" t="s">
        <v>345</v>
      </c>
      <c r="C20" s="6" t="s">
        <v>341</v>
      </c>
      <c r="D20" s="6" t="s">
        <v>342</v>
      </c>
      <c r="E20" s="11" t="str">
        <f t="array" ref="E20">INDEX('Keyword Master Database'!$E$2:$E$242,MATCH(C20,'Keyword Master Database'!$A$2:$A$242,0))</f>
        <v>Transactional</v>
      </c>
      <c r="F20" s="11" t="str">
        <f t="array" ref="F20">INDEX('Keyword Master Database'!$F$2:$F$242,MATCH(C20,'Keyword Master Database'!$A$2:$A$242,0))</f>
        <v>BOFU</v>
      </c>
      <c r="G20" s="7" t="s">
        <v>441</v>
      </c>
      <c r="H20" s="7" t="s">
        <v>388</v>
      </c>
      <c r="I20" s="6" t="s">
        <v>632</v>
      </c>
      <c r="J20" s="11">
        <f>COUNTIF('Keyword Master Database'!$X$2:$X$242,A20)</f>
        <v>5</v>
      </c>
      <c r="K20" s="13">
        <f>SUMIF('Keyword Master Database'!$X$2:$X$242,A20,'Keyword Master Database'!$H$2:$H$242)</f>
        <v>22700</v>
      </c>
    </row>
    <row r="21" ht="15.75" customHeight="1">
      <c r="A21" s="8" t="s">
        <v>633</v>
      </c>
      <c r="B21" s="8" t="s">
        <v>319</v>
      </c>
      <c r="C21" s="8" t="s">
        <v>309</v>
      </c>
      <c r="D21" s="8" t="s">
        <v>634</v>
      </c>
      <c r="E21" s="20" t="str">
        <f t="array" ref="E21">INDEX('Keyword Master Database'!$E$2:$E$242,MATCH(C21,'Keyword Master Database'!$A$2:$A$242,0))</f>
        <v>Transactional</v>
      </c>
      <c r="F21" s="20" t="str">
        <f t="array" ref="F21">INDEX('Keyword Master Database'!$F$2:$F$242,MATCH(C21,'Keyword Master Database'!$A$2:$A$242,0))</f>
        <v>BOFU</v>
      </c>
      <c r="G21" s="9" t="s">
        <v>441</v>
      </c>
      <c r="H21" s="9" t="s">
        <v>388</v>
      </c>
      <c r="I21" s="8" t="s">
        <v>170</v>
      </c>
      <c r="J21" s="20">
        <f>COUNTIF('Keyword Master Database'!$X$2:$X$242,A21)</f>
        <v>6</v>
      </c>
      <c r="K21" s="22">
        <f>SUMIF('Keyword Master Database'!$X$2:$X$242,A21,'Keyword Master Database'!$H$2:$H$242)</f>
        <v>61830</v>
      </c>
    </row>
    <row r="22" ht="15.75" customHeight="1">
      <c r="A22" s="6" t="s">
        <v>646</v>
      </c>
      <c r="B22" s="6" t="s">
        <v>338</v>
      </c>
      <c r="C22" s="6" t="s">
        <v>334</v>
      </c>
      <c r="D22" s="6" t="s">
        <v>647</v>
      </c>
      <c r="E22" s="11" t="str">
        <f t="array" ref="E22">INDEX('Keyword Master Database'!$E$2:$E$242,MATCH(C22,'Keyword Master Database'!$A$2:$A$242,0))</f>
        <v>Transactional</v>
      </c>
      <c r="F22" s="11" t="str">
        <f t="array" ref="F22">INDEX('Keyword Master Database'!$F$2:$F$242,MATCH(C22,'Keyword Master Database'!$A$2:$A$242,0))</f>
        <v>BOFU</v>
      </c>
      <c r="G22" s="7" t="s">
        <v>441</v>
      </c>
      <c r="H22" s="7" t="s">
        <v>388</v>
      </c>
      <c r="I22" s="6" t="s">
        <v>170</v>
      </c>
      <c r="J22" s="11">
        <f>COUNTIF('Keyword Master Database'!$X$2:$X$242,A22)</f>
        <v>4</v>
      </c>
      <c r="K22" s="13">
        <f>SUMIF('Keyword Master Database'!$X$2:$X$242,A22,'Keyword Master Database'!$H$2:$H$242)</f>
        <v>2860</v>
      </c>
    </row>
    <row r="23" ht="15.75" customHeight="1">
      <c r="A23" s="8" t="s">
        <v>436</v>
      </c>
      <c r="B23" s="8" t="s">
        <v>132</v>
      </c>
      <c r="C23" s="8" t="s">
        <v>123</v>
      </c>
      <c r="D23" s="8" t="s">
        <v>650</v>
      </c>
      <c r="E23" s="20" t="str">
        <f t="array" ref="E23">INDEX('Keyword Master Database'!$E$2:$E$242,MATCH(C23,'Keyword Master Database'!$A$2:$A$242,0))</f>
        <v>Commercial</v>
      </c>
      <c r="F23" s="20" t="str">
        <f t="array" ref="F23">INDEX('Keyword Master Database'!$F$2:$F$242,MATCH(C23,'Keyword Master Database'!$A$2:$A$242,0))</f>
        <v>MOFU</v>
      </c>
      <c r="G23" s="9" t="s">
        <v>441</v>
      </c>
      <c r="H23" s="9" t="s">
        <v>388</v>
      </c>
      <c r="I23" s="8" t="s">
        <v>653</v>
      </c>
      <c r="J23" s="20">
        <f>COUNTIF('Keyword Master Database'!$X$2:$X$242,A23)</f>
        <v>9</v>
      </c>
      <c r="K23" s="22">
        <f>SUMIF('Keyword Master Database'!$X$2:$X$242,A23,'Keyword Master Database'!$H$2:$H$242)</f>
        <v>33690</v>
      </c>
    </row>
    <row r="24" ht="15.75" customHeight="1">
      <c r="A24" s="6" t="s">
        <v>459</v>
      </c>
      <c r="B24" s="6" t="s">
        <v>660</v>
      </c>
      <c r="C24" s="6" t="s">
        <v>450</v>
      </c>
      <c r="D24" s="6" t="s">
        <v>663</v>
      </c>
      <c r="E24" s="11" t="str">
        <f t="array" ref="E24">INDEX('Keyword Master Database'!$E$2:$E$242,MATCH(C24,'Keyword Master Database'!$A$2:$A$242,0))</f>
        <v>Commercial</v>
      </c>
      <c r="F24" s="11" t="str">
        <f t="array" ref="F24">INDEX('Keyword Master Database'!$F$2:$F$242,MATCH(C24,'Keyword Master Database'!$A$2:$A$242,0))</f>
        <v>MOFU</v>
      </c>
      <c r="G24" s="7" t="s">
        <v>441</v>
      </c>
      <c r="H24" s="7" t="s">
        <v>388</v>
      </c>
      <c r="I24" s="6" t="s">
        <v>673</v>
      </c>
      <c r="J24" s="11">
        <f>COUNTIF('Keyword Master Database'!$X$2:$X$242,A24)</f>
        <v>2</v>
      </c>
      <c r="K24" s="13">
        <f>SUMIF('Keyword Master Database'!$X$2:$X$242,A24,'Keyword Master Database'!$H$2:$H$242)</f>
        <v>50</v>
      </c>
    </row>
    <row r="25" ht="15.75" customHeight="1">
      <c r="A25" s="8" t="s">
        <v>637</v>
      </c>
      <c r="B25" s="8" t="s">
        <v>351</v>
      </c>
      <c r="C25" s="8" t="s">
        <v>347</v>
      </c>
      <c r="D25" s="8" t="s">
        <v>681</v>
      </c>
      <c r="E25" s="20" t="str">
        <f t="array" ref="E25">INDEX('Keyword Master Database'!$E$2:$E$242,MATCH(C25,'Keyword Master Database'!$A$2:$A$242,0))</f>
        <v>Transactional</v>
      </c>
      <c r="F25" s="20" t="str">
        <f t="array" ref="F25">INDEX('Keyword Master Database'!$F$2:$F$242,MATCH(C25,'Keyword Master Database'!$A$2:$A$242,0))</f>
        <v>BOFU</v>
      </c>
      <c r="G25" s="9" t="s">
        <v>441</v>
      </c>
      <c r="H25" s="9" t="s">
        <v>388</v>
      </c>
      <c r="I25" s="8" t="s">
        <v>170</v>
      </c>
      <c r="J25" s="20">
        <f>COUNTIF('Keyword Master Database'!$X$2:$X$242,A25)</f>
        <v>8</v>
      </c>
      <c r="K25" s="22">
        <f>SUMIF('Keyword Master Database'!$X$2:$X$242,A25,'Keyword Master Database'!$H$2:$H$242)</f>
        <v>390</v>
      </c>
    </row>
    <row r="26" ht="15.75" customHeight="1">
      <c r="A26" s="6" t="s">
        <v>417</v>
      </c>
      <c r="B26" s="6" t="s">
        <v>685</v>
      </c>
      <c r="C26" s="6" t="s">
        <v>411</v>
      </c>
      <c r="D26" s="6" t="s">
        <v>517</v>
      </c>
      <c r="E26" s="11" t="str">
        <f t="array" ref="E26">INDEX('Keyword Master Database'!$E$2:$E$242,MATCH(C26,'Keyword Master Database'!$A$2:$A$242,0))</f>
        <v>Transactional</v>
      </c>
      <c r="F26" s="11" t="str">
        <f t="array" ref="F26">INDEX('Keyword Master Database'!$F$2:$F$242,MATCH(C26,'Keyword Master Database'!$A$2:$A$242,0))</f>
        <v>BOFU</v>
      </c>
      <c r="G26" s="7" t="s">
        <v>441</v>
      </c>
      <c r="H26" s="7" t="s">
        <v>388</v>
      </c>
      <c r="I26" s="6" t="s">
        <v>170</v>
      </c>
      <c r="J26" s="11">
        <f>COUNTIF('Keyword Master Database'!$X$2:$X$242,A26)</f>
        <v>1</v>
      </c>
      <c r="K26" s="13">
        <f>SUMIF('Keyword Master Database'!$X$2:$X$242,A26,'Keyword Master Database'!$H$2:$H$242)</f>
        <v>40</v>
      </c>
    </row>
    <row r="27" ht="15.75" customHeight="1">
      <c r="A27" s="8" t="s">
        <v>652</v>
      </c>
      <c r="B27" s="8" t="s">
        <v>691</v>
      </c>
      <c r="C27" s="8" t="s">
        <v>354</v>
      </c>
      <c r="D27" s="8" t="s">
        <v>692</v>
      </c>
      <c r="E27" s="20" t="str">
        <f t="array" ref="E27">INDEX('Keyword Master Database'!$E$2:$E$242,MATCH(C27,'Keyword Master Database'!$A$2:$A$242,0))</f>
        <v>Transactional</v>
      </c>
      <c r="F27" s="20" t="str">
        <f t="array" ref="F27">INDEX('Keyword Master Database'!$F$2:$F$242,MATCH(C27,'Keyword Master Database'!$A$2:$A$242,0))</f>
        <v>BOFU</v>
      </c>
      <c r="G27" s="9" t="s">
        <v>441</v>
      </c>
      <c r="H27" s="9" t="s">
        <v>388</v>
      </c>
      <c r="I27" s="8" t="s">
        <v>170</v>
      </c>
      <c r="J27" s="20">
        <f>COUNTIF('Keyword Master Database'!$X$2:$X$242,A27)</f>
        <v>2</v>
      </c>
      <c r="K27" s="22">
        <f>SUMIF('Keyword Master Database'!$X$2:$X$242,A27,'Keyword Master Database'!$H$2:$H$242)</f>
        <v>130</v>
      </c>
    </row>
    <row r="28" ht="15.75" customHeight="1">
      <c r="A28" s="6" t="s">
        <v>654</v>
      </c>
      <c r="B28" s="6" t="s">
        <v>696</v>
      </c>
      <c r="C28" s="6" t="s">
        <v>655</v>
      </c>
      <c r="D28" s="6" t="s">
        <v>517</v>
      </c>
      <c r="E28" s="11" t="str">
        <f t="array" ref="E28">INDEX('Keyword Master Database'!$E$2:$E$242,MATCH(C28,'Keyword Master Database'!$A$2:$A$242,0))</f>
        <v>Transactional</v>
      </c>
      <c r="F28" s="11" t="str">
        <f t="array" ref="F28">INDEX('Keyword Master Database'!$F$2:$F$242,MATCH(C28,'Keyword Master Database'!$A$2:$A$242,0))</f>
        <v>BOFU</v>
      </c>
      <c r="G28" s="7" t="s">
        <v>441</v>
      </c>
      <c r="H28" s="7" t="s">
        <v>388</v>
      </c>
      <c r="I28" s="6" t="s">
        <v>170</v>
      </c>
      <c r="J28" s="11">
        <f>COUNTIF('Keyword Master Database'!$X$2:$X$242,A28)</f>
        <v>1</v>
      </c>
      <c r="K28" s="13">
        <f>SUMIF('Keyword Master Database'!$X$2:$X$242,A28,'Keyword Master Database'!$H$2:$H$242)</f>
        <v>70</v>
      </c>
    </row>
    <row r="29" ht="15.75" customHeight="1">
      <c r="A29" s="8" t="s">
        <v>656</v>
      </c>
      <c r="B29" s="8" t="s">
        <v>707</v>
      </c>
      <c r="C29" s="8" t="s">
        <v>657</v>
      </c>
      <c r="D29" s="8" t="s">
        <v>708</v>
      </c>
      <c r="E29" s="20" t="str">
        <f t="array" ref="E29">INDEX('Keyword Master Database'!$E$2:$E$242,MATCH(C29,'Keyword Master Database'!$A$2:$A$242,0))</f>
        <v>Transactional</v>
      </c>
      <c r="F29" s="20" t="str">
        <f t="array" ref="F29">INDEX('Keyword Master Database'!$F$2:$F$242,MATCH(C29,'Keyword Master Database'!$A$2:$A$242,0))</f>
        <v>BOFU</v>
      </c>
      <c r="G29" s="9" t="s">
        <v>441</v>
      </c>
      <c r="H29" s="9" t="s">
        <v>388</v>
      </c>
      <c r="I29" s="8" t="s">
        <v>170</v>
      </c>
      <c r="J29" s="20">
        <f>COUNTIF('Keyword Master Database'!$X$2:$X$242,A29)</f>
        <v>2</v>
      </c>
      <c r="K29" s="22">
        <f>SUMIF('Keyword Master Database'!$X$2:$X$242,A29,'Keyword Master Database'!$H$2:$H$242)</f>
        <v>90</v>
      </c>
    </row>
    <row r="30" ht="15.75" customHeight="1">
      <c r="A30" s="6" t="s">
        <v>658</v>
      </c>
      <c r="B30" s="6" t="s">
        <v>719</v>
      </c>
      <c r="C30" s="6" t="s">
        <v>659</v>
      </c>
      <c r="D30" s="6" t="s">
        <v>517</v>
      </c>
      <c r="E30" s="11" t="str">
        <f t="array" ref="E30">INDEX('Keyword Master Database'!$E$2:$E$242,MATCH(C30,'Keyword Master Database'!$A$2:$A$242,0))</f>
        <v>Transactional</v>
      </c>
      <c r="F30" s="11" t="str">
        <f t="array" ref="F30">INDEX('Keyword Master Database'!$F$2:$F$242,MATCH(C30,'Keyword Master Database'!$A$2:$A$242,0))</f>
        <v>BOFU</v>
      </c>
      <c r="G30" s="7" t="s">
        <v>441</v>
      </c>
      <c r="H30" s="7" t="s">
        <v>388</v>
      </c>
      <c r="I30" s="6" t="s">
        <v>170</v>
      </c>
      <c r="J30" s="11">
        <f>COUNTIF('Keyword Master Database'!$X$2:$X$242,A30)</f>
        <v>1</v>
      </c>
      <c r="K30" s="13">
        <f>SUMIF('Keyword Master Database'!$X$2:$X$242,A30,'Keyword Master Database'!$H$2:$H$242)</f>
        <v>40</v>
      </c>
    </row>
    <row r="31" ht="15.75" customHeight="1">
      <c r="A31" s="8" t="s">
        <v>661</v>
      </c>
      <c r="B31" s="8" t="s">
        <v>732</v>
      </c>
      <c r="C31" s="8" t="s">
        <v>662</v>
      </c>
      <c r="D31" s="8" t="s">
        <v>517</v>
      </c>
      <c r="E31" s="20" t="str">
        <f t="array" ref="E31">INDEX('Keyword Master Database'!$E$2:$E$242,MATCH(C31,'Keyword Master Database'!$A$2:$A$242,0))</f>
        <v>Transactional</v>
      </c>
      <c r="F31" s="20" t="str">
        <f t="array" ref="F31">INDEX('Keyword Master Database'!$F$2:$F$242,MATCH(C31,'Keyword Master Database'!$A$2:$A$242,0))</f>
        <v>BOFU</v>
      </c>
      <c r="G31" s="9" t="s">
        <v>441</v>
      </c>
      <c r="H31" s="9" t="s">
        <v>388</v>
      </c>
      <c r="I31" s="8" t="s">
        <v>170</v>
      </c>
      <c r="J31" s="20">
        <f>COUNTIF('Keyword Master Database'!$X$2:$X$242,A31)</f>
        <v>1</v>
      </c>
      <c r="K31" s="22">
        <f>SUMIF('Keyword Master Database'!$X$2:$X$242,A31,'Keyword Master Database'!$H$2:$H$242)</f>
        <v>30</v>
      </c>
    </row>
    <row r="32" ht="15.75" customHeight="1">
      <c r="A32" s="6" t="s">
        <v>665</v>
      </c>
      <c r="B32" s="6" t="s">
        <v>746</v>
      </c>
      <c r="C32" s="6" t="s">
        <v>666</v>
      </c>
      <c r="D32" s="6" t="s">
        <v>517</v>
      </c>
      <c r="E32" s="11" t="str">
        <f t="array" ref="E32">INDEX('Keyword Master Database'!$E$2:$E$242,MATCH(C32,'Keyword Master Database'!$A$2:$A$242,0))</f>
        <v>Transactional</v>
      </c>
      <c r="F32" s="11" t="str">
        <f t="array" ref="F32">INDEX('Keyword Master Database'!$F$2:$F$242,MATCH(C32,'Keyword Master Database'!$A$2:$A$242,0))</f>
        <v>BOFU</v>
      </c>
      <c r="G32" s="7" t="s">
        <v>441</v>
      </c>
      <c r="H32" s="7" t="s">
        <v>388</v>
      </c>
      <c r="I32" s="6" t="s">
        <v>170</v>
      </c>
      <c r="J32" s="11">
        <f>COUNTIF('Keyword Master Database'!$X$2:$X$242,A32)</f>
        <v>1</v>
      </c>
      <c r="K32" s="13">
        <f>SUMIF('Keyword Master Database'!$X$2:$X$242,A32,'Keyword Master Database'!$H$2:$H$242)</f>
        <v>30</v>
      </c>
    </row>
    <row r="33" ht="15.75" customHeight="1">
      <c r="A33" s="8" t="s">
        <v>667</v>
      </c>
      <c r="B33" s="8" t="s">
        <v>758</v>
      </c>
      <c r="C33" s="8" t="s">
        <v>668</v>
      </c>
      <c r="D33" s="8" t="s">
        <v>759</v>
      </c>
      <c r="E33" s="20" t="str">
        <f t="array" ref="E33">INDEX('Keyword Master Database'!$E$2:$E$242,MATCH(C33,'Keyword Master Database'!$A$2:$A$242,0))</f>
        <v>Transactional</v>
      </c>
      <c r="F33" s="20" t="str">
        <f t="array" ref="F33">INDEX('Keyword Master Database'!$F$2:$F$242,MATCH(C33,'Keyword Master Database'!$A$2:$A$242,0))</f>
        <v>BOFU</v>
      </c>
      <c r="G33" s="9" t="s">
        <v>441</v>
      </c>
      <c r="H33" s="9" t="s">
        <v>388</v>
      </c>
      <c r="I33" s="8" t="s">
        <v>170</v>
      </c>
      <c r="J33" s="20">
        <f>COUNTIF('Keyword Master Database'!$X$2:$X$242,A33)</f>
        <v>2</v>
      </c>
      <c r="K33" s="22">
        <f>SUMIF('Keyword Master Database'!$X$2:$X$242,A33,'Keyword Master Database'!$H$2:$H$242)</f>
        <v>160</v>
      </c>
    </row>
    <row r="34" ht="15.75" customHeight="1">
      <c r="A34" s="6" t="s">
        <v>669</v>
      </c>
      <c r="B34" s="6" t="s">
        <v>769</v>
      </c>
      <c r="C34" s="6" t="s">
        <v>670</v>
      </c>
      <c r="D34" s="6" t="s">
        <v>517</v>
      </c>
      <c r="E34" s="11" t="str">
        <f t="array" ref="E34">INDEX('Keyword Master Database'!$E$2:$E$242,MATCH(C34,'Keyword Master Database'!$A$2:$A$242,0))</f>
        <v>Transactional</v>
      </c>
      <c r="F34" s="11" t="str">
        <f t="array" ref="F34">INDEX('Keyword Master Database'!$F$2:$F$242,MATCH(C34,'Keyword Master Database'!$A$2:$A$242,0))</f>
        <v>BOFU</v>
      </c>
      <c r="G34" s="7" t="s">
        <v>441</v>
      </c>
      <c r="H34" s="7" t="s">
        <v>388</v>
      </c>
      <c r="I34" s="6" t="s">
        <v>170</v>
      </c>
      <c r="J34" s="11">
        <f>COUNTIF('Keyword Master Database'!$X$2:$X$242,A34)</f>
        <v>1</v>
      </c>
      <c r="K34" s="13">
        <f>SUMIF('Keyword Master Database'!$X$2:$X$242,A34,'Keyword Master Database'!$H$2:$H$242)</f>
        <v>70</v>
      </c>
    </row>
    <row r="35" ht="15.75" customHeight="1">
      <c r="A35" s="8" t="s">
        <v>671</v>
      </c>
      <c r="B35" s="8" t="s">
        <v>770</v>
      </c>
      <c r="C35" s="8" t="s">
        <v>672</v>
      </c>
      <c r="D35" s="8" t="s">
        <v>771</v>
      </c>
      <c r="E35" s="20" t="str">
        <f t="array" ref="E35">INDEX('Keyword Master Database'!$E$2:$E$242,MATCH(C35,'Keyword Master Database'!$A$2:$A$242,0))</f>
        <v>Transactional</v>
      </c>
      <c r="F35" s="20" t="str">
        <f t="array" ref="F35">INDEX('Keyword Master Database'!$F$2:$F$242,MATCH(C35,'Keyword Master Database'!$A$2:$A$242,0))</f>
        <v>BOFU</v>
      </c>
      <c r="G35" s="9" t="s">
        <v>441</v>
      </c>
      <c r="H35" s="9" t="s">
        <v>388</v>
      </c>
      <c r="I35" s="8" t="s">
        <v>170</v>
      </c>
      <c r="J35" s="20">
        <f>COUNTIF('Keyword Master Database'!$X$2:$X$242,A35)</f>
        <v>2</v>
      </c>
      <c r="K35" s="22">
        <f>SUMIF('Keyword Master Database'!$X$2:$X$242,A35,'Keyword Master Database'!$H$2:$H$242)</f>
        <v>290</v>
      </c>
    </row>
    <row r="36" ht="15.75" customHeight="1">
      <c r="A36" s="6" t="s">
        <v>674</v>
      </c>
      <c r="B36" s="6" t="s">
        <v>773</v>
      </c>
      <c r="C36" s="6" t="s">
        <v>675</v>
      </c>
      <c r="D36" s="6" t="s">
        <v>517</v>
      </c>
      <c r="E36" s="11" t="str">
        <f t="array" ref="E36">INDEX('Keyword Master Database'!$E$2:$E$242,MATCH(C36,'Keyword Master Database'!$A$2:$A$242,0))</f>
        <v>Transactional</v>
      </c>
      <c r="F36" s="11" t="str">
        <f t="array" ref="F36">INDEX('Keyword Master Database'!$F$2:$F$242,MATCH(C36,'Keyword Master Database'!$A$2:$A$242,0))</f>
        <v>BOFU</v>
      </c>
      <c r="G36" s="7" t="s">
        <v>441</v>
      </c>
      <c r="H36" s="7" t="s">
        <v>388</v>
      </c>
      <c r="I36" s="6" t="s">
        <v>170</v>
      </c>
      <c r="J36" s="11">
        <f>COUNTIF('Keyword Master Database'!$X$2:$X$242,A36)</f>
        <v>1</v>
      </c>
      <c r="K36" s="13">
        <f>SUMIF('Keyword Master Database'!$X$2:$X$242,A36,'Keyword Master Database'!$H$2:$H$242)</f>
        <v>70</v>
      </c>
    </row>
    <row r="37" ht="15.75" customHeight="1">
      <c r="A37" s="8" t="s">
        <v>676</v>
      </c>
      <c r="B37" s="8" t="s">
        <v>780</v>
      </c>
      <c r="C37" s="8" t="s">
        <v>677</v>
      </c>
      <c r="D37" s="8" t="s">
        <v>517</v>
      </c>
      <c r="E37" s="20" t="str">
        <f t="array" ref="E37">INDEX('Keyword Master Database'!$E$2:$E$242,MATCH(C37,'Keyword Master Database'!$A$2:$A$242,0))</f>
        <v>Transactional</v>
      </c>
      <c r="F37" s="20" t="str">
        <f t="array" ref="F37">INDEX('Keyword Master Database'!$F$2:$F$242,MATCH(C37,'Keyword Master Database'!$A$2:$A$242,0))</f>
        <v>BOFU</v>
      </c>
      <c r="G37" s="9" t="s">
        <v>441</v>
      </c>
      <c r="H37" s="9" t="s">
        <v>388</v>
      </c>
      <c r="I37" s="8" t="s">
        <v>170</v>
      </c>
      <c r="J37" s="20">
        <f>COUNTIF('Keyword Master Database'!$X$2:$X$242,A37)</f>
        <v>1</v>
      </c>
      <c r="K37" s="22">
        <f>SUMIF('Keyword Master Database'!$X$2:$X$242,A37,'Keyword Master Database'!$H$2:$H$242)</f>
        <v>30</v>
      </c>
    </row>
    <row r="38" ht="15.75" customHeight="1">
      <c r="A38" s="6" t="s">
        <v>640</v>
      </c>
      <c r="B38" s="6" t="s">
        <v>791</v>
      </c>
      <c r="C38" s="6" t="s">
        <v>641</v>
      </c>
      <c r="D38" s="6" t="s">
        <v>517</v>
      </c>
      <c r="E38" s="11" t="str">
        <f t="array" ref="E38">INDEX('Keyword Master Database'!$E$2:$E$242,MATCH(C38,'Keyword Master Database'!$A$2:$A$242,0))</f>
        <v>Commercial</v>
      </c>
      <c r="F38" s="11" t="str">
        <f t="array" ref="F38">INDEX('Keyword Master Database'!$F$2:$F$242,MATCH(C38,'Keyword Master Database'!$A$2:$A$242,0))</f>
        <v>MOFU</v>
      </c>
      <c r="G38" s="7" t="s">
        <v>441</v>
      </c>
      <c r="H38" s="7" t="s">
        <v>388</v>
      </c>
      <c r="I38" s="6" t="s">
        <v>170</v>
      </c>
      <c r="J38" s="11">
        <f>COUNTIF('Keyword Master Database'!$X$2:$X$242,A38)</f>
        <v>1</v>
      </c>
      <c r="K38" s="13">
        <f>SUMIF('Keyword Master Database'!$X$2:$X$242,A38,'Keyword Master Database'!$H$2:$H$242)</f>
        <v>30</v>
      </c>
    </row>
    <row r="39" ht="15.75" customHeight="1">
      <c r="A39" s="8" t="s">
        <v>678</v>
      </c>
      <c r="B39" s="8" t="s">
        <v>793</v>
      </c>
      <c r="C39" s="8" t="s">
        <v>680</v>
      </c>
      <c r="D39" s="8" t="s">
        <v>517</v>
      </c>
      <c r="E39" s="20" t="str">
        <f t="array" ref="E39">INDEX('Keyword Master Database'!$E$2:$E$242,MATCH(C39,'Keyword Master Database'!$A$2:$A$242,0))</f>
        <v>Navigational</v>
      </c>
      <c r="F39" s="20" t="str">
        <f t="array" ref="F39">INDEX('Keyword Master Database'!$F$2:$F$242,MATCH(C39,'Keyword Master Database'!$A$2:$A$242,0))</f>
        <v>MOFU</v>
      </c>
      <c r="G39" s="9" t="s">
        <v>441</v>
      </c>
      <c r="H39" s="9" t="s">
        <v>388</v>
      </c>
      <c r="I39" s="8" t="s">
        <v>170</v>
      </c>
      <c r="J39" s="20">
        <f>COUNTIF('Keyword Master Database'!$X$2:$X$242,A39)</f>
        <v>1</v>
      </c>
      <c r="K39" s="22">
        <f>SUMIF('Keyword Master Database'!$X$2:$X$242,A39,'Keyword Master Database'!$H$2:$H$242)</f>
        <v>20</v>
      </c>
    </row>
    <row r="40" ht="15.75" customHeight="1">
      <c r="A40" s="6" t="s">
        <v>638</v>
      </c>
      <c r="B40" s="6" t="s">
        <v>795</v>
      </c>
      <c r="C40" s="6" t="s">
        <v>639</v>
      </c>
      <c r="D40" s="6" t="s">
        <v>517</v>
      </c>
      <c r="E40" s="11" t="str">
        <f t="array" ref="E40">INDEX('Keyword Master Database'!$E$2:$E$242,MATCH(C40,'Keyword Master Database'!$A$2:$A$242,0))</f>
        <v>Navigational</v>
      </c>
      <c r="F40" s="11" t="str">
        <f t="array" ref="F40">INDEX('Keyword Master Database'!$F$2:$F$242,MATCH(C40,'Keyword Master Database'!$A$2:$A$242,0))</f>
        <v>MOFU</v>
      </c>
      <c r="G40" s="7" t="s">
        <v>441</v>
      </c>
      <c r="H40" s="7" t="s">
        <v>388</v>
      </c>
      <c r="I40" s="6" t="s">
        <v>170</v>
      </c>
      <c r="J40" s="11">
        <f>COUNTIF('Keyword Master Database'!$X$2:$X$242,A40)</f>
        <v>1</v>
      </c>
      <c r="K40" s="13">
        <f>SUMIF('Keyword Master Database'!$X$2:$X$242,A40,'Keyword Master Database'!$H$2:$H$242)</f>
        <v>30</v>
      </c>
    </row>
    <row r="41" ht="15.75" customHeight="1">
      <c r="A41" s="8" t="s">
        <v>386</v>
      </c>
      <c r="B41" s="8" t="s">
        <v>796</v>
      </c>
      <c r="C41" s="8" t="s">
        <v>370</v>
      </c>
      <c r="D41" s="8" t="s">
        <v>392</v>
      </c>
      <c r="E41" s="20" t="str">
        <f t="array" ref="E41">INDEX('Keyword Master Database'!$E$2:$E$242,MATCH(C41,'Keyword Master Database'!$A$2:$A$242,0))</f>
        <v>Transactional</v>
      </c>
      <c r="F41" s="20" t="str">
        <f t="array" ref="F41">INDEX('Keyword Master Database'!$F$2:$F$242,MATCH(C41,'Keyword Master Database'!$A$2:$A$242,0))</f>
        <v>BOFU</v>
      </c>
      <c r="G41" s="9" t="s">
        <v>441</v>
      </c>
      <c r="H41" s="9" t="s">
        <v>388</v>
      </c>
      <c r="I41" s="8" t="s">
        <v>170</v>
      </c>
      <c r="J41" s="20">
        <f>COUNTIF('Keyword Master Database'!$X$2:$X$242,A41)</f>
        <v>2</v>
      </c>
      <c r="K41" s="22">
        <f>SUMIF('Keyword Master Database'!$X$2:$X$242,A41,'Keyword Master Database'!$H$2:$H$242)</f>
        <v>120</v>
      </c>
    </row>
    <row r="42" ht="15.75" customHeight="1">
      <c r="A42" s="6" t="s">
        <v>642</v>
      </c>
      <c r="B42" s="6" t="s">
        <v>803</v>
      </c>
      <c r="C42" s="6" t="s">
        <v>643</v>
      </c>
      <c r="D42" s="6" t="s">
        <v>804</v>
      </c>
      <c r="E42" s="11" t="str">
        <f t="array" ref="E42">INDEX('Keyword Master Database'!$E$2:$E$242,MATCH(C42,'Keyword Master Database'!$A$2:$A$242,0))</f>
        <v>Informational</v>
      </c>
      <c r="F42" s="11" t="str">
        <f t="array" ref="F42">INDEX('Keyword Master Database'!$F$2:$F$242,MATCH(C42,'Keyword Master Database'!$A$2:$A$242,0))</f>
        <v>TOFU</v>
      </c>
      <c r="G42" s="7" t="s">
        <v>441</v>
      </c>
      <c r="H42" s="7" t="s">
        <v>388</v>
      </c>
      <c r="I42" s="6" t="s">
        <v>170</v>
      </c>
      <c r="J42" s="11">
        <f>COUNTIF('Keyword Master Database'!$X$2:$X$242,A42)</f>
        <v>2</v>
      </c>
      <c r="K42" s="13">
        <f>SUMIF('Keyword Master Database'!$X$2:$X$242,A42,'Keyword Master Database'!$H$2:$H$242)</f>
        <v>30</v>
      </c>
    </row>
    <row r="43" ht="15.75" customHeight="1">
      <c r="A43" s="8" t="s">
        <v>694</v>
      </c>
      <c r="B43" s="8" t="s">
        <v>809</v>
      </c>
      <c r="C43" s="8" t="s">
        <v>690</v>
      </c>
      <c r="D43" s="8" t="s">
        <v>695</v>
      </c>
      <c r="E43" s="20" t="str">
        <f t="array" ref="E43">INDEX('Keyword Master Database'!$E$2:$E$242,MATCH(C43,'Keyword Master Database'!$A$2:$A$242,0))</f>
        <v>Informational</v>
      </c>
      <c r="F43" s="20" t="str">
        <f t="array" ref="F43">INDEX('Keyword Master Database'!$F$2:$F$242,MATCH(C43,'Keyword Master Database'!$A$2:$A$242,0))</f>
        <v>TOFU</v>
      </c>
      <c r="G43" s="9" t="s">
        <v>441</v>
      </c>
      <c r="H43" s="9" t="s">
        <v>388</v>
      </c>
      <c r="I43" s="8" t="s">
        <v>170</v>
      </c>
      <c r="J43" s="20">
        <f>COUNTIF('Keyword Master Database'!$X$2:$X$242,A43)</f>
        <v>2</v>
      </c>
      <c r="K43" s="22">
        <f>SUMIF('Keyword Master Database'!$X$2:$X$242,A43,'Keyword Master Database'!$H$2:$H$242)</f>
        <v>2020</v>
      </c>
    </row>
    <row r="44" ht="15.75" customHeight="1">
      <c r="A44" s="6" t="s">
        <v>701</v>
      </c>
      <c r="B44" s="6" t="s">
        <v>813</v>
      </c>
      <c r="C44" s="6" t="s">
        <v>702</v>
      </c>
      <c r="D44" s="6" t="s">
        <v>705</v>
      </c>
      <c r="E44" s="11" t="str">
        <f t="array" ref="E44">INDEX('Keyword Master Database'!$E$2:$E$242,MATCH(C44,'Keyword Master Database'!$A$2:$A$242,0))</f>
        <v>Commercial</v>
      </c>
      <c r="F44" s="11" t="str">
        <f t="array" ref="F44">INDEX('Keyword Master Database'!$F$2:$F$242,MATCH(C44,'Keyword Master Database'!$A$2:$A$242,0))</f>
        <v>MOFU</v>
      </c>
      <c r="G44" s="7" t="s">
        <v>441</v>
      </c>
      <c r="H44" s="7" t="s">
        <v>388</v>
      </c>
      <c r="I44" s="6" t="s">
        <v>170</v>
      </c>
      <c r="J44" s="11">
        <f>COUNTIF('Keyword Master Database'!$X$2:$X$242,A44)</f>
        <v>2</v>
      </c>
      <c r="K44" s="13">
        <f>SUMIF('Keyword Master Database'!$X$2:$X$242,A44,'Keyword Master Database'!$H$2:$H$242)</f>
        <v>1470</v>
      </c>
    </row>
    <row r="45" ht="15.75" customHeight="1">
      <c r="A45" s="8" t="s">
        <v>703</v>
      </c>
      <c r="B45" s="8" t="s">
        <v>816</v>
      </c>
      <c r="C45" s="8" t="s">
        <v>704</v>
      </c>
      <c r="D45" s="8" t="s">
        <v>817</v>
      </c>
      <c r="E45" s="20" t="str">
        <f t="array" ref="E45">INDEX('Keyword Master Database'!$E$2:$E$242,MATCH(C45,'Keyword Master Database'!$A$2:$A$242,0))</f>
        <v>Commercial</v>
      </c>
      <c r="F45" s="20" t="str">
        <f t="array" ref="F45">INDEX('Keyword Master Database'!$F$2:$F$242,MATCH(C45,'Keyword Master Database'!$A$2:$A$242,0))</f>
        <v>MOFU</v>
      </c>
      <c r="G45" s="9" t="s">
        <v>441</v>
      </c>
      <c r="H45" s="9" t="s">
        <v>388</v>
      </c>
      <c r="I45" s="8" t="s">
        <v>170</v>
      </c>
      <c r="J45" s="20">
        <f>COUNTIF('Keyword Master Database'!$X$2:$X$242,A45)</f>
        <v>3</v>
      </c>
      <c r="K45" s="22">
        <f>SUMIF('Keyword Master Database'!$X$2:$X$242,A45,'Keyword Master Database'!$H$2:$H$242)</f>
        <v>33100</v>
      </c>
    </row>
    <row r="46" ht="15.75" customHeight="1">
      <c r="A46" s="6" t="s">
        <v>527</v>
      </c>
      <c r="B46" s="6" t="s">
        <v>821</v>
      </c>
      <c r="C46" s="6" t="s">
        <v>522</v>
      </c>
      <c r="D46" s="6" t="s">
        <v>529</v>
      </c>
      <c r="E46" s="11" t="str">
        <f t="array" ref="E46">INDEX('Keyword Master Database'!$E$2:$E$242,MATCH(C46,'Keyword Master Database'!$A$2:$A$242,0))</f>
        <v>Informational</v>
      </c>
      <c r="F46" s="11" t="str">
        <f t="array" ref="F46">INDEX('Keyword Master Database'!$F$2:$F$242,MATCH(C46,'Keyword Master Database'!$A$2:$A$242,0))</f>
        <v>TOFU</v>
      </c>
      <c r="G46" s="7" t="s">
        <v>441</v>
      </c>
      <c r="H46" s="7" t="s">
        <v>388</v>
      </c>
      <c r="I46" s="6" t="s">
        <v>170</v>
      </c>
      <c r="J46" s="11">
        <f>COUNTIF('Keyword Master Database'!$X$2:$X$242,A46)</f>
        <v>2</v>
      </c>
      <c r="K46" s="13">
        <f>SUMIF('Keyword Master Database'!$X$2:$X$242,A46,'Keyword Master Database'!$H$2:$H$242)</f>
        <v>4500</v>
      </c>
    </row>
    <row r="47" ht="15.75" customHeight="1">
      <c r="A47" s="8" t="s">
        <v>706</v>
      </c>
      <c r="B47" s="8" t="s">
        <v>826</v>
      </c>
      <c r="C47" s="8" t="s">
        <v>709</v>
      </c>
      <c r="D47" s="8" t="s">
        <v>827</v>
      </c>
      <c r="E47" s="20" t="str">
        <f t="array" ref="E47">INDEX('Keyword Master Database'!$E$2:$E$242,MATCH(C47,'Keyword Master Database'!$A$2:$A$242,0))</f>
        <v>Informational</v>
      </c>
      <c r="F47" s="20" t="str">
        <f t="array" ref="F47">INDEX('Keyword Master Database'!$F$2:$F$242,MATCH(C47,'Keyword Master Database'!$A$2:$A$242,0))</f>
        <v>TOFU</v>
      </c>
      <c r="G47" s="9" t="s">
        <v>441</v>
      </c>
      <c r="H47" s="9" t="s">
        <v>388</v>
      </c>
      <c r="I47" s="8" t="s">
        <v>170</v>
      </c>
      <c r="J47" s="20">
        <f>COUNTIF('Keyword Master Database'!$X$2:$X$242,A47)</f>
        <v>4</v>
      </c>
      <c r="K47" s="22">
        <f>SUMIF('Keyword Master Database'!$X$2:$X$242,A47,'Keyword Master Database'!$H$2:$H$242)</f>
        <v>17900</v>
      </c>
    </row>
    <row r="48" ht="15.75" customHeight="1">
      <c r="A48" s="6" t="s">
        <v>710</v>
      </c>
      <c r="B48" s="6" t="s">
        <v>830</v>
      </c>
      <c r="C48" s="6" t="s">
        <v>711</v>
      </c>
      <c r="D48" s="6" t="s">
        <v>517</v>
      </c>
      <c r="E48" s="11" t="str">
        <f t="array" ref="E48">INDEX('Keyword Master Database'!$E$2:$E$242,MATCH(C48,'Keyword Master Database'!$A$2:$A$242,0))</f>
        <v>Informational</v>
      </c>
      <c r="F48" s="11" t="str">
        <f t="array" ref="F48">INDEX('Keyword Master Database'!$F$2:$F$242,MATCH(C48,'Keyword Master Database'!$A$2:$A$242,0))</f>
        <v>TOFU</v>
      </c>
      <c r="G48" s="7" t="s">
        <v>441</v>
      </c>
      <c r="H48" s="7" t="s">
        <v>388</v>
      </c>
      <c r="I48" s="6" t="s">
        <v>170</v>
      </c>
      <c r="J48" s="11">
        <f>COUNTIF('Keyword Master Database'!$X$2:$X$242,A48)</f>
        <v>1</v>
      </c>
      <c r="K48" s="13">
        <f>SUMIF('Keyword Master Database'!$X$2:$X$242,A48,'Keyword Master Database'!$H$2:$H$242)</f>
        <v>22200</v>
      </c>
    </row>
    <row r="49" ht="15.75" customHeight="1">
      <c r="A49" s="8" t="s">
        <v>712</v>
      </c>
      <c r="B49" s="8" t="s">
        <v>835</v>
      </c>
      <c r="C49" s="8" t="s">
        <v>205</v>
      </c>
      <c r="D49" s="8" t="s">
        <v>517</v>
      </c>
      <c r="E49" s="20" t="str">
        <f t="array" ref="E49">INDEX('Keyword Master Database'!$E$2:$E$242,MATCH(C49,'Keyword Master Database'!$A$2:$A$242,0))</f>
        <v>Informational</v>
      </c>
      <c r="F49" s="20" t="str">
        <f t="array" ref="F49">INDEX('Keyword Master Database'!$F$2:$F$242,MATCH(C49,'Keyword Master Database'!$A$2:$A$242,0))</f>
        <v>TOFU</v>
      </c>
      <c r="G49" s="9" t="s">
        <v>441</v>
      </c>
      <c r="H49" s="9" t="s">
        <v>388</v>
      </c>
      <c r="I49" s="8" t="s">
        <v>170</v>
      </c>
      <c r="J49" s="20">
        <f>COUNTIF('Keyword Master Database'!$X$2:$X$242,A49)</f>
        <v>1</v>
      </c>
      <c r="K49" s="22">
        <f>SUMIF('Keyword Master Database'!$X$2:$X$242,A49,'Keyword Master Database'!$H$2:$H$242)</f>
        <v>6600</v>
      </c>
    </row>
    <row r="50" ht="15.75" customHeight="1">
      <c r="A50" s="6" t="s">
        <v>713</v>
      </c>
      <c r="B50" s="6" t="s">
        <v>839</v>
      </c>
      <c r="C50" s="6" t="s">
        <v>715</v>
      </c>
      <c r="D50" s="6" t="s">
        <v>840</v>
      </c>
      <c r="E50" s="11" t="str">
        <f t="array" ref="E50">INDEX('Keyword Master Database'!$E$2:$E$242,MATCH(C50,'Keyword Master Database'!$A$2:$A$242,0))</f>
        <v>Commercial</v>
      </c>
      <c r="F50" s="11" t="str">
        <f t="array" ref="F50">INDEX('Keyword Master Database'!$F$2:$F$242,MATCH(C50,'Keyword Master Database'!$A$2:$A$242,0))</f>
        <v>MOFU</v>
      </c>
      <c r="G50" s="7" t="s">
        <v>441</v>
      </c>
      <c r="H50" s="7" t="s">
        <v>388</v>
      </c>
      <c r="I50" s="6" t="s">
        <v>170</v>
      </c>
      <c r="J50" s="11">
        <f>COUNTIF('Keyword Master Database'!$X$2:$X$242,A50)</f>
        <v>2</v>
      </c>
      <c r="K50" s="13">
        <f>SUMIF('Keyword Master Database'!$X$2:$X$242,A50,'Keyword Master Database'!$H$2:$H$242)</f>
        <v>12980</v>
      </c>
    </row>
    <row r="51" ht="15.75" customHeight="1">
      <c r="A51" s="8" t="s">
        <v>716</v>
      </c>
      <c r="B51" s="8" t="s">
        <v>849</v>
      </c>
      <c r="C51" s="8" t="s">
        <v>717</v>
      </c>
      <c r="D51" s="8" t="s">
        <v>850</v>
      </c>
      <c r="E51" s="20" t="str">
        <f t="array" ref="E51">INDEX('Keyword Master Database'!$E$2:$E$242,MATCH(C51,'Keyword Master Database'!$A$2:$A$242,0))</f>
        <v>Informational</v>
      </c>
      <c r="F51" s="20" t="str">
        <f t="array" ref="F51">INDEX('Keyword Master Database'!$F$2:$F$242,MATCH(C51,'Keyword Master Database'!$A$2:$A$242,0))</f>
        <v>TOFU</v>
      </c>
      <c r="G51" s="9" t="s">
        <v>441</v>
      </c>
      <c r="H51" s="9" t="s">
        <v>388</v>
      </c>
      <c r="I51" s="8" t="s">
        <v>170</v>
      </c>
      <c r="J51" s="20">
        <f>COUNTIF('Keyword Master Database'!$X$2:$X$242,A51)</f>
        <v>4</v>
      </c>
      <c r="K51" s="22">
        <f>SUMIF('Keyword Master Database'!$X$2:$X$242,A51,'Keyword Master Database'!$H$2:$H$242)</f>
        <v>14000</v>
      </c>
    </row>
    <row r="52" ht="15.75" customHeight="1">
      <c r="A52" s="6" t="s">
        <v>718</v>
      </c>
      <c r="B52" s="6" t="s">
        <v>855</v>
      </c>
      <c r="C52" s="6" t="s">
        <v>720</v>
      </c>
      <c r="D52" s="6" t="s">
        <v>517</v>
      </c>
      <c r="E52" s="11" t="str">
        <f t="array" ref="E52">INDEX('Keyword Master Database'!$E$2:$E$242,MATCH(C52,'Keyword Master Database'!$A$2:$A$242,0))</f>
        <v>Commercial</v>
      </c>
      <c r="F52" s="11" t="str">
        <f t="array" ref="F52">INDEX('Keyword Master Database'!$F$2:$F$242,MATCH(C52,'Keyword Master Database'!$A$2:$A$242,0))</f>
        <v>MOFU</v>
      </c>
      <c r="G52" s="7" t="s">
        <v>441</v>
      </c>
      <c r="H52" s="7" t="s">
        <v>388</v>
      </c>
      <c r="I52" s="6" t="s">
        <v>170</v>
      </c>
      <c r="J52" s="11">
        <f>COUNTIF('Keyword Master Database'!$X$2:$X$242,A52)</f>
        <v>1</v>
      </c>
      <c r="K52" s="13">
        <f>SUMIF('Keyword Master Database'!$X$2:$X$242,A52,'Keyword Master Database'!$H$2:$H$242)</f>
        <v>720</v>
      </c>
    </row>
    <row r="53" ht="15.75" customHeight="1">
      <c r="A53" s="8" t="s">
        <v>721</v>
      </c>
      <c r="B53" s="8" t="s">
        <v>865</v>
      </c>
      <c r="C53" s="8" t="s">
        <v>722</v>
      </c>
      <c r="D53" s="8" t="s">
        <v>825</v>
      </c>
      <c r="E53" s="20" t="str">
        <f t="array" ref="E53">INDEX('Keyword Master Database'!$E$2:$E$242,MATCH(C53,'Keyword Master Database'!$A$2:$A$242,0))</f>
        <v>Informational</v>
      </c>
      <c r="F53" s="20" t="str">
        <f t="array" ref="F53">INDEX('Keyword Master Database'!$F$2:$F$242,MATCH(C53,'Keyword Master Database'!$A$2:$A$242,0))</f>
        <v>TOFU</v>
      </c>
      <c r="G53" s="9" t="s">
        <v>441</v>
      </c>
      <c r="H53" s="9" t="s">
        <v>388</v>
      </c>
      <c r="I53" s="8" t="s">
        <v>170</v>
      </c>
      <c r="J53" s="20">
        <f>COUNTIF('Keyword Master Database'!$X$2:$X$242,A53)</f>
        <v>2</v>
      </c>
      <c r="K53" s="22">
        <f>SUMIF('Keyword Master Database'!$X$2:$X$242,A53,'Keyword Master Database'!$H$2:$H$242)</f>
        <v>2900</v>
      </c>
    </row>
    <row r="54" ht="15.75" customHeight="1">
      <c r="A54" s="6" t="s">
        <v>723</v>
      </c>
      <c r="B54" s="6" t="s">
        <v>870</v>
      </c>
      <c r="C54" s="6" t="s">
        <v>724</v>
      </c>
      <c r="D54" s="6" t="s">
        <v>872</v>
      </c>
      <c r="E54" s="11" t="str">
        <f t="array" ref="E54">INDEX('Keyword Master Database'!$E$2:$E$242,MATCH(C54,'Keyword Master Database'!$A$2:$A$242,0))</f>
        <v>Commercial</v>
      </c>
      <c r="F54" s="11" t="str">
        <f t="array" ref="F54">INDEX('Keyword Master Database'!$F$2:$F$242,MATCH(C54,'Keyword Master Database'!$A$2:$A$242,0))</f>
        <v>MOFU</v>
      </c>
      <c r="G54" s="7" t="s">
        <v>441</v>
      </c>
      <c r="H54" s="7" t="s">
        <v>388</v>
      </c>
      <c r="I54" s="6" t="s">
        <v>170</v>
      </c>
      <c r="J54" s="11">
        <f>COUNTIF('Keyword Master Database'!$X$2:$X$242,A54)</f>
        <v>5</v>
      </c>
      <c r="K54" s="13">
        <f>SUMIF('Keyword Master Database'!$X$2:$X$242,A54,'Keyword Master Database'!$H$2:$H$242)</f>
        <v>50800</v>
      </c>
    </row>
    <row r="55" ht="15.75" customHeight="1">
      <c r="A55" s="8" t="s">
        <v>725</v>
      </c>
      <c r="B55" s="8" t="s">
        <v>879</v>
      </c>
      <c r="C55" s="8" t="s">
        <v>726</v>
      </c>
      <c r="D55" s="8" t="s">
        <v>517</v>
      </c>
      <c r="E55" s="20" t="str">
        <f t="array" ref="E55">INDEX('Keyword Master Database'!$E$2:$E$242,MATCH(C55,'Keyword Master Database'!$A$2:$A$242,0))</f>
        <v>Informational</v>
      </c>
      <c r="F55" s="20" t="str">
        <f t="array" ref="F55">INDEX('Keyword Master Database'!$F$2:$F$242,MATCH(C55,'Keyword Master Database'!$A$2:$A$242,0))</f>
        <v>TOFU</v>
      </c>
      <c r="G55" s="9" t="s">
        <v>441</v>
      </c>
      <c r="H55" s="9" t="s">
        <v>388</v>
      </c>
      <c r="I55" s="8" t="s">
        <v>170</v>
      </c>
      <c r="J55" s="20">
        <f>COUNTIF('Keyword Master Database'!$X$2:$X$242,A55)</f>
        <v>1</v>
      </c>
      <c r="K55" s="22">
        <f>SUMIF('Keyword Master Database'!$X$2:$X$242,A55,'Keyword Master Database'!$H$2:$H$242)</f>
        <v>6600</v>
      </c>
    </row>
    <row r="56" ht="15.75" customHeight="1">
      <c r="A56" s="6" t="s">
        <v>727</v>
      </c>
      <c r="B56" s="6" t="s">
        <v>887</v>
      </c>
      <c r="C56" s="6" t="s">
        <v>728</v>
      </c>
      <c r="D56" s="6" t="s">
        <v>888</v>
      </c>
      <c r="E56" s="11" t="str">
        <f t="array" ref="E56">INDEX('Keyword Master Database'!$E$2:$E$242,MATCH(C56,'Keyword Master Database'!$A$2:$A$242,0))</f>
        <v>Commercial</v>
      </c>
      <c r="F56" s="11" t="str">
        <f t="array" ref="F56">INDEX('Keyword Master Database'!$F$2:$F$242,MATCH(C56,'Keyword Master Database'!$A$2:$A$242,0))</f>
        <v>MOFU</v>
      </c>
      <c r="G56" s="7" t="s">
        <v>441</v>
      </c>
      <c r="H56" s="7" t="s">
        <v>388</v>
      </c>
      <c r="I56" s="6" t="s">
        <v>170</v>
      </c>
      <c r="J56" s="11">
        <f>COUNTIF('Keyword Master Database'!$X$2:$X$242,A56)</f>
        <v>3</v>
      </c>
      <c r="K56" s="13">
        <f>SUMIF('Keyword Master Database'!$X$2:$X$242,A56,'Keyword Master Database'!$H$2:$H$242)</f>
        <v>7390</v>
      </c>
    </row>
    <row r="57" ht="15.75" customHeight="1">
      <c r="A57" s="8" t="s">
        <v>729</v>
      </c>
      <c r="B57" s="8" t="s">
        <v>893</v>
      </c>
      <c r="C57" s="8" t="s">
        <v>730</v>
      </c>
      <c r="D57" s="8" t="s">
        <v>895</v>
      </c>
      <c r="E57" s="20" t="str">
        <f t="array" ref="E57">INDEX('Keyword Master Database'!$E$2:$E$242,MATCH(C57,'Keyword Master Database'!$A$2:$A$242,0))</f>
        <v>Informational</v>
      </c>
      <c r="F57" s="20" t="str">
        <f t="array" ref="F57">INDEX('Keyword Master Database'!$F$2:$F$242,MATCH(C57,'Keyword Master Database'!$A$2:$A$242,0))</f>
        <v>TOFU</v>
      </c>
      <c r="G57" s="9" t="s">
        <v>441</v>
      </c>
      <c r="H57" s="9" t="s">
        <v>388</v>
      </c>
      <c r="I57" s="8" t="s">
        <v>170</v>
      </c>
      <c r="J57" s="20">
        <f>COUNTIF('Keyword Master Database'!$X$2:$X$242,A57)</f>
        <v>4</v>
      </c>
      <c r="K57" s="22">
        <f>SUMIF('Keyword Master Database'!$X$2:$X$242,A57,'Keyword Master Database'!$H$2:$H$242)</f>
        <v>39400</v>
      </c>
    </row>
    <row r="58" ht="15.75" customHeight="1">
      <c r="A58" s="6" t="s">
        <v>731</v>
      </c>
      <c r="B58" s="6" t="s">
        <v>908</v>
      </c>
      <c r="C58" s="6" t="s">
        <v>733</v>
      </c>
      <c r="D58" s="6" t="s">
        <v>517</v>
      </c>
      <c r="E58" s="11" t="str">
        <f t="array" ref="E58">INDEX('Keyword Master Database'!$E$2:$E$242,MATCH(C58,'Keyword Master Database'!$A$2:$A$242,0))</f>
        <v>Commercial</v>
      </c>
      <c r="F58" s="11" t="str">
        <f t="array" ref="F58">INDEX('Keyword Master Database'!$F$2:$F$242,MATCH(C58,'Keyword Master Database'!$A$2:$A$242,0))</f>
        <v>MOFU</v>
      </c>
      <c r="G58" s="7" t="s">
        <v>441</v>
      </c>
      <c r="H58" s="7" t="s">
        <v>388</v>
      </c>
      <c r="I58" s="6" t="s">
        <v>170</v>
      </c>
      <c r="J58" s="11">
        <f>COUNTIF('Keyword Master Database'!$X$2:$X$242,A58)</f>
        <v>1</v>
      </c>
      <c r="K58" s="13">
        <f>SUMIF('Keyword Master Database'!$X$2:$X$242,A58,'Keyword Master Database'!$H$2:$H$242)</f>
        <v>3600</v>
      </c>
    </row>
    <row r="59" ht="15.75" customHeight="1">
      <c r="A59" s="8" t="s">
        <v>734</v>
      </c>
      <c r="B59" s="8" t="s">
        <v>916</v>
      </c>
      <c r="C59" s="8" t="s">
        <v>735</v>
      </c>
      <c r="D59" s="8" t="s">
        <v>919</v>
      </c>
      <c r="E59" s="20" t="str">
        <f t="array" ref="E59">INDEX('Keyword Master Database'!$E$2:$E$242,MATCH(C59,'Keyword Master Database'!$A$2:$A$242,0))</f>
        <v>Informational</v>
      </c>
      <c r="F59" s="20" t="str">
        <f t="array" ref="F59">INDEX('Keyword Master Database'!$F$2:$F$242,MATCH(C59,'Keyword Master Database'!$A$2:$A$242,0))</f>
        <v>TOFU</v>
      </c>
      <c r="G59" s="9" t="s">
        <v>441</v>
      </c>
      <c r="H59" s="9" t="s">
        <v>388</v>
      </c>
      <c r="I59" s="8" t="s">
        <v>170</v>
      </c>
      <c r="J59" s="20">
        <f>COUNTIF('Keyword Master Database'!$X$2:$X$242,A59)</f>
        <v>3</v>
      </c>
      <c r="K59" s="22">
        <f>SUMIF('Keyword Master Database'!$X$2:$X$242,A59,'Keyword Master Database'!$H$2:$H$242)</f>
        <v>19300</v>
      </c>
    </row>
    <row r="60" ht="15.75" customHeight="1">
      <c r="A60" s="6" t="s">
        <v>737</v>
      </c>
      <c r="B60" s="6" t="s">
        <v>925</v>
      </c>
      <c r="C60" s="6" t="s">
        <v>738</v>
      </c>
      <c r="D60" s="6" t="s">
        <v>926</v>
      </c>
      <c r="E60" s="11" t="str">
        <f t="array" ref="E60">INDEX('Keyword Master Database'!$E$2:$E$242,MATCH(C60,'Keyword Master Database'!$A$2:$A$242,0))</f>
        <v>Informational</v>
      </c>
      <c r="F60" s="11" t="str">
        <f t="array" ref="F60">INDEX('Keyword Master Database'!$F$2:$F$242,MATCH(C60,'Keyword Master Database'!$A$2:$A$242,0))</f>
        <v>TOFU</v>
      </c>
      <c r="G60" s="7" t="s">
        <v>441</v>
      </c>
      <c r="H60" s="7" t="s">
        <v>388</v>
      </c>
      <c r="I60" s="6" t="s">
        <v>170</v>
      </c>
      <c r="J60" s="11">
        <f>COUNTIF('Keyword Master Database'!$X$2:$X$242,A60)</f>
        <v>3</v>
      </c>
      <c r="K60" s="13">
        <f>SUMIF('Keyword Master Database'!$X$2:$X$242,A60,'Keyword Master Database'!$H$2:$H$242)</f>
        <v>51000</v>
      </c>
    </row>
    <row r="61" ht="15.75" customHeight="1">
      <c r="A61" s="8" t="s">
        <v>739</v>
      </c>
      <c r="B61" s="8" t="s">
        <v>931</v>
      </c>
      <c r="C61" s="8" t="s">
        <v>740</v>
      </c>
      <c r="D61" s="8" t="s">
        <v>517</v>
      </c>
      <c r="E61" s="20" t="str">
        <f t="array" ref="E61">INDEX('Keyword Master Database'!$E$2:$E$242,MATCH(C61,'Keyword Master Database'!$A$2:$A$242,0))</f>
        <v>Informational</v>
      </c>
      <c r="F61" s="20" t="str">
        <f t="array" ref="F61">INDEX('Keyword Master Database'!$F$2:$F$242,MATCH(C61,'Keyword Master Database'!$A$2:$A$242,0))</f>
        <v>TOFU</v>
      </c>
      <c r="G61" s="9" t="s">
        <v>441</v>
      </c>
      <c r="H61" s="9" t="s">
        <v>388</v>
      </c>
      <c r="I61" s="8" t="s">
        <v>170</v>
      </c>
      <c r="J61" s="20">
        <f>COUNTIF('Keyword Master Database'!$X$2:$X$242,A61)</f>
        <v>1</v>
      </c>
      <c r="K61" s="22">
        <f>SUMIF('Keyword Master Database'!$X$2:$X$242,A61,'Keyword Master Database'!$H$2:$H$242)</f>
        <v>49500</v>
      </c>
    </row>
    <row r="62" ht="15.75" customHeight="1">
      <c r="A62" s="6" t="s">
        <v>741</v>
      </c>
      <c r="B62" s="6" t="s">
        <v>934</v>
      </c>
      <c r="C62" s="6" t="s">
        <v>742</v>
      </c>
      <c r="D62" s="6" t="s">
        <v>935</v>
      </c>
      <c r="E62" s="11" t="str">
        <f t="array" ref="E62">INDEX('Keyword Master Database'!$E$2:$E$242,MATCH(C62,'Keyword Master Database'!$A$2:$A$242,0))</f>
        <v>Informational</v>
      </c>
      <c r="F62" s="11" t="str">
        <f t="array" ref="F62">INDEX('Keyword Master Database'!$F$2:$F$242,MATCH(C62,'Keyword Master Database'!$A$2:$A$242,0))</f>
        <v>TOFU</v>
      </c>
      <c r="G62" s="7" t="s">
        <v>441</v>
      </c>
      <c r="H62" s="7" t="s">
        <v>388</v>
      </c>
      <c r="I62" s="6" t="s">
        <v>170</v>
      </c>
      <c r="J62" s="11">
        <f>COUNTIF('Keyword Master Database'!$X$2:$X$242,A62)</f>
        <v>2</v>
      </c>
      <c r="K62" s="13">
        <f>SUMIF('Keyword Master Database'!$X$2:$X$242,A62,'Keyword Master Database'!$H$2:$H$242)</f>
        <v>33700</v>
      </c>
    </row>
    <row r="63" ht="15.75" customHeight="1">
      <c r="A63" s="8" t="s">
        <v>743</v>
      </c>
      <c r="B63" s="8" t="s">
        <v>939</v>
      </c>
      <c r="C63" s="8" t="s">
        <v>745</v>
      </c>
      <c r="D63" s="8" t="s">
        <v>940</v>
      </c>
      <c r="E63" s="20" t="str">
        <f t="array" ref="E63">INDEX('Keyword Master Database'!$E$2:$E$242,MATCH(C63,'Keyword Master Database'!$A$2:$A$242,0))</f>
        <v>Informational</v>
      </c>
      <c r="F63" s="20" t="str">
        <f t="array" ref="F63">INDEX('Keyword Master Database'!$F$2:$F$242,MATCH(C63,'Keyword Master Database'!$A$2:$A$242,0))</f>
        <v>TOFU</v>
      </c>
      <c r="G63" s="9" t="s">
        <v>441</v>
      </c>
      <c r="H63" s="9" t="s">
        <v>388</v>
      </c>
      <c r="I63" s="8" t="s">
        <v>170</v>
      </c>
      <c r="J63" s="20">
        <f>COUNTIF('Keyword Master Database'!$X$2:$X$242,A63)</f>
        <v>2</v>
      </c>
      <c r="K63" s="22">
        <f>SUMIF('Keyword Master Database'!$X$2:$X$242,A63,'Keyword Master Database'!$H$2:$H$242)</f>
        <v>59400</v>
      </c>
    </row>
    <row r="64" ht="15.75" customHeight="1">
      <c r="A64" s="6" t="s">
        <v>747</v>
      </c>
      <c r="B64" s="6" t="s">
        <v>477</v>
      </c>
      <c r="C64" s="6" t="s">
        <v>748</v>
      </c>
      <c r="D64" s="6" t="s">
        <v>517</v>
      </c>
      <c r="E64" s="11" t="str">
        <f t="array" ref="E64">INDEX('Keyword Master Database'!$E$2:$E$242,MATCH(C64,'Keyword Master Database'!$A$2:$A$242,0))</f>
        <v>Commercial</v>
      </c>
      <c r="F64" s="11" t="str">
        <f t="array" ref="F64">INDEX('Keyword Master Database'!$F$2:$F$242,MATCH(C64,'Keyword Master Database'!$A$2:$A$242,0))</f>
        <v>MOFU</v>
      </c>
      <c r="G64" s="7" t="s">
        <v>441</v>
      </c>
      <c r="H64" s="7" t="s">
        <v>388</v>
      </c>
      <c r="I64" s="6" t="s">
        <v>170</v>
      </c>
      <c r="J64" s="11">
        <f>COUNTIF('Keyword Master Database'!$X$2:$X$242,A64)</f>
        <v>1</v>
      </c>
      <c r="K64" s="13">
        <f>SUMIF('Keyword Master Database'!$X$2:$X$242,A64,'Keyword Master Database'!$H$2:$H$242)</f>
        <v>4400</v>
      </c>
    </row>
    <row r="65" ht="15.75" customHeight="1">
      <c r="A65" s="8" t="s">
        <v>749</v>
      </c>
      <c r="B65" s="8" t="s">
        <v>945</v>
      </c>
      <c r="C65" s="8" t="s">
        <v>750</v>
      </c>
      <c r="D65" s="8" t="s">
        <v>946</v>
      </c>
      <c r="E65" s="20" t="str">
        <f t="array" ref="E65">INDEX('Keyword Master Database'!$E$2:$E$242,MATCH(C65,'Keyword Master Database'!$A$2:$A$242,0))</f>
        <v>Informational</v>
      </c>
      <c r="F65" s="20" t="str">
        <f t="array" ref="F65">INDEX('Keyword Master Database'!$F$2:$F$242,MATCH(C65,'Keyword Master Database'!$A$2:$A$242,0))</f>
        <v>TOFU</v>
      </c>
      <c r="G65" s="9" t="s">
        <v>441</v>
      </c>
      <c r="H65" s="9" t="s">
        <v>388</v>
      </c>
      <c r="I65" s="8" t="s">
        <v>170</v>
      </c>
      <c r="J65" s="20">
        <f>COUNTIF('Keyword Master Database'!$X$2:$X$242,A65)</f>
        <v>3</v>
      </c>
      <c r="K65" s="22">
        <f>SUMIF('Keyword Master Database'!$X$2:$X$242,A65,'Keyword Master Database'!$H$2:$H$242)</f>
        <v>32600</v>
      </c>
    </row>
    <row r="66" ht="15.75" customHeight="1">
      <c r="A66" s="6" t="s">
        <v>751</v>
      </c>
      <c r="B66" s="6" t="s">
        <v>950</v>
      </c>
      <c r="C66" s="6" t="s">
        <v>752</v>
      </c>
      <c r="D66" s="6" t="s">
        <v>951</v>
      </c>
      <c r="E66" s="11" t="str">
        <f t="array" ref="E66">INDEX('Keyword Master Database'!$E$2:$E$242,MATCH(C66,'Keyword Master Database'!$A$2:$A$242,0))</f>
        <v>Informational</v>
      </c>
      <c r="F66" s="11" t="str">
        <f t="array" ref="F66">INDEX('Keyword Master Database'!$F$2:$F$242,MATCH(C66,'Keyword Master Database'!$A$2:$A$242,0))</f>
        <v>TOFU</v>
      </c>
      <c r="G66" s="7" t="s">
        <v>441</v>
      </c>
      <c r="H66" s="7" t="s">
        <v>388</v>
      </c>
      <c r="I66" s="6" t="s">
        <v>170</v>
      </c>
      <c r="J66" s="11">
        <f>COUNTIF('Keyword Master Database'!$X$2:$X$242,A66)</f>
        <v>2</v>
      </c>
      <c r="K66" s="13">
        <f>SUMIF('Keyword Master Database'!$X$2:$X$242,A66,'Keyword Master Database'!$H$2:$H$242)</f>
        <v>12000</v>
      </c>
    </row>
    <row r="67" ht="15.75" customHeight="1">
      <c r="A67" s="8" t="s">
        <v>753</v>
      </c>
      <c r="B67" s="8" t="s">
        <v>954</v>
      </c>
      <c r="C67" s="8" t="s">
        <v>754</v>
      </c>
      <c r="D67" s="8" t="s">
        <v>517</v>
      </c>
      <c r="E67" s="20" t="str">
        <f t="array" ref="E67">INDEX('Keyword Master Database'!$E$2:$E$242,MATCH(C67,'Keyword Master Database'!$A$2:$A$242,0))</f>
        <v>Informational</v>
      </c>
      <c r="F67" s="20" t="str">
        <f t="array" ref="F67">INDEX('Keyword Master Database'!$F$2:$F$242,MATCH(C67,'Keyword Master Database'!$A$2:$A$242,0))</f>
        <v>TOFU</v>
      </c>
      <c r="G67" s="9" t="s">
        <v>441</v>
      </c>
      <c r="H67" s="9" t="s">
        <v>388</v>
      </c>
      <c r="I67" s="8" t="s">
        <v>170</v>
      </c>
      <c r="J67" s="20">
        <f>COUNTIF('Keyword Master Database'!$X$2:$X$242,A67)</f>
        <v>1</v>
      </c>
      <c r="K67" s="22">
        <f>SUMIF('Keyword Master Database'!$X$2:$X$242,A67,'Keyword Master Database'!$H$2:$H$242)</f>
        <v>1900</v>
      </c>
    </row>
    <row r="68" ht="15.75" customHeight="1">
      <c r="A68" s="6" t="s">
        <v>756</v>
      </c>
      <c r="B68" s="6" t="s">
        <v>956</v>
      </c>
      <c r="C68" s="6" t="s">
        <v>757</v>
      </c>
      <c r="D68" s="6" t="s">
        <v>957</v>
      </c>
      <c r="E68" s="11" t="str">
        <f t="array" ref="E68">INDEX('Keyword Master Database'!$E$2:$E$242,MATCH(C68,'Keyword Master Database'!$A$2:$A$242,0))</f>
        <v>Informational</v>
      </c>
      <c r="F68" s="11" t="str">
        <f t="array" ref="F68">INDEX('Keyword Master Database'!$F$2:$F$242,MATCH(C68,'Keyword Master Database'!$A$2:$A$242,0))</f>
        <v>TOFU</v>
      </c>
      <c r="G68" s="7" t="s">
        <v>441</v>
      </c>
      <c r="H68" s="7" t="s">
        <v>388</v>
      </c>
      <c r="I68" s="6" t="s">
        <v>170</v>
      </c>
      <c r="J68" s="11">
        <f>COUNTIF('Keyword Master Database'!$X$2:$X$242,A68)</f>
        <v>2</v>
      </c>
      <c r="K68" s="13">
        <f>SUMIF('Keyword Master Database'!$X$2:$X$242,A68,'Keyword Master Database'!$H$2:$H$242)</f>
        <v>8200</v>
      </c>
    </row>
    <row r="69" ht="15.75" customHeight="1">
      <c r="A69" s="8" t="s">
        <v>760</v>
      </c>
      <c r="B69" s="8" t="s">
        <v>959</v>
      </c>
      <c r="C69" s="8" t="s">
        <v>761</v>
      </c>
      <c r="D69" s="8" t="s">
        <v>960</v>
      </c>
      <c r="E69" s="20" t="str">
        <f t="array" ref="E69">INDEX('Keyword Master Database'!$E$2:$E$242,MATCH(C69,'Keyword Master Database'!$A$2:$A$242,0))</f>
        <v>Commercial</v>
      </c>
      <c r="F69" s="20" t="str">
        <f t="array" ref="F69">INDEX('Keyword Master Database'!$F$2:$F$242,MATCH(C69,'Keyword Master Database'!$A$2:$A$242,0))</f>
        <v>MOFU</v>
      </c>
      <c r="G69" s="9" t="s">
        <v>441</v>
      </c>
      <c r="H69" s="9" t="s">
        <v>388</v>
      </c>
      <c r="I69" s="8" t="s">
        <v>170</v>
      </c>
      <c r="J69" s="20">
        <f>COUNTIF('Keyword Master Database'!$X$2:$X$242,A69)</f>
        <v>3</v>
      </c>
      <c r="K69" s="22">
        <f>SUMIF('Keyword Master Database'!$X$2:$X$242,A69,'Keyword Master Database'!$H$2:$H$242)</f>
        <v>2100</v>
      </c>
    </row>
    <row r="70" ht="15.75" customHeight="1">
      <c r="A70" s="6" t="s">
        <v>762</v>
      </c>
      <c r="B70" s="6" t="s">
        <v>961</v>
      </c>
      <c r="C70" s="6" t="s">
        <v>763</v>
      </c>
      <c r="D70" s="6" t="s">
        <v>517</v>
      </c>
      <c r="E70" s="11" t="str">
        <f t="array" ref="E70">INDEX('Keyword Master Database'!$E$2:$E$242,MATCH(C70,'Keyword Master Database'!$A$2:$A$242,0))</f>
        <v>Informational</v>
      </c>
      <c r="F70" s="11" t="str">
        <f t="array" ref="F70">INDEX('Keyword Master Database'!$F$2:$F$242,MATCH(C70,'Keyword Master Database'!$A$2:$A$242,0))</f>
        <v>TOFU</v>
      </c>
      <c r="G70" s="7" t="s">
        <v>441</v>
      </c>
      <c r="H70" s="7" t="s">
        <v>388</v>
      </c>
      <c r="I70" s="6" t="s">
        <v>170</v>
      </c>
      <c r="J70" s="11">
        <f>COUNTIF('Keyword Master Database'!$X$2:$X$242,A70)</f>
        <v>1</v>
      </c>
      <c r="K70" s="13">
        <f>SUMIF('Keyword Master Database'!$X$2:$X$242,A70,'Keyword Master Database'!$H$2:$H$242)</f>
        <v>1300</v>
      </c>
    </row>
    <row r="71" ht="15.75" customHeight="1">
      <c r="A71" s="8" t="s">
        <v>965</v>
      </c>
      <c r="B71" s="8" t="s">
        <v>966</v>
      </c>
      <c r="C71" s="8" t="s">
        <v>361</v>
      </c>
      <c r="D71" s="8" t="s">
        <v>517</v>
      </c>
      <c r="E71" s="20" t="str">
        <f t="array" ref="E71">INDEX('Keyword Master Database'!$E$2:$E$242,MATCH(C71,'Keyword Master Database'!$A$2:$A$242,0))</f>
        <v>Navigational</v>
      </c>
      <c r="F71" s="20" t="str">
        <f t="array" ref="F71">INDEX('Keyword Master Database'!$F$2:$F$242,MATCH(C71,'Keyword Master Database'!$A$2:$A$242,0))</f>
        <v>BOFU</v>
      </c>
      <c r="G71" s="9" t="s">
        <v>419</v>
      </c>
      <c r="H71" s="9" t="s">
        <v>969</v>
      </c>
      <c r="I71" s="8" t="s">
        <v>970</v>
      </c>
      <c r="J71" s="20">
        <v>1.0</v>
      </c>
      <c r="K71" s="22">
        <f t="array" ref="K71">INDEX('Keyword Master Database'!$H$2:$H$242,MATCH(C71,'Keyword Master Database'!$A$2:$A$242,0))</f>
        <v>110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52.0"/>
    <col customWidth="1" min="3" max="3" width="66.0"/>
    <col customWidth="1" min="4" max="4" width="50.0"/>
    <col customWidth="1" min="5" max="5" width="52.0"/>
    <col customWidth="1" min="6" max="26" width="8.71"/>
  </cols>
  <sheetData>
    <row r="1" ht="30.0" customHeight="1">
      <c r="A1" s="1" t="s">
        <v>454</v>
      </c>
      <c r="B1" s="1" t="s">
        <v>455</v>
      </c>
      <c r="C1" s="1" t="s">
        <v>456</v>
      </c>
      <c r="D1" s="1" t="s">
        <v>6</v>
      </c>
      <c r="E1" s="1" t="s">
        <v>457</v>
      </c>
    </row>
    <row r="2" ht="113.25" customHeight="1">
      <c r="A2" s="6" t="s">
        <v>458</v>
      </c>
      <c r="B2" s="6" t="s">
        <v>461</v>
      </c>
      <c r="C2" s="6" t="s">
        <v>463</v>
      </c>
      <c r="D2" s="6" t="s">
        <v>464</v>
      </c>
      <c r="E2" s="6" t="s">
        <v>465</v>
      </c>
    </row>
    <row r="3" ht="64.5" customHeight="1">
      <c r="A3" s="8" t="s">
        <v>466</v>
      </c>
      <c r="B3" s="8" t="s">
        <v>467</v>
      </c>
      <c r="C3" s="8" t="s">
        <v>468</v>
      </c>
      <c r="D3" s="8" t="s">
        <v>469</v>
      </c>
      <c r="E3" s="8" t="s">
        <v>470</v>
      </c>
    </row>
    <row r="4" ht="40.5" customHeight="1">
      <c r="A4" s="6" t="s">
        <v>471</v>
      </c>
      <c r="B4" s="6" t="s">
        <v>472</v>
      </c>
      <c r="C4" s="6" t="s">
        <v>473</v>
      </c>
      <c r="D4" s="6" t="s">
        <v>474</v>
      </c>
      <c r="E4" s="6" t="s">
        <v>475</v>
      </c>
    </row>
    <row r="5" ht="27.75" customHeight="1">
      <c r="A5" s="8" t="s">
        <v>270</v>
      </c>
      <c r="B5" s="8" t="s">
        <v>476</v>
      </c>
      <c r="C5" s="8" t="s">
        <v>477</v>
      </c>
      <c r="D5" s="8" t="s">
        <v>478</v>
      </c>
      <c r="E5" s="8" t="s">
        <v>479</v>
      </c>
    </row>
    <row r="6" ht="40.5" customHeight="1">
      <c r="A6" s="6" t="s">
        <v>480</v>
      </c>
      <c r="B6" s="6" t="s">
        <v>481</v>
      </c>
      <c r="C6" s="6" t="s">
        <v>482</v>
      </c>
      <c r="D6" s="6" t="s">
        <v>483</v>
      </c>
      <c r="E6" s="6" t="s">
        <v>484</v>
      </c>
    </row>
    <row r="7" ht="40.5" customHeight="1">
      <c r="A7" s="8" t="s">
        <v>485</v>
      </c>
      <c r="B7" s="8" t="s">
        <v>486</v>
      </c>
      <c r="C7" s="8" t="s">
        <v>487</v>
      </c>
      <c r="D7" s="8" t="s">
        <v>488</v>
      </c>
      <c r="E7" s="8" t="s">
        <v>489</v>
      </c>
    </row>
    <row r="8" ht="40.5" customHeight="1">
      <c r="A8" s="6" t="s">
        <v>490</v>
      </c>
      <c r="B8" s="6" t="s">
        <v>491</v>
      </c>
      <c r="C8" s="6" t="s">
        <v>492</v>
      </c>
      <c r="D8" s="6" t="s">
        <v>494</v>
      </c>
      <c r="E8" s="6" t="s">
        <v>495</v>
      </c>
    </row>
    <row r="9" ht="27.75" customHeight="1">
      <c r="A9" s="8" t="s">
        <v>496</v>
      </c>
      <c r="B9" s="8" t="s">
        <v>498</v>
      </c>
      <c r="C9" s="8" t="s">
        <v>499</v>
      </c>
      <c r="D9" s="8" t="s">
        <v>500</v>
      </c>
      <c r="E9" s="8" t="s">
        <v>501</v>
      </c>
    </row>
    <row r="10" ht="27.75" customHeight="1">
      <c r="A10" s="6" t="s">
        <v>502</v>
      </c>
      <c r="B10" s="6" t="s">
        <v>503</v>
      </c>
      <c r="C10" s="6" t="s">
        <v>504</v>
      </c>
      <c r="D10" s="6" t="s">
        <v>505</v>
      </c>
      <c r="E10" s="6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0"/>
    <col customWidth="1" min="2" max="2" width="44.0"/>
    <col customWidth="1" min="3" max="3" width="80.0"/>
    <col customWidth="1" min="4" max="4" width="52.0"/>
    <col customWidth="1" min="5" max="5" width="62.0"/>
    <col customWidth="1" min="6" max="26" width="8.71"/>
  </cols>
  <sheetData>
    <row r="1" ht="30.0" customHeight="1">
      <c r="A1" s="1" t="s">
        <v>542</v>
      </c>
      <c r="B1" s="1" t="s">
        <v>544</v>
      </c>
      <c r="C1" s="1" t="s">
        <v>545</v>
      </c>
      <c r="D1" s="1" t="s">
        <v>526</v>
      </c>
      <c r="E1" s="1" t="s">
        <v>548</v>
      </c>
    </row>
    <row r="2" ht="27.75" customHeight="1">
      <c r="A2" s="6" t="s">
        <v>550</v>
      </c>
      <c r="B2" s="6" t="s">
        <v>551</v>
      </c>
      <c r="C2" s="6" t="s">
        <v>552</v>
      </c>
      <c r="D2" s="6" t="s">
        <v>553</v>
      </c>
      <c r="E2" s="6" t="s">
        <v>554</v>
      </c>
    </row>
    <row r="3" ht="101.25" customHeight="1">
      <c r="A3" s="8" t="s">
        <v>534</v>
      </c>
      <c r="B3" s="8" t="s">
        <v>556</v>
      </c>
      <c r="C3" s="8" t="s">
        <v>557</v>
      </c>
      <c r="D3" s="8" t="s">
        <v>558</v>
      </c>
      <c r="E3" s="8" t="s">
        <v>559</v>
      </c>
    </row>
    <row r="4" ht="64.5" customHeight="1">
      <c r="A4" s="6" t="s">
        <v>561</v>
      </c>
      <c r="B4" s="6" t="s">
        <v>562</v>
      </c>
      <c r="C4" s="6" t="s">
        <v>563</v>
      </c>
      <c r="D4" s="6" t="s">
        <v>564</v>
      </c>
      <c r="E4" s="6" t="s">
        <v>559</v>
      </c>
    </row>
    <row r="5" ht="40.5" customHeight="1">
      <c r="A5" s="8" t="s">
        <v>565</v>
      </c>
      <c r="B5" s="8" t="s">
        <v>566</v>
      </c>
      <c r="C5" s="8" t="s">
        <v>567</v>
      </c>
      <c r="D5" s="8" t="s">
        <v>569</v>
      </c>
      <c r="E5" s="8" t="s">
        <v>559</v>
      </c>
    </row>
    <row r="6" ht="40.5" customHeight="1">
      <c r="A6" s="6" t="s">
        <v>570</v>
      </c>
      <c r="B6" s="6" t="s">
        <v>571</v>
      </c>
      <c r="C6" s="6" t="s">
        <v>572</v>
      </c>
      <c r="D6" s="6" t="s">
        <v>573</v>
      </c>
      <c r="E6" s="6" t="s">
        <v>559</v>
      </c>
    </row>
    <row r="7" ht="40.5" customHeight="1">
      <c r="A7" s="8" t="s">
        <v>574</v>
      </c>
      <c r="B7" s="8" t="s">
        <v>575</v>
      </c>
      <c r="C7" s="8" t="s">
        <v>576</v>
      </c>
      <c r="D7" s="8" t="s">
        <v>577</v>
      </c>
      <c r="E7" s="8" t="s">
        <v>559</v>
      </c>
    </row>
    <row r="8" ht="40.5" customHeight="1">
      <c r="A8" s="6" t="s">
        <v>578</v>
      </c>
      <c r="B8" s="6" t="s">
        <v>579</v>
      </c>
      <c r="C8" s="6" t="s">
        <v>580</v>
      </c>
      <c r="D8" s="6" t="s">
        <v>581</v>
      </c>
      <c r="E8" s="6" t="s">
        <v>559</v>
      </c>
    </row>
    <row r="9" ht="40.5" customHeight="1">
      <c r="A9" s="8" t="s">
        <v>582</v>
      </c>
      <c r="B9" s="8" t="s">
        <v>583</v>
      </c>
      <c r="C9" s="8" t="s">
        <v>584</v>
      </c>
      <c r="D9" s="8" t="s">
        <v>585</v>
      </c>
      <c r="E9" s="8" t="s">
        <v>587</v>
      </c>
    </row>
    <row r="10" ht="27.75" customHeight="1">
      <c r="A10" s="6" t="s">
        <v>588</v>
      </c>
      <c r="B10" s="6" t="s">
        <v>589</v>
      </c>
      <c r="C10" s="6" t="s">
        <v>590</v>
      </c>
      <c r="D10" s="6" t="s">
        <v>591</v>
      </c>
      <c r="E10" s="6" t="s">
        <v>592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8.0"/>
    <col customWidth="1" min="3" max="3" width="46.0"/>
    <col customWidth="1" min="4" max="4" width="56.0"/>
    <col customWidth="1" min="5" max="26" width="8.71"/>
  </cols>
  <sheetData>
    <row r="1" ht="27.75" customHeight="1">
      <c r="A1" s="1" t="s">
        <v>628</v>
      </c>
      <c r="B1" s="1" t="s">
        <v>629</v>
      </c>
      <c r="C1" s="1" t="s">
        <v>630</v>
      </c>
      <c r="D1" s="1" t="s">
        <v>526</v>
      </c>
    </row>
    <row r="2">
      <c r="A2" s="6" t="s">
        <v>180</v>
      </c>
      <c r="B2" s="6" t="s">
        <v>439</v>
      </c>
      <c r="C2" s="6" t="s">
        <v>146</v>
      </c>
      <c r="D2" s="6" t="s">
        <v>631</v>
      </c>
    </row>
    <row r="3">
      <c r="A3" s="8" t="s">
        <v>180</v>
      </c>
      <c r="B3" s="8" t="s">
        <v>514</v>
      </c>
      <c r="C3" s="8" t="s">
        <v>516</v>
      </c>
      <c r="D3" s="8" t="s">
        <v>631</v>
      </c>
    </row>
    <row r="4">
      <c r="A4" s="6" t="s">
        <v>180</v>
      </c>
      <c r="B4" s="6" t="s">
        <v>595</v>
      </c>
      <c r="C4" s="6" t="s">
        <v>243</v>
      </c>
      <c r="D4" s="6" t="s">
        <v>631</v>
      </c>
    </row>
    <row r="5">
      <c r="A5" s="8" t="s">
        <v>180</v>
      </c>
      <c r="B5" s="8" t="s">
        <v>615</v>
      </c>
      <c r="C5" s="8" t="s">
        <v>272</v>
      </c>
      <c r="D5" s="8" t="s">
        <v>631</v>
      </c>
    </row>
    <row r="6">
      <c r="A6" s="6" t="s">
        <v>180</v>
      </c>
      <c r="B6" s="6" t="s">
        <v>625</v>
      </c>
      <c r="C6" s="6" t="s">
        <v>341</v>
      </c>
      <c r="D6" s="6" t="s">
        <v>631</v>
      </c>
    </row>
    <row r="7">
      <c r="A7" s="8" t="s">
        <v>180</v>
      </c>
      <c r="B7" s="8" t="s">
        <v>436</v>
      </c>
      <c r="C7" s="8" t="s">
        <v>123</v>
      </c>
      <c r="D7" s="8" t="s">
        <v>631</v>
      </c>
    </row>
    <row r="8">
      <c r="A8" s="6" t="s">
        <v>180</v>
      </c>
      <c r="B8" s="6" t="s">
        <v>417</v>
      </c>
      <c r="C8" s="6" t="s">
        <v>411</v>
      </c>
      <c r="D8" s="6" t="s">
        <v>631</v>
      </c>
    </row>
    <row r="9">
      <c r="A9" s="8" t="s">
        <v>180</v>
      </c>
      <c r="B9" s="8" t="s">
        <v>444</v>
      </c>
      <c r="C9" s="8" t="s">
        <v>153</v>
      </c>
      <c r="D9" s="8" t="s">
        <v>636</v>
      </c>
    </row>
    <row r="10">
      <c r="A10" s="6" t="s">
        <v>180</v>
      </c>
      <c r="B10" s="6" t="s">
        <v>459</v>
      </c>
      <c r="C10" s="6" t="s">
        <v>450</v>
      </c>
      <c r="D10" s="6" t="s">
        <v>636</v>
      </c>
    </row>
    <row r="11">
      <c r="A11" s="8" t="s">
        <v>180</v>
      </c>
      <c r="B11" s="8" t="s">
        <v>637</v>
      </c>
      <c r="C11" s="8" t="s">
        <v>347</v>
      </c>
      <c r="D11" s="8" t="s">
        <v>636</v>
      </c>
    </row>
    <row r="12">
      <c r="A12" s="6" t="s">
        <v>180</v>
      </c>
      <c r="B12" s="6" t="s">
        <v>386</v>
      </c>
      <c r="C12" s="6" t="s">
        <v>370</v>
      </c>
      <c r="D12" s="6" t="s">
        <v>636</v>
      </c>
    </row>
    <row r="13">
      <c r="A13" s="8" t="s">
        <v>180</v>
      </c>
      <c r="B13" s="8" t="s">
        <v>638</v>
      </c>
      <c r="C13" s="8" t="s">
        <v>639</v>
      </c>
      <c r="D13" s="8" t="s">
        <v>636</v>
      </c>
    </row>
    <row r="14">
      <c r="A14" s="6" t="s">
        <v>180</v>
      </c>
      <c r="B14" s="6" t="s">
        <v>640</v>
      </c>
      <c r="C14" s="6" t="s">
        <v>641</v>
      </c>
      <c r="D14" s="6" t="s">
        <v>636</v>
      </c>
    </row>
    <row r="15">
      <c r="A15" s="8" t="s">
        <v>180</v>
      </c>
      <c r="B15" s="8" t="s">
        <v>642</v>
      </c>
      <c r="C15" s="8" t="s">
        <v>643</v>
      </c>
      <c r="D15" s="8" t="s">
        <v>636</v>
      </c>
    </row>
    <row r="16">
      <c r="A16" s="6" t="s">
        <v>180</v>
      </c>
      <c r="B16" s="6" t="s">
        <v>408</v>
      </c>
      <c r="C16" s="6" t="s">
        <v>427</v>
      </c>
      <c r="D16" s="6" t="s">
        <v>636</v>
      </c>
    </row>
    <row r="17">
      <c r="A17" s="8" t="s">
        <v>439</v>
      </c>
      <c r="B17" s="8" t="s">
        <v>444</v>
      </c>
      <c r="C17" s="8" t="s">
        <v>153</v>
      </c>
      <c r="D17" s="8" t="s">
        <v>644</v>
      </c>
    </row>
    <row r="18">
      <c r="A18" s="6" t="s">
        <v>444</v>
      </c>
      <c r="B18" s="6" t="s">
        <v>439</v>
      </c>
      <c r="C18" s="6" t="s">
        <v>146</v>
      </c>
      <c r="D18" s="6" t="s">
        <v>645</v>
      </c>
    </row>
    <row r="19">
      <c r="A19" s="8" t="s">
        <v>439</v>
      </c>
      <c r="B19" s="8" t="s">
        <v>448</v>
      </c>
      <c r="C19" s="8" t="s">
        <v>169</v>
      </c>
      <c r="D19" s="8" t="s">
        <v>644</v>
      </c>
    </row>
    <row r="20">
      <c r="A20" s="6" t="s">
        <v>448</v>
      </c>
      <c r="B20" s="6" t="s">
        <v>439</v>
      </c>
      <c r="C20" s="6" t="s">
        <v>146</v>
      </c>
      <c r="D20" s="6" t="s">
        <v>645</v>
      </c>
    </row>
    <row r="21" ht="15.75" customHeight="1">
      <c r="A21" s="8" t="s">
        <v>439</v>
      </c>
      <c r="B21" s="8" t="s">
        <v>452</v>
      </c>
      <c r="C21" s="8" t="s">
        <v>185</v>
      </c>
      <c r="D21" s="8" t="s">
        <v>644</v>
      </c>
    </row>
    <row r="22" ht="15.75" customHeight="1">
      <c r="A22" s="6" t="s">
        <v>452</v>
      </c>
      <c r="B22" s="6" t="s">
        <v>439</v>
      </c>
      <c r="C22" s="6" t="s">
        <v>146</v>
      </c>
      <c r="D22" s="6" t="s">
        <v>645</v>
      </c>
    </row>
    <row r="23" ht="15.75" customHeight="1">
      <c r="A23" s="8" t="s">
        <v>439</v>
      </c>
      <c r="B23" s="8" t="s">
        <v>493</v>
      </c>
      <c r="C23" s="8" t="s">
        <v>193</v>
      </c>
      <c r="D23" s="8" t="s">
        <v>644</v>
      </c>
    </row>
    <row r="24" ht="15.75" customHeight="1">
      <c r="A24" s="6" t="s">
        <v>493</v>
      </c>
      <c r="B24" s="6" t="s">
        <v>439</v>
      </c>
      <c r="C24" s="6" t="s">
        <v>146</v>
      </c>
      <c r="D24" s="6" t="s">
        <v>645</v>
      </c>
    </row>
    <row r="25" ht="15.75" customHeight="1">
      <c r="A25" s="8" t="s">
        <v>439</v>
      </c>
      <c r="B25" s="8" t="s">
        <v>511</v>
      </c>
      <c r="C25" s="8" t="s">
        <v>199</v>
      </c>
      <c r="D25" s="8" t="s">
        <v>644</v>
      </c>
    </row>
    <row r="26" ht="15.75" customHeight="1">
      <c r="A26" s="6" t="s">
        <v>511</v>
      </c>
      <c r="B26" s="6" t="s">
        <v>439</v>
      </c>
      <c r="C26" s="6" t="s">
        <v>146</v>
      </c>
      <c r="D26" s="6" t="s">
        <v>645</v>
      </c>
    </row>
    <row r="27" ht="15.75" customHeight="1">
      <c r="A27" s="8" t="s">
        <v>514</v>
      </c>
      <c r="B27" s="8" t="s">
        <v>520</v>
      </c>
      <c r="C27" s="8" t="s">
        <v>216</v>
      </c>
      <c r="D27" s="8" t="s">
        <v>644</v>
      </c>
    </row>
    <row r="28" ht="15.75" customHeight="1">
      <c r="A28" s="6" t="s">
        <v>520</v>
      </c>
      <c r="B28" s="6" t="s">
        <v>514</v>
      </c>
      <c r="C28" s="6" t="s">
        <v>516</v>
      </c>
      <c r="D28" s="6" t="s">
        <v>645</v>
      </c>
    </row>
    <row r="29" ht="15.75" customHeight="1">
      <c r="A29" s="8" t="s">
        <v>514</v>
      </c>
      <c r="B29" s="8" t="s">
        <v>531</v>
      </c>
      <c r="C29" s="8" t="s">
        <v>222</v>
      </c>
      <c r="D29" s="8" t="s">
        <v>644</v>
      </c>
    </row>
    <row r="30" ht="15.75" customHeight="1">
      <c r="A30" s="6" t="s">
        <v>531</v>
      </c>
      <c r="B30" s="6" t="s">
        <v>514</v>
      </c>
      <c r="C30" s="6" t="s">
        <v>516</v>
      </c>
      <c r="D30" s="6" t="s">
        <v>645</v>
      </c>
    </row>
    <row r="31" ht="15.75" customHeight="1">
      <c r="A31" s="8" t="s">
        <v>514</v>
      </c>
      <c r="B31" s="8" t="s">
        <v>535</v>
      </c>
      <c r="C31" s="8" t="s">
        <v>229</v>
      </c>
      <c r="D31" s="8" t="s">
        <v>644</v>
      </c>
    </row>
    <row r="32" ht="15.75" customHeight="1">
      <c r="A32" s="6" t="s">
        <v>535</v>
      </c>
      <c r="B32" s="6" t="s">
        <v>514</v>
      </c>
      <c r="C32" s="6" t="s">
        <v>516</v>
      </c>
      <c r="D32" s="6" t="s">
        <v>645</v>
      </c>
    </row>
    <row r="33" ht="15.75" customHeight="1">
      <c r="A33" s="8" t="s">
        <v>514</v>
      </c>
      <c r="B33" s="8" t="s">
        <v>547</v>
      </c>
      <c r="C33" s="8" t="s">
        <v>237</v>
      </c>
      <c r="D33" s="8" t="s">
        <v>644</v>
      </c>
    </row>
    <row r="34" ht="15.75" customHeight="1">
      <c r="A34" s="6" t="s">
        <v>547</v>
      </c>
      <c r="B34" s="6" t="s">
        <v>514</v>
      </c>
      <c r="C34" s="6" t="s">
        <v>516</v>
      </c>
      <c r="D34" s="6" t="s">
        <v>645</v>
      </c>
    </row>
    <row r="35" ht="15.75" customHeight="1">
      <c r="A35" s="8" t="s">
        <v>595</v>
      </c>
      <c r="B35" s="8" t="s">
        <v>608</v>
      </c>
      <c r="C35" s="8" t="s">
        <v>252</v>
      </c>
      <c r="D35" s="8" t="s">
        <v>644</v>
      </c>
    </row>
    <row r="36" ht="15.75" customHeight="1">
      <c r="A36" s="6" t="s">
        <v>608</v>
      </c>
      <c r="B36" s="6" t="s">
        <v>595</v>
      </c>
      <c r="C36" s="6" t="s">
        <v>243</v>
      </c>
      <c r="D36" s="6" t="s">
        <v>645</v>
      </c>
    </row>
    <row r="37" ht="15.75" customHeight="1">
      <c r="A37" s="8" t="s">
        <v>595</v>
      </c>
      <c r="B37" s="8" t="s">
        <v>611</v>
      </c>
      <c r="C37" s="8" t="s">
        <v>259</v>
      </c>
      <c r="D37" s="8" t="s">
        <v>644</v>
      </c>
    </row>
    <row r="38" ht="15.75" customHeight="1">
      <c r="A38" s="6" t="s">
        <v>611</v>
      </c>
      <c r="B38" s="6" t="s">
        <v>595</v>
      </c>
      <c r="C38" s="6" t="s">
        <v>243</v>
      </c>
      <c r="D38" s="6" t="s">
        <v>645</v>
      </c>
    </row>
    <row r="39" ht="15.75" customHeight="1">
      <c r="A39" s="8" t="s">
        <v>615</v>
      </c>
      <c r="B39" s="8" t="s">
        <v>619</v>
      </c>
      <c r="C39" s="8" t="s">
        <v>621</v>
      </c>
      <c r="D39" s="8" t="s">
        <v>644</v>
      </c>
    </row>
    <row r="40" ht="15.75" customHeight="1">
      <c r="A40" s="6" t="s">
        <v>619</v>
      </c>
      <c r="B40" s="6" t="s">
        <v>615</v>
      </c>
      <c r="C40" s="6" t="s">
        <v>272</v>
      </c>
      <c r="D40" s="6" t="s">
        <v>645</v>
      </c>
    </row>
    <row r="41" ht="15.75" customHeight="1">
      <c r="A41" s="8" t="s">
        <v>625</v>
      </c>
      <c r="B41" s="8" t="s">
        <v>633</v>
      </c>
      <c r="C41" s="8" t="s">
        <v>309</v>
      </c>
      <c r="D41" s="8" t="s">
        <v>644</v>
      </c>
    </row>
    <row r="42" ht="15.75" customHeight="1">
      <c r="A42" s="6" t="s">
        <v>633</v>
      </c>
      <c r="B42" s="6" t="s">
        <v>625</v>
      </c>
      <c r="C42" s="6" t="s">
        <v>341</v>
      </c>
      <c r="D42" s="6" t="s">
        <v>645</v>
      </c>
    </row>
    <row r="43" ht="15.75" customHeight="1">
      <c r="A43" s="8" t="s">
        <v>625</v>
      </c>
      <c r="B43" s="8" t="s">
        <v>646</v>
      </c>
      <c r="C43" s="8" t="s">
        <v>334</v>
      </c>
      <c r="D43" s="8" t="s">
        <v>644</v>
      </c>
    </row>
    <row r="44" ht="15.75" customHeight="1">
      <c r="A44" s="6" t="s">
        <v>646</v>
      </c>
      <c r="B44" s="6" t="s">
        <v>625</v>
      </c>
      <c r="C44" s="6" t="s">
        <v>341</v>
      </c>
      <c r="D44" s="6" t="s">
        <v>645</v>
      </c>
    </row>
    <row r="45" ht="15.75" customHeight="1">
      <c r="A45" s="8" t="s">
        <v>436</v>
      </c>
      <c r="B45" s="8" t="s">
        <v>459</v>
      </c>
      <c r="C45" s="8" t="s">
        <v>450</v>
      </c>
      <c r="D45" s="8" t="s">
        <v>644</v>
      </c>
    </row>
    <row r="46" ht="15.75" customHeight="1">
      <c r="A46" s="6" t="s">
        <v>459</v>
      </c>
      <c r="B46" s="6" t="s">
        <v>436</v>
      </c>
      <c r="C46" s="6" t="s">
        <v>123</v>
      </c>
      <c r="D46" s="6" t="s">
        <v>645</v>
      </c>
    </row>
    <row r="47" ht="15.75" customHeight="1">
      <c r="A47" s="8" t="s">
        <v>436</v>
      </c>
      <c r="B47" s="8" t="s">
        <v>637</v>
      </c>
      <c r="C47" s="8" t="s">
        <v>347</v>
      </c>
      <c r="D47" s="8" t="s">
        <v>644</v>
      </c>
    </row>
    <row r="48" ht="15.75" customHeight="1">
      <c r="A48" s="6" t="s">
        <v>637</v>
      </c>
      <c r="B48" s="6" t="s">
        <v>436</v>
      </c>
      <c r="C48" s="6" t="s">
        <v>123</v>
      </c>
      <c r="D48" s="6" t="s">
        <v>645</v>
      </c>
    </row>
    <row r="49" ht="15.75" customHeight="1">
      <c r="A49" s="8" t="s">
        <v>417</v>
      </c>
      <c r="B49" s="8" t="s">
        <v>652</v>
      </c>
      <c r="C49" s="8" t="s">
        <v>354</v>
      </c>
      <c r="D49" s="8" t="s">
        <v>644</v>
      </c>
    </row>
    <row r="50" ht="15.75" customHeight="1">
      <c r="A50" s="6" t="s">
        <v>652</v>
      </c>
      <c r="B50" s="6" t="s">
        <v>417</v>
      </c>
      <c r="C50" s="6" t="s">
        <v>411</v>
      </c>
      <c r="D50" s="6" t="s">
        <v>645</v>
      </c>
    </row>
    <row r="51" ht="15.75" customHeight="1">
      <c r="A51" s="8" t="s">
        <v>417</v>
      </c>
      <c r="B51" s="8" t="s">
        <v>654</v>
      </c>
      <c r="C51" s="8" t="s">
        <v>655</v>
      </c>
      <c r="D51" s="8" t="s">
        <v>644</v>
      </c>
    </row>
    <row r="52" ht="15.75" customHeight="1">
      <c r="A52" s="6" t="s">
        <v>654</v>
      </c>
      <c r="B52" s="6" t="s">
        <v>417</v>
      </c>
      <c r="C52" s="6" t="s">
        <v>411</v>
      </c>
      <c r="D52" s="6" t="s">
        <v>645</v>
      </c>
    </row>
    <row r="53" ht="15.75" customHeight="1">
      <c r="A53" s="8" t="s">
        <v>417</v>
      </c>
      <c r="B53" s="8" t="s">
        <v>656</v>
      </c>
      <c r="C53" s="8" t="s">
        <v>657</v>
      </c>
      <c r="D53" s="8" t="s">
        <v>644</v>
      </c>
    </row>
    <row r="54" ht="15.75" customHeight="1">
      <c r="A54" s="6" t="s">
        <v>656</v>
      </c>
      <c r="B54" s="6" t="s">
        <v>417</v>
      </c>
      <c r="C54" s="6" t="s">
        <v>411</v>
      </c>
      <c r="D54" s="6" t="s">
        <v>645</v>
      </c>
    </row>
    <row r="55" ht="15.75" customHeight="1">
      <c r="A55" s="8" t="s">
        <v>417</v>
      </c>
      <c r="B55" s="8" t="s">
        <v>658</v>
      </c>
      <c r="C55" s="8" t="s">
        <v>659</v>
      </c>
      <c r="D55" s="8" t="s">
        <v>644</v>
      </c>
    </row>
    <row r="56" ht="15.75" customHeight="1">
      <c r="A56" s="6" t="s">
        <v>658</v>
      </c>
      <c r="B56" s="6" t="s">
        <v>417</v>
      </c>
      <c r="C56" s="6" t="s">
        <v>411</v>
      </c>
      <c r="D56" s="6" t="s">
        <v>645</v>
      </c>
    </row>
    <row r="57" ht="15.75" customHeight="1">
      <c r="A57" s="8" t="s">
        <v>417</v>
      </c>
      <c r="B57" s="8" t="s">
        <v>661</v>
      </c>
      <c r="C57" s="8" t="s">
        <v>662</v>
      </c>
      <c r="D57" s="8" t="s">
        <v>644</v>
      </c>
    </row>
    <row r="58" ht="15.75" customHeight="1">
      <c r="A58" s="6" t="s">
        <v>661</v>
      </c>
      <c r="B58" s="6" t="s">
        <v>417</v>
      </c>
      <c r="C58" s="6" t="s">
        <v>411</v>
      </c>
      <c r="D58" s="6" t="s">
        <v>645</v>
      </c>
    </row>
    <row r="59" ht="15.75" customHeight="1">
      <c r="A59" s="8" t="s">
        <v>417</v>
      </c>
      <c r="B59" s="8" t="s">
        <v>665</v>
      </c>
      <c r="C59" s="8" t="s">
        <v>666</v>
      </c>
      <c r="D59" s="8" t="s">
        <v>644</v>
      </c>
    </row>
    <row r="60" ht="15.75" customHeight="1">
      <c r="A60" s="6" t="s">
        <v>665</v>
      </c>
      <c r="B60" s="6" t="s">
        <v>417</v>
      </c>
      <c r="C60" s="6" t="s">
        <v>411</v>
      </c>
      <c r="D60" s="6" t="s">
        <v>645</v>
      </c>
    </row>
    <row r="61" ht="15.75" customHeight="1">
      <c r="A61" s="8" t="s">
        <v>417</v>
      </c>
      <c r="B61" s="8" t="s">
        <v>667</v>
      </c>
      <c r="C61" s="8" t="s">
        <v>668</v>
      </c>
      <c r="D61" s="8" t="s">
        <v>644</v>
      </c>
    </row>
    <row r="62" ht="15.75" customHeight="1">
      <c r="A62" s="6" t="s">
        <v>667</v>
      </c>
      <c r="B62" s="6" t="s">
        <v>417</v>
      </c>
      <c r="C62" s="6" t="s">
        <v>411</v>
      </c>
      <c r="D62" s="6" t="s">
        <v>645</v>
      </c>
    </row>
    <row r="63" ht="15.75" customHeight="1">
      <c r="A63" s="8" t="s">
        <v>417</v>
      </c>
      <c r="B63" s="8" t="s">
        <v>669</v>
      </c>
      <c r="C63" s="8" t="s">
        <v>670</v>
      </c>
      <c r="D63" s="8" t="s">
        <v>644</v>
      </c>
    </row>
    <row r="64" ht="15.75" customHeight="1">
      <c r="A64" s="6" t="s">
        <v>669</v>
      </c>
      <c r="B64" s="6" t="s">
        <v>417</v>
      </c>
      <c r="C64" s="6" t="s">
        <v>411</v>
      </c>
      <c r="D64" s="6" t="s">
        <v>645</v>
      </c>
    </row>
    <row r="65" ht="15.75" customHeight="1">
      <c r="A65" s="8" t="s">
        <v>417</v>
      </c>
      <c r="B65" s="8" t="s">
        <v>671</v>
      </c>
      <c r="C65" s="8" t="s">
        <v>672</v>
      </c>
      <c r="D65" s="8" t="s">
        <v>644</v>
      </c>
    </row>
    <row r="66" ht="15.75" customHeight="1">
      <c r="A66" s="6" t="s">
        <v>671</v>
      </c>
      <c r="B66" s="6" t="s">
        <v>417</v>
      </c>
      <c r="C66" s="6" t="s">
        <v>411</v>
      </c>
      <c r="D66" s="6" t="s">
        <v>645</v>
      </c>
    </row>
    <row r="67" ht="15.75" customHeight="1">
      <c r="A67" s="8" t="s">
        <v>417</v>
      </c>
      <c r="B67" s="8" t="s">
        <v>674</v>
      </c>
      <c r="C67" s="8" t="s">
        <v>675</v>
      </c>
      <c r="D67" s="8" t="s">
        <v>644</v>
      </c>
    </row>
    <row r="68" ht="15.75" customHeight="1">
      <c r="A68" s="6" t="s">
        <v>674</v>
      </c>
      <c r="B68" s="6" t="s">
        <v>417</v>
      </c>
      <c r="C68" s="6" t="s">
        <v>411</v>
      </c>
      <c r="D68" s="6" t="s">
        <v>645</v>
      </c>
    </row>
    <row r="69" ht="15.75" customHeight="1">
      <c r="A69" s="8" t="s">
        <v>417</v>
      </c>
      <c r="B69" s="8" t="s">
        <v>676</v>
      </c>
      <c r="C69" s="8" t="s">
        <v>677</v>
      </c>
      <c r="D69" s="8" t="s">
        <v>644</v>
      </c>
    </row>
    <row r="70" ht="15.75" customHeight="1">
      <c r="A70" s="6" t="s">
        <v>676</v>
      </c>
      <c r="B70" s="6" t="s">
        <v>417</v>
      </c>
      <c r="C70" s="6" t="s">
        <v>411</v>
      </c>
      <c r="D70" s="6" t="s">
        <v>645</v>
      </c>
    </row>
    <row r="71" ht="15.75" customHeight="1">
      <c r="A71" s="8" t="s">
        <v>640</v>
      </c>
      <c r="B71" s="8" t="s">
        <v>180</v>
      </c>
      <c r="C71" s="8" t="s">
        <v>21</v>
      </c>
      <c r="D71" s="8" t="s">
        <v>645</v>
      </c>
    </row>
    <row r="72" ht="15.75" customHeight="1">
      <c r="A72" s="6" t="s">
        <v>640</v>
      </c>
      <c r="B72" s="6" t="s">
        <v>678</v>
      </c>
      <c r="C72" s="6" t="s">
        <v>680</v>
      </c>
      <c r="D72" s="6" t="s">
        <v>644</v>
      </c>
    </row>
    <row r="73" ht="15.75" customHeight="1">
      <c r="A73" s="8" t="s">
        <v>678</v>
      </c>
      <c r="B73" s="8" t="s">
        <v>640</v>
      </c>
      <c r="C73" s="8" t="s">
        <v>641</v>
      </c>
      <c r="D73" s="8" t="s">
        <v>645</v>
      </c>
    </row>
    <row r="74" ht="15.75" customHeight="1">
      <c r="A74" s="6" t="s">
        <v>638</v>
      </c>
      <c r="B74" s="6" t="s">
        <v>180</v>
      </c>
      <c r="C74" s="6" t="s">
        <v>21</v>
      </c>
      <c r="D74" s="6" t="s">
        <v>645</v>
      </c>
    </row>
    <row r="75" ht="15.75" customHeight="1">
      <c r="A75" s="8" t="s">
        <v>386</v>
      </c>
      <c r="B75" s="8" t="s">
        <v>180</v>
      </c>
      <c r="C75" s="8" t="s">
        <v>21</v>
      </c>
      <c r="D75" s="8" t="s">
        <v>645</v>
      </c>
    </row>
    <row r="76" ht="15.75" customHeight="1">
      <c r="A76" s="6" t="s">
        <v>642</v>
      </c>
      <c r="B76" s="6" t="s">
        <v>180</v>
      </c>
      <c r="C76" s="6" t="s">
        <v>21</v>
      </c>
      <c r="D76" s="6" t="s">
        <v>645</v>
      </c>
    </row>
    <row r="77" ht="15.75" customHeight="1">
      <c r="A77" s="8" t="s">
        <v>439</v>
      </c>
      <c r="B77" s="8" t="s">
        <v>408</v>
      </c>
      <c r="C77" s="8" t="s">
        <v>682</v>
      </c>
      <c r="D77" s="8" t="s">
        <v>683</v>
      </c>
    </row>
    <row r="78" ht="15.75" customHeight="1">
      <c r="A78" s="6" t="s">
        <v>444</v>
      </c>
      <c r="B78" s="6" t="s">
        <v>408</v>
      </c>
      <c r="C78" s="6" t="s">
        <v>682</v>
      </c>
      <c r="D78" s="6" t="s">
        <v>683</v>
      </c>
    </row>
    <row r="79" ht="15.75" customHeight="1">
      <c r="A79" s="8" t="s">
        <v>448</v>
      </c>
      <c r="B79" s="8" t="s">
        <v>408</v>
      </c>
      <c r="C79" s="8" t="s">
        <v>682</v>
      </c>
      <c r="D79" s="8" t="s">
        <v>683</v>
      </c>
    </row>
    <row r="80" ht="15.75" customHeight="1">
      <c r="A80" s="6" t="s">
        <v>452</v>
      </c>
      <c r="B80" s="6" t="s">
        <v>408</v>
      </c>
      <c r="C80" s="6" t="s">
        <v>682</v>
      </c>
      <c r="D80" s="6" t="s">
        <v>683</v>
      </c>
    </row>
    <row r="81" ht="15.75" customHeight="1">
      <c r="A81" s="8" t="s">
        <v>493</v>
      </c>
      <c r="B81" s="8" t="s">
        <v>408</v>
      </c>
      <c r="C81" s="8" t="s">
        <v>682</v>
      </c>
      <c r="D81" s="8" t="s">
        <v>683</v>
      </c>
    </row>
    <row r="82" ht="15.75" customHeight="1">
      <c r="A82" s="6" t="s">
        <v>511</v>
      </c>
      <c r="B82" s="6" t="s">
        <v>408</v>
      </c>
      <c r="C82" s="6" t="s">
        <v>682</v>
      </c>
      <c r="D82" s="6" t="s">
        <v>683</v>
      </c>
    </row>
    <row r="83" ht="15.75" customHeight="1">
      <c r="A83" s="8" t="s">
        <v>514</v>
      </c>
      <c r="B83" s="8" t="s">
        <v>408</v>
      </c>
      <c r="C83" s="8" t="s">
        <v>682</v>
      </c>
      <c r="D83" s="8" t="s">
        <v>683</v>
      </c>
    </row>
    <row r="84" ht="15.75" customHeight="1">
      <c r="A84" s="6" t="s">
        <v>520</v>
      </c>
      <c r="B84" s="6" t="s">
        <v>408</v>
      </c>
      <c r="C84" s="6" t="s">
        <v>682</v>
      </c>
      <c r="D84" s="6" t="s">
        <v>683</v>
      </c>
    </row>
    <row r="85" ht="15.75" customHeight="1">
      <c r="A85" s="8" t="s">
        <v>531</v>
      </c>
      <c r="B85" s="8" t="s">
        <v>408</v>
      </c>
      <c r="C85" s="8" t="s">
        <v>682</v>
      </c>
      <c r="D85" s="8" t="s">
        <v>683</v>
      </c>
    </row>
    <row r="86" ht="15.75" customHeight="1">
      <c r="A86" s="6" t="s">
        <v>535</v>
      </c>
      <c r="B86" s="6" t="s">
        <v>408</v>
      </c>
      <c r="C86" s="6" t="s">
        <v>682</v>
      </c>
      <c r="D86" s="6" t="s">
        <v>683</v>
      </c>
    </row>
    <row r="87" ht="15.75" customHeight="1">
      <c r="A87" s="8" t="s">
        <v>547</v>
      </c>
      <c r="B87" s="8" t="s">
        <v>408</v>
      </c>
      <c r="C87" s="8" t="s">
        <v>682</v>
      </c>
      <c r="D87" s="8" t="s">
        <v>683</v>
      </c>
    </row>
    <row r="88" ht="15.75" customHeight="1">
      <c r="A88" s="6" t="s">
        <v>595</v>
      </c>
      <c r="B88" s="6" t="s">
        <v>408</v>
      </c>
      <c r="C88" s="6" t="s">
        <v>682</v>
      </c>
      <c r="D88" s="6" t="s">
        <v>683</v>
      </c>
    </row>
    <row r="89" ht="15.75" customHeight="1">
      <c r="A89" s="8" t="s">
        <v>608</v>
      </c>
      <c r="B89" s="8" t="s">
        <v>408</v>
      </c>
      <c r="C89" s="8" t="s">
        <v>682</v>
      </c>
      <c r="D89" s="8" t="s">
        <v>683</v>
      </c>
    </row>
    <row r="90" ht="15.75" customHeight="1">
      <c r="A90" s="6" t="s">
        <v>611</v>
      </c>
      <c r="B90" s="6" t="s">
        <v>408</v>
      </c>
      <c r="C90" s="6" t="s">
        <v>682</v>
      </c>
      <c r="D90" s="6" t="s">
        <v>683</v>
      </c>
    </row>
    <row r="91" ht="15.75" customHeight="1">
      <c r="A91" s="8" t="s">
        <v>615</v>
      </c>
      <c r="B91" s="8" t="s">
        <v>408</v>
      </c>
      <c r="C91" s="8" t="s">
        <v>682</v>
      </c>
      <c r="D91" s="8" t="s">
        <v>683</v>
      </c>
    </row>
    <row r="92" ht="15.75" customHeight="1">
      <c r="A92" s="6" t="s">
        <v>619</v>
      </c>
      <c r="B92" s="6" t="s">
        <v>408</v>
      </c>
      <c r="C92" s="6" t="s">
        <v>682</v>
      </c>
      <c r="D92" s="6" t="s">
        <v>683</v>
      </c>
    </row>
    <row r="93" ht="15.75" customHeight="1">
      <c r="A93" s="8" t="s">
        <v>625</v>
      </c>
      <c r="B93" s="8" t="s">
        <v>408</v>
      </c>
      <c r="C93" s="8" t="s">
        <v>682</v>
      </c>
      <c r="D93" s="8" t="s">
        <v>683</v>
      </c>
    </row>
    <row r="94" ht="15.75" customHeight="1">
      <c r="A94" s="6" t="s">
        <v>633</v>
      </c>
      <c r="B94" s="6" t="s">
        <v>408</v>
      </c>
      <c r="C94" s="6" t="s">
        <v>682</v>
      </c>
      <c r="D94" s="6" t="s">
        <v>683</v>
      </c>
    </row>
    <row r="95" ht="15.75" customHeight="1">
      <c r="A95" s="8" t="s">
        <v>646</v>
      </c>
      <c r="B95" s="8" t="s">
        <v>408</v>
      </c>
      <c r="C95" s="8" t="s">
        <v>682</v>
      </c>
      <c r="D95" s="8" t="s">
        <v>683</v>
      </c>
    </row>
    <row r="96" ht="15.75" customHeight="1">
      <c r="A96" s="6" t="s">
        <v>436</v>
      </c>
      <c r="B96" s="6" t="s">
        <v>408</v>
      </c>
      <c r="C96" s="6" t="s">
        <v>682</v>
      </c>
      <c r="D96" s="6" t="s">
        <v>683</v>
      </c>
    </row>
    <row r="97" ht="15.75" customHeight="1">
      <c r="A97" s="8" t="s">
        <v>459</v>
      </c>
      <c r="B97" s="8" t="s">
        <v>408</v>
      </c>
      <c r="C97" s="8" t="s">
        <v>682</v>
      </c>
      <c r="D97" s="8" t="s">
        <v>683</v>
      </c>
    </row>
    <row r="98" ht="15.75" customHeight="1">
      <c r="A98" s="6" t="s">
        <v>637</v>
      </c>
      <c r="B98" s="6" t="s">
        <v>408</v>
      </c>
      <c r="C98" s="6" t="s">
        <v>682</v>
      </c>
      <c r="D98" s="6" t="s">
        <v>683</v>
      </c>
    </row>
    <row r="99" ht="15.75" customHeight="1">
      <c r="A99" s="8" t="s">
        <v>417</v>
      </c>
      <c r="B99" s="8" t="s">
        <v>408</v>
      </c>
      <c r="C99" s="8" t="s">
        <v>682</v>
      </c>
      <c r="D99" s="8" t="s">
        <v>683</v>
      </c>
    </row>
    <row r="100" ht="15.75" customHeight="1">
      <c r="A100" s="6" t="s">
        <v>439</v>
      </c>
      <c r="B100" s="6" t="s">
        <v>459</v>
      </c>
      <c r="C100" s="6" t="s">
        <v>686</v>
      </c>
      <c r="D100" s="6" t="s">
        <v>687</v>
      </c>
    </row>
    <row r="101" ht="15.75" customHeight="1">
      <c r="A101" s="8" t="s">
        <v>439</v>
      </c>
      <c r="B101" s="8" t="s">
        <v>637</v>
      </c>
      <c r="C101" s="8" t="s">
        <v>688</v>
      </c>
      <c r="D101" s="8" t="s">
        <v>689</v>
      </c>
    </row>
    <row r="102" ht="15.75" customHeight="1">
      <c r="A102" s="6" t="s">
        <v>444</v>
      </c>
      <c r="B102" s="6" t="s">
        <v>459</v>
      </c>
      <c r="C102" s="6" t="s">
        <v>686</v>
      </c>
      <c r="D102" s="6" t="s">
        <v>687</v>
      </c>
    </row>
    <row r="103" ht="15.75" customHeight="1">
      <c r="A103" s="8" t="s">
        <v>444</v>
      </c>
      <c r="B103" s="8" t="s">
        <v>637</v>
      </c>
      <c r="C103" s="8" t="s">
        <v>688</v>
      </c>
      <c r="D103" s="8" t="s">
        <v>689</v>
      </c>
    </row>
    <row r="104" ht="15.75" customHeight="1">
      <c r="A104" s="6" t="s">
        <v>520</v>
      </c>
      <c r="B104" s="6" t="s">
        <v>459</v>
      </c>
      <c r="C104" s="6" t="s">
        <v>686</v>
      </c>
      <c r="D104" s="6" t="s">
        <v>687</v>
      </c>
    </row>
    <row r="105" ht="15.75" customHeight="1">
      <c r="A105" s="8" t="s">
        <v>520</v>
      </c>
      <c r="B105" s="8" t="s">
        <v>637</v>
      </c>
      <c r="C105" s="8" t="s">
        <v>688</v>
      </c>
      <c r="D105" s="8" t="s">
        <v>689</v>
      </c>
    </row>
    <row r="106" ht="15.75" customHeight="1">
      <c r="A106" s="6" t="s">
        <v>535</v>
      </c>
      <c r="B106" s="6" t="s">
        <v>459</v>
      </c>
      <c r="C106" s="6" t="s">
        <v>686</v>
      </c>
      <c r="D106" s="6" t="s">
        <v>687</v>
      </c>
    </row>
    <row r="107" ht="15.75" customHeight="1">
      <c r="A107" s="8" t="s">
        <v>535</v>
      </c>
      <c r="B107" s="8" t="s">
        <v>637</v>
      </c>
      <c r="C107" s="8" t="s">
        <v>688</v>
      </c>
      <c r="D107" s="8" t="s">
        <v>689</v>
      </c>
    </row>
    <row r="108" ht="15.75" customHeight="1">
      <c r="A108" s="6" t="s">
        <v>595</v>
      </c>
      <c r="B108" s="6" t="s">
        <v>459</v>
      </c>
      <c r="C108" s="6" t="s">
        <v>686</v>
      </c>
      <c r="D108" s="6" t="s">
        <v>687</v>
      </c>
    </row>
    <row r="109" ht="15.75" customHeight="1">
      <c r="A109" s="8" t="s">
        <v>595</v>
      </c>
      <c r="B109" s="8" t="s">
        <v>637</v>
      </c>
      <c r="C109" s="8" t="s">
        <v>688</v>
      </c>
      <c r="D109" s="8" t="s">
        <v>689</v>
      </c>
    </row>
    <row r="110" ht="15.75" customHeight="1">
      <c r="A110" s="6" t="s">
        <v>633</v>
      </c>
      <c r="B110" s="6" t="s">
        <v>459</v>
      </c>
      <c r="C110" s="6" t="s">
        <v>686</v>
      </c>
      <c r="D110" s="6" t="s">
        <v>687</v>
      </c>
    </row>
    <row r="111" ht="15.75" customHeight="1">
      <c r="A111" s="8" t="s">
        <v>633</v>
      </c>
      <c r="B111" s="8" t="s">
        <v>637</v>
      </c>
      <c r="C111" s="8" t="s">
        <v>688</v>
      </c>
      <c r="D111" s="8" t="s">
        <v>689</v>
      </c>
    </row>
    <row r="112" ht="15.75" customHeight="1">
      <c r="A112" s="6" t="s">
        <v>493</v>
      </c>
      <c r="B112" s="6" t="s">
        <v>459</v>
      </c>
      <c r="C112" s="6" t="s">
        <v>686</v>
      </c>
      <c r="D112" s="6" t="s">
        <v>687</v>
      </c>
    </row>
    <row r="113" ht="15.75" customHeight="1">
      <c r="A113" s="8" t="s">
        <v>493</v>
      </c>
      <c r="B113" s="8" t="s">
        <v>637</v>
      </c>
      <c r="C113" s="8" t="s">
        <v>688</v>
      </c>
      <c r="D113" s="8" t="s">
        <v>689</v>
      </c>
    </row>
    <row r="114" ht="15.75" customHeight="1">
      <c r="A114" s="6" t="s">
        <v>452</v>
      </c>
      <c r="B114" s="6" t="s">
        <v>459</v>
      </c>
      <c r="C114" s="6" t="s">
        <v>686</v>
      </c>
      <c r="D114" s="6" t="s">
        <v>687</v>
      </c>
    </row>
    <row r="115" ht="15.75" customHeight="1">
      <c r="A115" s="8" t="s">
        <v>452</v>
      </c>
      <c r="B115" s="8" t="s">
        <v>637</v>
      </c>
      <c r="C115" s="8" t="s">
        <v>688</v>
      </c>
      <c r="D115" s="8" t="s">
        <v>689</v>
      </c>
    </row>
    <row r="116" ht="15.75" customHeight="1">
      <c r="A116" s="6" t="s">
        <v>444</v>
      </c>
      <c r="B116" s="6" t="s">
        <v>448</v>
      </c>
      <c r="C116" s="6" t="s">
        <v>169</v>
      </c>
      <c r="D116" s="6" t="s">
        <v>693</v>
      </c>
    </row>
    <row r="117" ht="15.75" customHeight="1">
      <c r="A117" s="8" t="s">
        <v>444</v>
      </c>
      <c r="B117" s="8" t="s">
        <v>493</v>
      </c>
      <c r="C117" s="8" t="s">
        <v>193</v>
      </c>
      <c r="D117" s="8" t="s">
        <v>693</v>
      </c>
    </row>
    <row r="118" ht="15.75" customHeight="1">
      <c r="A118" s="6" t="s">
        <v>444</v>
      </c>
      <c r="B118" s="6" t="s">
        <v>511</v>
      </c>
      <c r="C118" s="6" t="s">
        <v>199</v>
      </c>
      <c r="D118" s="6" t="s">
        <v>693</v>
      </c>
    </row>
    <row r="119" ht="15.75" customHeight="1">
      <c r="A119" s="8" t="s">
        <v>448</v>
      </c>
      <c r="B119" s="8" t="s">
        <v>444</v>
      </c>
      <c r="C119" s="8" t="s">
        <v>153</v>
      </c>
      <c r="D119" s="8" t="s">
        <v>693</v>
      </c>
    </row>
    <row r="120" ht="15.75" customHeight="1">
      <c r="A120" s="6" t="s">
        <v>493</v>
      </c>
      <c r="B120" s="6" t="s">
        <v>595</v>
      </c>
      <c r="C120" s="6" t="s">
        <v>243</v>
      </c>
      <c r="D120" s="6" t="s">
        <v>693</v>
      </c>
    </row>
    <row r="121" ht="15.75" customHeight="1">
      <c r="A121" s="8" t="s">
        <v>595</v>
      </c>
      <c r="B121" s="8" t="s">
        <v>493</v>
      </c>
      <c r="C121" s="8" t="s">
        <v>193</v>
      </c>
      <c r="D121" s="8" t="s">
        <v>693</v>
      </c>
    </row>
    <row r="122" ht="15.75" customHeight="1">
      <c r="A122" s="6" t="s">
        <v>452</v>
      </c>
      <c r="B122" s="6" t="s">
        <v>531</v>
      </c>
      <c r="C122" s="6" t="s">
        <v>222</v>
      </c>
      <c r="D122" s="6" t="s">
        <v>693</v>
      </c>
    </row>
    <row r="123" ht="15.75" customHeight="1">
      <c r="A123" s="8" t="s">
        <v>531</v>
      </c>
      <c r="B123" s="8" t="s">
        <v>452</v>
      </c>
      <c r="C123" s="8" t="s">
        <v>185</v>
      </c>
      <c r="D123" s="8" t="s">
        <v>693</v>
      </c>
    </row>
    <row r="124" ht="15.75" customHeight="1">
      <c r="A124" s="6" t="s">
        <v>535</v>
      </c>
      <c r="B124" s="6" t="s">
        <v>520</v>
      </c>
      <c r="C124" s="6" t="s">
        <v>216</v>
      </c>
      <c r="D124" s="6" t="s">
        <v>693</v>
      </c>
    </row>
    <row r="125" ht="15.75" customHeight="1">
      <c r="A125" s="8" t="s">
        <v>520</v>
      </c>
      <c r="B125" s="8" t="s">
        <v>535</v>
      </c>
      <c r="C125" s="8" t="s">
        <v>229</v>
      </c>
      <c r="D125" s="8" t="s">
        <v>693</v>
      </c>
    </row>
    <row r="126" ht="15.75" customHeight="1">
      <c r="A126" s="6" t="s">
        <v>608</v>
      </c>
      <c r="B126" s="6" t="s">
        <v>611</v>
      </c>
      <c r="C126" s="6" t="s">
        <v>259</v>
      </c>
      <c r="D126" s="6" t="s">
        <v>693</v>
      </c>
    </row>
    <row r="127" ht="15.75" customHeight="1">
      <c r="A127" s="8" t="s">
        <v>611</v>
      </c>
      <c r="B127" s="8" t="s">
        <v>535</v>
      </c>
      <c r="C127" s="8" t="s">
        <v>229</v>
      </c>
      <c r="D127" s="8" t="s">
        <v>693</v>
      </c>
    </row>
    <row r="128" ht="15.75" customHeight="1">
      <c r="A128" s="6" t="s">
        <v>633</v>
      </c>
      <c r="B128" s="6" t="s">
        <v>646</v>
      </c>
      <c r="C128" s="6" t="s">
        <v>334</v>
      </c>
      <c r="D128" s="6" t="s">
        <v>693</v>
      </c>
    </row>
    <row r="129" ht="15.75" customHeight="1">
      <c r="A129" s="8" t="s">
        <v>646</v>
      </c>
      <c r="B129" s="8" t="s">
        <v>386</v>
      </c>
      <c r="C129" s="8" t="s">
        <v>370</v>
      </c>
      <c r="D129" s="8" t="s">
        <v>693</v>
      </c>
    </row>
    <row r="130" ht="15.75" customHeight="1">
      <c r="A130" s="6" t="s">
        <v>436</v>
      </c>
      <c r="B130" s="6" t="s">
        <v>444</v>
      </c>
      <c r="C130" s="6" t="s">
        <v>153</v>
      </c>
      <c r="D130" s="6" t="s">
        <v>693</v>
      </c>
    </row>
    <row r="131" ht="15.75" customHeight="1">
      <c r="A131" s="8" t="s">
        <v>694</v>
      </c>
      <c r="B131" s="8" t="s">
        <v>444</v>
      </c>
      <c r="C131" s="8" t="s">
        <v>153</v>
      </c>
      <c r="D131" s="8" t="s">
        <v>697</v>
      </c>
    </row>
    <row r="132" ht="15.75" customHeight="1">
      <c r="A132" s="6" t="s">
        <v>444</v>
      </c>
      <c r="B132" s="6" t="s">
        <v>694</v>
      </c>
      <c r="C132" s="6" t="s">
        <v>690</v>
      </c>
      <c r="D132" s="6" t="s">
        <v>698</v>
      </c>
    </row>
    <row r="133" ht="15.75" customHeight="1">
      <c r="A133" s="8" t="s">
        <v>694</v>
      </c>
      <c r="B133" s="8" t="s">
        <v>408</v>
      </c>
      <c r="C133" s="8" t="s">
        <v>699</v>
      </c>
      <c r="D133" s="8" t="s">
        <v>700</v>
      </c>
    </row>
    <row r="134" ht="15.75" customHeight="1">
      <c r="A134" s="6" t="s">
        <v>701</v>
      </c>
      <c r="B134" s="6" t="s">
        <v>444</v>
      </c>
      <c r="C134" s="6" t="s">
        <v>153</v>
      </c>
      <c r="D134" s="6" t="s">
        <v>697</v>
      </c>
    </row>
    <row r="135" ht="15.75" customHeight="1">
      <c r="A135" s="8" t="s">
        <v>444</v>
      </c>
      <c r="B135" s="8" t="s">
        <v>701</v>
      </c>
      <c r="C135" s="8" t="s">
        <v>702</v>
      </c>
      <c r="D135" s="8" t="s">
        <v>698</v>
      </c>
    </row>
    <row r="136" ht="15.75" customHeight="1">
      <c r="A136" s="6" t="s">
        <v>701</v>
      </c>
      <c r="B136" s="6" t="s">
        <v>408</v>
      </c>
      <c r="C136" s="6" t="s">
        <v>699</v>
      </c>
      <c r="D136" s="6" t="s">
        <v>700</v>
      </c>
    </row>
    <row r="137" ht="15.75" customHeight="1">
      <c r="A137" s="8" t="s">
        <v>703</v>
      </c>
      <c r="B137" s="8" t="s">
        <v>448</v>
      </c>
      <c r="C137" s="8" t="s">
        <v>169</v>
      </c>
      <c r="D137" s="8" t="s">
        <v>697</v>
      </c>
    </row>
    <row r="138" ht="15.75" customHeight="1">
      <c r="A138" s="6" t="s">
        <v>448</v>
      </c>
      <c r="B138" s="6" t="s">
        <v>703</v>
      </c>
      <c r="C138" s="6" t="s">
        <v>704</v>
      </c>
      <c r="D138" s="6" t="s">
        <v>698</v>
      </c>
    </row>
    <row r="139" ht="15.75" customHeight="1">
      <c r="A139" s="8" t="s">
        <v>703</v>
      </c>
      <c r="B139" s="8" t="s">
        <v>408</v>
      </c>
      <c r="C139" s="8" t="s">
        <v>699</v>
      </c>
      <c r="D139" s="8" t="s">
        <v>700</v>
      </c>
    </row>
    <row r="140" ht="15.75" customHeight="1">
      <c r="A140" s="6" t="s">
        <v>527</v>
      </c>
      <c r="B140" s="6" t="s">
        <v>436</v>
      </c>
      <c r="C140" s="6" t="s">
        <v>123</v>
      </c>
      <c r="D140" s="6" t="s">
        <v>697</v>
      </c>
    </row>
    <row r="141" ht="15.75" customHeight="1">
      <c r="A141" s="8" t="s">
        <v>436</v>
      </c>
      <c r="B141" s="8" t="s">
        <v>527</v>
      </c>
      <c r="C141" s="8" t="s">
        <v>522</v>
      </c>
      <c r="D141" s="8" t="s">
        <v>698</v>
      </c>
    </row>
    <row r="142" ht="15.75" customHeight="1">
      <c r="A142" s="6" t="s">
        <v>527</v>
      </c>
      <c r="B142" s="6" t="s">
        <v>408</v>
      </c>
      <c r="C142" s="6" t="s">
        <v>699</v>
      </c>
      <c r="D142" s="6" t="s">
        <v>700</v>
      </c>
    </row>
    <row r="143" ht="15.75" customHeight="1">
      <c r="A143" s="8" t="s">
        <v>706</v>
      </c>
      <c r="B143" s="8" t="s">
        <v>511</v>
      </c>
      <c r="C143" s="8" t="s">
        <v>199</v>
      </c>
      <c r="D143" s="8" t="s">
        <v>697</v>
      </c>
    </row>
    <row r="144" ht="15.75" customHeight="1">
      <c r="A144" s="6" t="s">
        <v>511</v>
      </c>
      <c r="B144" s="6" t="s">
        <v>706</v>
      </c>
      <c r="C144" s="6" t="s">
        <v>709</v>
      </c>
      <c r="D144" s="6" t="s">
        <v>698</v>
      </c>
    </row>
    <row r="145" ht="15.75" customHeight="1">
      <c r="A145" s="8" t="s">
        <v>706</v>
      </c>
      <c r="B145" s="8" t="s">
        <v>408</v>
      </c>
      <c r="C145" s="8" t="s">
        <v>699</v>
      </c>
      <c r="D145" s="8" t="s">
        <v>700</v>
      </c>
    </row>
    <row r="146" ht="15.75" customHeight="1">
      <c r="A146" s="6" t="s">
        <v>710</v>
      </c>
      <c r="B146" s="6" t="s">
        <v>439</v>
      </c>
      <c r="C146" s="6" t="s">
        <v>146</v>
      </c>
      <c r="D146" s="6" t="s">
        <v>697</v>
      </c>
    </row>
    <row r="147" ht="15.75" customHeight="1">
      <c r="A147" s="8" t="s">
        <v>439</v>
      </c>
      <c r="B147" s="8" t="s">
        <v>710</v>
      </c>
      <c r="C147" s="8" t="s">
        <v>711</v>
      </c>
      <c r="D147" s="8" t="s">
        <v>698</v>
      </c>
    </row>
    <row r="148" ht="15.75" customHeight="1">
      <c r="A148" s="6" t="s">
        <v>710</v>
      </c>
      <c r="B148" s="6" t="s">
        <v>408</v>
      </c>
      <c r="C148" s="6" t="s">
        <v>699</v>
      </c>
      <c r="D148" s="6" t="s">
        <v>700</v>
      </c>
    </row>
    <row r="149" ht="15.75" customHeight="1">
      <c r="A149" s="8" t="s">
        <v>712</v>
      </c>
      <c r="B149" s="8" t="s">
        <v>439</v>
      </c>
      <c r="C149" s="8" t="s">
        <v>146</v>
      </c>
      <c r="D149" s="8" t="s">
        <v>697</v>
      </c>
    </row>
    <row r="150" ht="15.75" customHeight="1">
      <c r="A150" s="6" t="s">
        <v>439</v>
      </c>
      <c r="B150" s="6" t="s">
        <v>712</v>
      </c>
      <c r="C150" s="6" t="s">
        <v>205</v>
      </c>
      <c r="D150" s="6" t="s">
        <v>698</v>
      </c>
    </row>
    <row r="151" ht="15.75" customHeight="1">
      <c r="A151" s="8" t="s">
        <v>712</v>
      </c>
      <c r="B151" s="8" t="s">
        <v>408</v>
      </c>
      <c r="C151" s="8" t="s">
        <v>699</v>
      </c>
      <c r="D151" s="8" t="s">
        <v>700</v>
      </c>
    </row>
    <row r="152" ht="15.75" customHeight="1">
      <c r="A152" s="6" t="s">
        <v>713</v>
      </c>
      <c r="B152" s="6" t="s">
        <v>439</v>
      </c>
      <c r="C152" s="6" t="s">
        <v>146</v>
      </c>
      <c r="D152" s="6" t="s">
        <v>697</v>
      </c>
    </row>
    <row r="153" ht="15.75" customHeight="1">
      <c r="A153" s="8" t="s">
        <v>439</v>
      </c>
      <c r="B153" s="8" t="s">
        <v>713</v>
      </c>
      <c r="C153" s="8" t="s">
        <v>715</v>
      </c>
      <c r="D153" s="8" t="s">
        <v>698</v>
      </c>
    </row>
    <row r="154" ht="15.75" customHeight="1">
      <c r="A154" s="6" t="s">
        <v>713</v>
      </c>
      <c r="B154" s="6" t="s">
        <v>408</v>
      </c>
      <c r="C154" s="6" t="s">
        <v>699</v>
      </c>
      <c r="D154" s="6" t="s">
        <v>700</v>
      </c>
    </row>
    <row r="155" ht="15.75" customHeight="1">
      <c r="A155" s="8" t="s">
        <v>716</v>
      </c>
      <c r="B155" s="8" t="s">
        <v>493</v>
      </c>
      <c r="C155" s="8" t="s">
        <v>193</v>
      </c>
      <c r="D155" s="8" t="s">
        <v>697</v>
      </c>
    </row>
    <row r="156" ht="15.75" customHeight="1">
      <c r="A156" s="6" t="s">
        <v>493</v>
      </c>
      <c r="B156" s="6" t="s">
        <v>716</v>
      </c>
      <c r="C156" s="6" t="s">
        <v>717</v>
      </c>
      <c r="D156" s="6" t="s">
        <v>698</v>
      </c>
    </row>
    <row r="157" ht="15.75" customHeight="1">
      <c r="A157" s="8" t="s">
        <v>716</v>
      </c>
      <c r="B157" s="8" t="s">
        <v>408</v>
      </c>
      <c r="C157" s="8" t="s">
        <v>699</v>
      </c>
      <c r="D157" s="8" t="s">
        <v>700</v>
      </c>
    </row>
    <row r="158" ht="15.75" customHeight="1">
      <c r="A158" s="6" t="s">
        <v>718</v>
      </c>
      <c r="B158" s="6" t="s">
        <v>452</v>
      </c>
      <c r="C158" s="6" t="s">
        <v>185</v>
      </c>
      <c r="D158" s="6" t="s">
        <v>697</v>
      </c>
    </row>
    <row r="159" ht="15.75" customHeight="1">
      <c r="A159" s="8" t="s">
        <v>452</v>
      </c>
      <c r="B159" s="8" t="s">
        <v>718</v>
      </c>
      <c r="C159" s="8" t="s">
        <v>720</v>
      </c>
      <c r="D159" s="8" t="s">
        <v>698</v>
      </c>
    </row>
    <row r="160" ht="15.75" customHeight="1">
      <c r="A160" s="6" t="s">
        <v>718</v>
      </c>
      <c r="B160" s="6" t="s">
        <v>408</v>
      </c>
      <c r="C160" s="6" t="s">
        <v>699</v>
      </c>
      <c r="D160" s="6" t="s">
        <v>700</v>
      </c>
    </row>
    <row r="161" ht="15.75" customHeight="1">
      <c r="A161" s="8" t="s">
        <v>721</v>
      </c>
      <c r="B161" s="8" t="s">
        <v>452</v>
      </c>
      <c r="C161" s="8" t="s">
        <v>185</v>
      </c>
      <c r="D161" s="8" t="s">
        <v>697</v>
      </c>
    </row>
    <row r="162" ht="15.75" customHeight="1">
      <c r="A162" s="6" t="s">
        <v>452</v>
      </c>
      <c r="B162" s="6" t="s">
        <v>721</v>
      </c>
      <c r="C162" s="6" t="s">
        <v>722</v>
      </c>
      <c r="D162" s="6" t="s">
        <v>698</v>
      </c>
    </row>
    <row r="163" ht="15.75" customHeight="1">
      <c r="A163" s="8" t="s">
        <v>721</v>
      </c>
      <c r="B163" s="8" t="s">
        <v>408</v>
      </c>
      <c r="C163" s="8" t="s">
        <v>699</v>
      </c>
      <c r="D163" s="8" t="s">
        <v>700</v>
      </c>
    </row>
    <row r="164" ht="15.75" customHeight="1">
      <c r="A164" s="6" t="s">
        <v>723</v>
      </c>
      <c r="B164" s="6" t="s">
        <v>520</v>
      </c>
      <c r="C164" s="6" t="s">
        <v>216</v>
      </c>
      <c r="D164" s="6" t="s">
        <v>697</v>
      </c>
    </row>
    <row r="165" ht="15.75" customHeight="1">
      <c r="A165" s="8" t="s">
        <v>520</v>
      </c>
      <c r="B165" s="8" t="s">
        <v>723</v>
      </c>
      <c r="C165" s="8" t="s">
        <v>724</v>
      </c>
      <c r="D165" s="8" t="s">
        <v>698</v>
      </c>
    </row>
    <row r="166" ht="15.75" customHeight="1">
      <c r="A166" s="6" t="s">
        <v>723</v>
      </c>
      <c r="B166" s="6" t="s">
        <v>408</v>
      </c>
      <c r="C166" s="6" t="s">
        <v>699</v>
      </c>
      <c r="D166" s="6" t="s">
        <v>700</v>
      </c>
    </row>
    <row r="167" ht="15.75" customHeight="1">
      <c r="A167" s="8" t="s">
        <v>725</v>
      </c>
      <c r="B167" s="8" t="s">
        <v>520</v>
      </c>
      <c r="C167" s="8" t="s">
        <v>216</v>
      </c>
      <c r="D167" s="8" t="s">
        <v>697</v>
      </c>
    </row>
    <row r="168" ht="15.75" customHeight="1">
      <c r="A168" s="6" t="s">
        <v>520</v>
      </c>
      <c r="B168" s="6" t="s">
        <v>725</v>
      </c>
      <c r="C168" s="6" t="s">
        <v>726</v>
      </c>
      <c r="D168" s="6" t="s">
        <v>698</v>
      </c>
    </row>
    <row r="169" ht="15.75" customHeight="1">
      <c r="A169" s="8" t="s">
        <v>725</v>
      </c>
      <c r="B169" s="8" t="s">
        <v>408</v>
      </c>
      <c r="C169" s="8" t="s">
        <v>699</v>
      </c>
      <c r="D169" s="8" t="s">
        <v>700</v>
      </c>
    </row>
    <row r="170" ht="15.75" customHeight="1">
      <c r="A170" s="6" t="s">
        <v>727</v>
      </c>
      <c r="B170" s="6" t="s">
        <v>531</v>
      </c>
      <c r="C170" s="6" t="s">
        <v>222</v>
      </c>
      <c r="D170" s="6" t="s">
        <v>697</v>
      </c>
    </row>
    <row r="171" ht="15.75" customHeight="1">
      <c r="A171" s="8" t="s">
        <v>531</v>
      </c>
      <c r="B171" s="8" t="s">
        <v>727</v>
      </c>
      <c r="C171" s="8" t="s">
        <v>728</v>
      </c>
      <c r="D171" s="8" t="s">
        <v>698</v>
      </c>
    </row>
    <row r="172" ht="15.75" customHeight="1">
      <c r="A172" s="6" t="s">
        <v>727</v>
      </c>
      <c r="B172" s="6" t="s">
        <v>408</v>
      </c>
      <c r="C172" s="6" t="s">
        <v>699</v>
      </c>
      <c r="D172" s="6" t="s">
        <v>700</v>
      </c>
    </row>
    <row r="173" ht="15.75" customHeight="1">
      <c r="A173" s="8" t="s">
        <v>729</v>
      </c>
      <c r="B173" s="8" t="s">
        <v>535</v>
      </c>
      <c r="C173" s="8" t="s">
        <v>229</v>
      </c>
      <c r="D173" s="8" t="s">
        <v>697</v>
      </c>
    </row>
    <row r="174" ht="15.75" customHeight="1">
      <c r="A174" s="6" t="s">
        <v>535</v>
      </c>
      <c r="B174" s="6" t="s">
        <v>729</v>
      </c>
      <c r="C174" s="6" t="s">
        <v>730</v>
      </c>
      <c r="D174" s="6" t="s">
        <v>698</v>
      </c>
    </row>
    <row r="175" ht="15.75" customHeight="1">
      <c r="A175" s="8" t="s">
        <v>729</v>
      </c>
      <c r="B175" s="8" t="s">
        <v>408</v>
      </c>
      <c r="C175" s="8" t="s">
        <v>699</v>
      </c>
      <c r="D175" s="8" t="s">
        <v>700</v>
      </c>
    </row>
    <row r="176" ht="15.75" customHeight="1">
      <c r="A176" s="6" t="s">
        <v>731</v>
      </c>
      <c r="B176" s="6" t="s">
        <v>535</v>
      </c>
      <c r="C176" s="6" t="s">
        <v>229</v>
      </c>
      <c r="D176" s="6" t="s">
        <v>697</v>
      </c>
    </row>
    <row r="177" ht="15.75" customHeight="1">
      <c r="A177" s="8" t="s">
        <v>535</v>
      </c>
      <c r="B177" s="8" t="s">
        <v>731</v>
      </c>
      <c r="C177" s="8" t="s">
        <v>733</v>
      </c>
      <c r="D177" s="8" t="s">
        <v>698</v>
      </c>
    </row>
    <row r="178" ht="15.75" customHeight="1">
      <c r="A178" s="6" t="s">
        <v>731</v>
      </c>
      <c r="B178" s="6" t="s">
        <v>408</v>
      </c>
      <c r="C178" s="6" t="s">
        <v>699</v>
      </c>
      <c r="D178" s="6" t="s">
        <v>700</v>
      </c>
    </row>
    <row r="179" ht="15.75" customHeight="1">
      <c r="A179" s="8" t="s">
        <v>734</v>
      </c>
      <c r="B179" s="8" t="s">
        <v>547</v>
      </c>
      <c r="C179" s="8" t="s">
        <v>237</v>
      </c>
      <c r="D179" s="8" t="s">
        <v>697</v>
      </c>
    </row>
    <row r="180" ht="15.75" customHeight="1">
      <c r="A180" s="6" t="s">
        <v>547</v>
      </c>
      <c r="B180" s="6" t="s">
        <v>734</v>
      </c>
      <c r="C180" s="6" t="s">
        <v>735</v>
      </c>
      <c r="D180" s="6" t="s">
        <v>698</v>
      </c>
    </row>
    <row r="181" ht="15.75" customHeight="1">
      <c r="A181" s="8" t="s">
        <v>734</v>
      </c>
      <c r="B181" s="8" t="s">
        <v>408</v>
      </c>
      <c r="C181" s="8" t="s">
        <v>699</v>
      </c>
      <c r="D181" s="8" t="s">
        <v>700</v>
      </c>
    </row>
    <row r="182" ht="15.75" customHeight="1">
      <c r="A182" s="6" t="s">
        <v>737</v>
      </c>
      <c r="B182" s="6" t="s">
        <v>595</v>
      </c>
      <c r="C182" s="6" t="s">
        <v>243</v>
      </c>
      <c r="D182" s="6" t="s">
        <v>697</v>
      </c>
    </row>
    <row r="183" ht="15.75" customHeight="1">
      <c r="A183" s="8" t="s">
        <v>595</v>
      </c>
      <c r="B183" s="8" t="s">
        <v>737</v>
      </c>
      <c r="C183" s="8" t="s">
        <v>738</v>
      </c>
      <c r="D183" s="8" t="s">
        <v>698</v>
      </c>
    </row>
    <row r="184" ht="15.75" customHeight="1">
      <c r="A184" s="6" t="s">
        <v>737</v>
      </c>
      <c r="B184" s="6" t="s">
        <v>408</v>
      </c>
      <c r="C184" s="6" t="s">
        <v>699</v>
      </c>
      <c r="D184" s="6" t="s">
        <v>700</v>
      </c>
    </row>
    <row r="185" ht="15.75" customHeight="1">
      <c r="A185" s="8" t="s">
        <v>739</v>
      </c>
      <c r="B185" s="8" t="s">
        <v>595</v>
      </c>
      <c r="C185" s="8" t="s">
        <v>243</v>
      </c>
      <c r="D185" s="8" t="s">
        <v>697</v>
      </c>
    </row>
    <row r="186" ht="15.75" customHeight="1">
      <c r="A186" s="6" t="s">
        <v>595</v>
      </c>
      <c r="B186" s="6" t="s">
        <v>739</v>
      </c>
      <c r="C186" s="6" t="s">
        <v>740</v>
      </c>
      <c r="D186" s="6" t="s">
        <v>698</v>
      </c>
    </row>
    <row r="187" ht="15.75" customHeight="1">
      <c r="A187" s="8" t="s">
        <v>739</v>
      </c>
      <c r="B187" s="8" t="s">
        <v>408</v>
      </c>
      <c r="C187" s="8" t="s">
        <v>699</v>
      </c>
      <c r="D187" s="8" t="s">
        <v>700</v>
      </c>
    </row>
    <row r="188" ht="15.75" customHeight="1">
      <c r="A188" s="6" t="s">
        <v>741</v>
      </c>
      <c r="B188" s="6" t="s">
        <v>608</v>
      </c>
      <c r="C188" s="6" t="s">
        <v>252</v>
      </c>
      <c r="D188" s="6" t="s">
        <v>697</v>
      </c>
    </row>
    <row r="189" ht="15.75" customHeight="1">
      <c r="A189" s="8" t="s">
        <v>608</v>
      </c>
      <c r="B189" s="8" t="s">
        <v>741</v>
      </c>
      <c r="C189" s="8" t="s">
        <v>742</v>
      </c>
      <c r="D189" s="8" t="s">
        <v>698</v>
      </c>
    </row>
    <row r="190" ht="15.75" customHeight="1">
      <c r="A190" s="6" t="s">
        <v>741</v>
      </c>
      <c r="B190" s="6" t="s">
        <v>408</v>
      </c>
      <c r="C190" s="6" t="s">
        <v>699</v>
      </c>
      <c r="D190" s="6" t="s">
        <v>700</v>
      </c>
    </row>
    <row r="191" ht="15.75" customHeight="1">
      <c r="A191" s="8" t="s">
        <v>743</v>
      </c>
      <c r="B191" s="8" t="s">
        <v>611</v>
      </c>
      <c r="C191" s="8" t="s">
        <v>259</v>
      </c>
      <c r="D191" s="8" t="s">
        <v>697</v>
      </c>
    </row>
    <row r="192" ht="15.75" customHeight="1">
      <c r="A192" s="6" t="s">
        <v>611</v>
      </c>
      <c r="B192" s="6" t="s">
        <v>743</v>
      </c>
      <c r="C192" s="6" t="s">
        <v>745</v>
      </c>
      <c r="D192" s="6" t="s">
        <v>698</v>
      </c>
    </row>
    <row r="193" ht="15.75" customHeight="1">
      <c r="A193" s="8" t="s">
        <v>743</v>
      </c>
      <c r="B193" s="8" t="s">
        <v>408</v>
      </c>
      <c r="C193" s="8" t="s">
        <v>699</v>
      </c>
      <c r="D193" s="8" t="s">
        <v>700</v>
      </c>
    </row>
    <row r="194" ht="15.75" customHeight="1">
      <c r="A194" s="6" t="s">
        <v>747</v>
      </c>
      <c r="B194" s="6" t="s">
        <v>615</v>
      </c>
      <c r="C194" s="6" t="s">
        <v>272</v>
      </c>
      <c r="D194" s="6" t="s">
        <v>697</v>
      </c>
    </row>
    <row r="195" ht="15.75" customHeight="1">
      <c r="A195" s="8" t="s">
        <v>615</v>
      </c>
      <c r="B195" s="8" t="s">
        <v>747</v>
      </c>
      <c r="C195" s="8" t="s">
        <v>748</v>
      </c>
      <c r="D195" s="8" t="s">
        <v>698</v>
      </c>
    </row>
    <row r="196" ht="15.75" customHeight="1">
      <c r="A196" s="6" t="s">
        <v>747</v>
      </c>
      <c r="B196" s="6" t="s">
        <v>408</v>
      </c>
      <c r="C196" s="6" t="s">
        <v>699</v>
      </c>
      <c r="D196" s="6" t="s">
        <v>700</v>
      </c>
    </row>
    <row r="197" ht="15.75" customHeight="1">
      <c r="A197" s="8" t="s">
        <v>749</v>
      </c>
      <c r="B197" s="8" t="s">
        <v>633</v>
      </c>
      <c r="C197" s="8" t="s">
        <v>309</v>
      </c>
      <c r="D197" s="8" t="s">
        <v>697</v>
      </c>
    </row>
    <row r="198" ht="15.75" customHeight="1">
      <c r="A198" s="6" t="s">
        <v>633</v>
      </c>
      <c r="B198" s="6" t="s">
        <v>749</v>
      </c>
      <c r="C198" s="6" t="s">
        <v>750</v>
      </c>
      <c r="D198" s="6" t="s">
        <v>698</v>
      </c>
    </row>
    <row r="199" ht="15.75" customHeight="1">
      <c r="A199" s="8" t="s">
        <v>749</v>
      </c>
      <c r="B199" s="8" t="s">
        <v>408</v>
      </c>
      <c r="C199" s="8" t="s">
        <v>699</v>
      </c>
      <c r="D199" s="8" t="s">
        <v>700</v>
      </c>
    </row>
    <row r="200" ht="15.75" customHeight="1">
      <c r="A200" s="6" t="s">
        <v>751</v>
      </c>
      <c r="B200" s="6" t="s">
        <v>646</v>
      </c>
      <c r="C200" s="6" t="s">
        <v>334</v>
      </c>
      <c r="D200" s="6" t="s">
        <v>697</v>
      </c>
    </row>
    <row r="201" ht="15.75" customHeight="1">
      <c r="A201" s="8" t="s">
        <v>646</v>
      </c>
      <c r="B201" s="8" t="s">
        <v>751</v>
      </c>
      <c r="C201" s="8" t="s">
        <v>752</v>
      </c>
      <c r="D201" s="8" t="s">
        <v>698</v>
      </c>
    </row>
    <row r="202" ht="15.75" customHeight="1">
      <c r="A202" s="6" t="s">
        <v>751</v>
      </c>
      <c r="B202" s="6" t="s">
        <v>408</v>
      </c>
      <c r="C202" s="6" t="s">
        <v>699</v>
      </c>
      <c r="D202" s="6" t="s">
        <v>700</v>
      </c>
    </row>
    <row r="203" ht="15.75" customHeight="1">
      <c r="A203" s="8" t="s">
        <v>753</v>
      </c>
      <c r="B203" s="8" t="s">
        <v>646</v>
      </c>
      <c r="C203" s="8" t="s">
        <v>334</v>
      </c>
      <c r="D203" s="8" t="s">
        <v>697</v>
      </c>
    </row>
    <row r="204" ht="15.75" customHeight="1">
      <c r="A204" s="6" t="s">
        <v>646</v>
      </c>
      <c r="B204" s="6" t="s">
        <v>753</v>
      </c>
      <c r="C204" s="6" t="s">
        <v>754</v>
      </c>
      <c r="D204" s="6" t="s">
        <v>698</v>
      </c>
    </row>
    <row r="205" ht="15.75" customHeight="1">
      <c r="A205" s="8" t="s">
        <v>753</v>
      </c>
      <c r="B205" s="8" t="s">
        <v>408</v>
      </c>
      <c r="C205" s="8" t="s">
        <v>699</v>
      </c>
      <c r="D205" s="8" t="s">
        <v>700</v>
      </c>
    </row>
    <row r="206" ht="15.75" customHeight="1">
      <c r="A206" s="6" t="s">
        <v>756</v>
      </c>
      <c r="B206" s="6" t="s">
        <v>637</v>
      </c>
      <c r="C206" s="6" t="s">
        <v>347</v>
      </c>
      <c r="D206" s="6" t="s">
        <v>697</v>
      </c>
    </row>
    <row r="207" ht="15.75" customHeight="1">
      <c r="A207" s="8" t="s">
        <v>637</v>
      </c>
      <c r="B207" s="8" t="s">
        <v>756</v>
      </c>
      <c r="C207" s="8" t="s">
        <v>757</v>
      </c>
      <c r="D207" s="8" t="s">
        <v>698</v>
      </c>
    </row>
    <row r="208" ht="15.75" customHeight="1">
      <c r="A208" s="6" t="s">
        <v>756</v>
      </c>
      <c r="B208" s="6" t="s">
        <v>408</v>
      </c>
      <c r="C208" s="6" t="s">
        <v>699</v>
      </c>
      <c r="D208" s="6" t="s">
        <v>700</v>
      </c>
    </row>
    <row r="209" ht="15.75" customHeight="1">
      <c r="A209" s="8" t="s">
        <v>760</v>
      </c>
      <c r="B209" s="8" t="s">
        <v>439</v>
      </c>
      <c r="C209" s="8" t="s">
        <v>146</v>
      </c>
      <c r="D209" s="8" t="s">
        <v>697</v>
      </c>
    </row>
    <row r="210" ht="15.75" customHeight="1">
      <c r="A210" s="6" t="s">
        <v>439</v>
      </c>
      <c r="B210" s="6" t="s">
        <v>760</v>
      </c>
      <c r="C210" s="6" t="s">
        <v>761</v>
      </c>
      <c r="D210" s="6" t="s">
        <v>698</v>
      </c>
    </row>
    <row r="211" ht="15.75" customHeight="1">
      <c r="A211" s="8" t="s">
        <v>760</v>
      </c>
      <c r="B211" s="8" t="s">
        <v>408</v>
      </c>
      <c r="C211" s="8" t="s">
        <v>699</v>
      </c>
      <c r="D211" s="8" t="s">
        <v>700</v>
      </c>
    </row>
    <row r="212" ht="15.75" customHeight="1">
      <c r="A212" s="6" t="s">
        <v>762</v>
      </c>
      <c r="B212" s="6" t="s">
        <v>439</v>
      </c>
      <c r="C212" s="6" t="s">
        <v>146</v>
      </c>
      <c r="D212" s="6" t="s">
        <v>697</v>
      </c>
    </row>
    <row r="213" ht="15.75" customHeight="1">
      <c r="A213" s="8" t="s">
        <v>439</v>
      </c>
      <c r="B213" s="8" t="s">
        <v>762</v>
      </c>
      <c r="C213" s="8" t="s">
        <v>763</v>
      </c>
      <c r="D213" s="8" t="s">
        <v>698</v>
      </c>
    </row>
    <row r="214" ht="15.75" customHeight="1">
      <c r="A214" s="6" t="s">
        <v>762</v>
      </c>
      <c r="B214" s="6" t="s">
        <v>408</v>
      </c>
      <c r="C214" s="6" t="s">
        <v>699</v>
      </c>
      <c r="D214" s="6" t="s">
        <v>700</v>
      </c>
    </row>
    <row r="215" ht="15.75" customHeight="1">
      <c r="A215" s="8" t="s">
        <v>652</v>
      </c>
      <c r="B215" s="8" t="s">
        <v>444</v>
      </c>
      <c r="C215" s="8" t="s">
        <v>153</v>
      </c>
      <c r="D215" s="8" t="s">
        <v>764</v>
      </c>
    </row>
    <row r="216" ht="15.75" customHeight="1">
      <c r="A216" s="6" t="s">
        <v>652</v>
      </c>
      <c r="B216" s="6" t="s">
        <v>625</v>
      </c>
      <c r="C216" s="6" t="s">
        <v>341</v>
      </c>
      <c r="D216" s="6" t="s">
        <v>764</v>
      </c>
    </row>
    <row r="217" ht="15.75" customHeight="1">
      <c r="A217" s="8" t="s">
        <v>652</v>
      </c>
      <c r="B217" s="8" t="s">
        <v>520</v>
      </c>
      <c r="C217" s="8" t="s">
        <v>216</v>
      </c>
      <c r="D217" s="8" t="s">
        <v>764</v>
      </c>
    </row>
    <row r="218" ht="15.75" customHeight="1">
      <c r="A218" s="6" t="s">
        <v>652</v>
      </c>
      <c r="B218" s="6" t="s">
        <v>408</v>
      </c>
      <c r="C218" s="6" t="s">
        <v>765</v>
      </c>
      <c r="D218" s="6" t="s">
        <v>767</v>
      </c>
    </row>
    <row r="219" ht="15.75" customHeight="1">
      <c r="A219" s="8" t="s">
        <v>444</v>
      </c>
      <c r="B219" s="8" t="s">
        <v>652</v>
      </c>
      <c r="C219" s="8" t="s">
        <v>354</v>
      </c>
      <c r="D219" s="8" t="s">
        <v>768</v>
      </c>
    </row>
    <row r="220" ht="15.75" customHeight="1">
      <c r="A220" s="6" t="s">
        <v>654</v>
      </c>
      <c r="B220" s="6" t="s">
        <v>444</v>
      </c>
      <c r="C220" s="6" t="s">
        <v>153</v>
      </c>
      <c r="D220" s="6" t="s">
        <v>764</v>
      </c>
    </row>
    <row r="221" ht="15.75" customHeight="1">
      <c r="A221" s="8" t="s">
        <v>654</v>
      </c>
      <c r="B221" s="8" t="s">
        <v>625</v>
      </c>
      <c r="C221" s="8" t="s">
        <v>341</v>
      </c>
      <c r="D221" s="8" t="s">
        <v>764</v>
      </c>
    </row>
    <row r="222" ht="15.75" customHeight="1">
      <c r="A222" s="6" t="s">
        <v>654</v>
      </c>
      <c r="B222" s="6" t="s">
        <v>520</v>
      </c>
      <c r="C222" s="6" t="s">
        <v>216</v>
      </c>
      <c r="D222" s="6" t="s">
        <v>764</v>
      </c>
    </row>
    <row r="223" ht="15.75" customHeight="1">
      <c r="A223" s="8" t="s">
        <v>654</v>
      </c>
      <c r="B223" s="8" t="s">
        <v>408</v>
      </c>
      <c r="C223" s="8" t="s">
        <v>765</v>
      </c>
      <c r="D223" s="8" t="s">
        <v>767</v>
      </c>
    </row>
    <row r="224" ht="15.75" customHeight="1">
      <c r="A224" s="6" t="s">
        <v>625</v>
      </c>
      <c r="B224" s="6" t="s">
        <v>654</v>
      </c>
      <c r="C224" s="6" t="s">
        <v>655</v>
      </c>
      <c r="D224" s="6" t="s">
        <v>768</v>
      </c>
    </row>
    <row r="225" ht="15.75" customHeight="1">
      <c r="A225" s="8" t="s">
        <v>656</v>
      </c>
      <c r="B225" s="8" t="s">
        <v>444</v>
      </c>
      <c r="C225" s="8" t="s">
        <v>153</v>
      </c>
      <c r="D225" s="8" t="s">
        <v>764</v>
      </c>
    </row>
    <row r="226" ht="15.75" customHeight="1">
      <c r="A226" s="6" t="s">
        <v>656</v>
      </c>
      <c r="B226" s="6" t="s">
        <v>625</v>
      </c>
      <c r="C226" s="6" t="s">
        <v>341</v>
      </c>
      <c r="D226" s="6" t="s">
        <v>764</v>
      </c>
    </row>
    <row r="227" ht="15.75" customHeight="1">
      <c r="A227" s="8" t="s">
        <v>656</v>
      </c>
      <c r="B227" s="8" t="s">
        <v>520</v>
      </c>
      <c r="C227" s="8" t="s">
        <v>216</v>
      </c>
      <c r="D227" s="8" t="s">
        <v>764</v>
      </c>
    </row>
    <row r="228" ht="15.75" customHeight="1">
      <c r="A228" s="6" t="s">
        <v>656</v>
      </c>
      <c r="B228" s="6" t="s">
        <v>408</v>
      </c>
      <c r="C228" s="6" t="s">
        <v>765</v>
      </c>
      <c r="D228" s="6" t="s">
        <v>767</v>
      </c>
    </row>
    <row r="229" ht="15.75" customHeight="1">
      <c r="A229" s="8" t="s">
        <v>625</v>
      </c>
      <c r="B229" s="8" t="s">
        <v>656</v>
      </c>
      <c r="C229" s="8" t="s">
        <v>657</v>
      </c>
      <c r="D229" s="8" t="s">
        <v>768</v>
      </c>
    </row>
    <row r="230" ht="15.75" customHeight="1">
      <c r="A230" s="6" t="s">
        <v>658</v>
      </c>
      <c r="B230" s="6" t="s">
        <v>444</v>
      </c>
      <c r="C230" s="6" t="s">
        <v>153</v>
      </c>
      <c r="D230" s="6" t="s">
        <v>764</v>
      </c>
    </row>
    <row r="231" ht="15.75" customHeight="1">
      <c r="A231" s="8" t="s">
        <v>658</v>
      </c>
      <c r="B231" s="8" t="s">
        <v>625</v>
      </c>
      <c r="C231" s="8" t="s">
        <v>341</v>
      </c>
      <c r="D231" s="8" t="s">
        <v>764</v>
      </c>
    </row>
    <row r="232" ht="15.75" customHeight="1">
      <c r="A232" s="6" t="s">
        <v>658</v>
      </c>
      <c r="B232" s="6" t="s">
        <v>520</v>
      </c>
      <c r="C232" s="6" t="s">
        <v>216</v>
      </c>
      <c r="D232" s="6" t="s">
        <v>764</v>
      </c>
    </row>
    <row r="233" ht="15.75" customHeight="1">
      <c r="A233" s="8" t="s">
        <v>658</v>
      </c>
      <c r="B233" s="8" t="s">
        <v>408</v>
      </c>
      <c r="C233" s="8" t="s">
        <v>765</v>
      </c>
      <c r="D233" s="8" t="s">
        <v>767</v>
      </c>
    </row>
    <row r="234" ht="15.75" customHeight="1">
      <c r="A234" s="6" t="s">
        <v>625</v>
      </c>
      <c r="B234" s="6" t="s">
        <v>658</v>
      </c>
      <c r="C234" s="6" t="s">
        <v>659</v>
      </c>
      <c r="D234" s="6" t="s">
        <v>768</v>
      </c>
    </row>
    <row r="235" ht="15.75" customHeight="1">
      <c r="A235" s="8" t="s">
        <v>661</v>
      </c>
      <c r="B235" s="8" t="s">
        <v>444</v>
      </c>
      <c r="C235" s="8" t="s">
        <v>153</v>
      </c>
      <c r="D235" s="8" t="s">
        <v>764</v>
      </c>
    </row>
    <row r="236" ht="15.75" customHeight="1">
      <c r="A236" s="6" t="s">
        <v>661</v>
      </c>
      <c r="B236" s="6" t="s">
        <v>625</v>
      </c>
      <c r="C236" s="6" t="s">
        <v>341</v>
      </c>
      <c r="D236" s="6" t="s">
        <v>764</v>
      </c>
    </row>
    <row r="237" ht="15.75" customHeight="1">
      <c r="A237" s="8" t="s">
        <v>661</v>
      </c>
      <c r="B237" s="8" t="s">
        <v>520</v>
      </c>
      <c r="C237" s="8" t="s">
        <v>216</v>
      </c>
      <c r="D237" s="8" t="s">
        <v>764</v>
      </c>
    </row>
    <row r="238" ht="15.75" customHeight="1">
      <c r="A238" s="6" t="s">
        <v>661</v>
      </c>
      <c r="B238" s="6" t="s">
        <v>408</v>
      </c>
      <c r="C238" s="6" t="s">
        <v>765</v>
      </c>
      <c r="D238" s="6" t="s">
        <v>767</v>
      </c>
    </row>
    <row r="239" ht="15.75" customHeight="1">
      <c r="A239" s="8" t="s">
        <v>625</v>
      </c>
      <c r="B239" s="8" t="s">
        <v>661</v>
      </c>
      <c r="C239" s="8" t="s">
        <v>662</v>
      </c>
      <c r="D239" s="8" t="s">
        <v>768</v>
      </c>
    </row>
    <row r="240" ht="15.75" customHeight="1">
      <c r="A240" s="6" t="s">
        <v>665</v>
      </c>
      <c r="B240" s="6" t="s">
        <v>444</v>
      </c>
      <c r="C240" s="6" t="s">
        <v>153</v>
      </c>
      <c r="D240" s="6" t="s">
        <v>764</v>
      </c>
    </row>
    <row r="241" ht="15.75" customHeight="1">
      <c r="A241" s="8" t="s">
        <v>665</v>
      </c>
      <c r="B241" s="8" t="s">
        <v>625</v>
      </c>
      <c r="C241" s="8" t="s">
        <v>341</v>
      </c>
      <c r="D241" s="8" t="s">
        <v>764</v>
      </c>
    </row>
    <row r="242" ht="15.75" customHeight="1">
      <c r="A242" s="6" t="s">
        <v>665</v>
      </c>
      <c r="B242" s="6" t="s">
        <v>520</v>
      </c>
      <c r="C242" s="6" t="s">
        <v>216</v>
      </c>
      <c r="D242" s="6" t="s">
        <v>764</v>
      </c>
    </row>
    <row r="243" ht="15.75" customHeight="1">
      <c r="A243" s="8" t="s">
        <v>665</v>
      </c>
      <c r="B243" s="8" t="s">
        <v>408</v>
      </c>
      <c r="C243" s="8" t="s">
        <v>765</v>
      </c>
      <c r="D243" s="8" t="s">
        <v>767</v>
      </c>
    </row>
    <row r="244" ht="15.75" customHeight="1">
      <c r="A244" s="6" t="s">
        <v>625</v>
      </c>
      <c r="B244" s="6" t="s">
        <v>665</v>
      </c>
      <c r="C244" s="6" t="s">
        <v>666</v>
      </c>
      <c r="D244" s="6" t="s">
        <v>768</v>
      </c>
    </row>
    <row r="245" ht="15.75" customHeight="1">
      <c r="A245" s="8" t="s">
        <v>667</v>
      </c>
      <c r="B245" s="8" t="s">
        <v>444</v>
      </c>
      <c r="C245" s="8" t="s">
        <v>153</v>
      </c>
      <c r="D245" s="8" t="s">
        <v>764</v>
      </c>
    </row>
    <row r="246" ht="15.75" customHeight="1">
      <c r="A246" s="6" t="s">
        <v>667</v>
      </c>
      <c r="B246" s="6" t="s">
        <v>625</v>
      </c>
      <c r="C246" s="6" t="s">
        <v>341</v>
      </c>
      <c r="D246" s="6" t="s">
        <v>764</v>
      </c>
    </row>
    <row r="247" ht="15.75" customHeight="1">
      <c r="A247" s="8" t="s">
        <v>667</v>
      </c>
      <c r="B247" s="8" t="s">
        <v>520</v>
      </c>
      <c r="C247" s="8" t="s">
        <v>216</v>
      </c>
      <c r="D247" s="8" t="s">
        <v>764</v>
      </c>
    </row>
    <row r="248" ht="15.75" customHeight="1">
      <c r="A248" s="6" t="s">
        <v>667</v>
      </c>
      <c r="B248" s="6" t="s">
        <v>408</v>
      </c>
      <c r="C248" s="6" t="s">
        <v>765</v>
      </c>
      <c r="D248" s="6" t="s">
        <v>767</v>
      </c>
    </row>
    <row r="249" ht="15.75" customHeight="1">
      <c r="A249" s="8" t="s">
        <v>444</v>
      </c>
      <c r="B249" s="8" t="s">
        <v>667</v>
      </c>
      <c r="C249" s="8" t="s">
        <v>668</v>
      </c>
      <c r="D249" s="8" t="s">
        <v>768</v>
      </c>
    </row>
    <row r="250" ht="15.75" customHeight="1">
      <c r="A250" s="6" t="s">
        <v>669</v>
      </c>
      <c r="B250" s="6" t="s">
        <v>444</v>
      </c>
      <c r="C250" s="6" t="s">
        <v>153</v>
      </c>
      <c r="D250" s="6" t="s">
        <v>764</v>
      </c>
    </row>
    <row r="251" ht="15.75" customHeight="1">
      <c r="A251" s="8" t="s">
        <v>669</v>
      </c>
      <c r="B251" s="8" t="s">
        <v>625</v>
      </c>
      <c r="C251" s="8" t="s">
        <v>341</v>
      </c>
      <c r="D251" s="8" t="s">
        <v>764</v>
      </c>
    </row>
    <row r="252" ht="15.75" customHeight="1">
      <c r="A252" s="6" t="s">
        <v>669</v>
      </c>
      <c r="B252" s="6" t="s">
        <v>520</v>
      </c>
      <c r="C252" s="6" t="s">
        <v>216</v>
      </c>
      <c r="D252" s="6" t="s">
        <v>764</v>
      </c>
    </row>
    <row r="253" ht="15.75" customHeight="1">
      <c r="A253" s="8" t="s">
        <v>669</v>
      </c>
      <c r="B253" s="8" t="s">
        <v>408</v>
      </c>
      <c r="C253" s="8" t="s">
        <v>765</v>
      </c>
      <c r="D253" s="8" t="s">
        <v>767</v>
      </c>
    </row>
    <row r="254" ht="15.75" customHeight="1">
      <c r="A254" s="6" t="s">
        <v>625</v>
      </c>
      <c r="B254" s="6" t="s">
        <v>669</v>
      </c>
      <c r="C254" s="6" t="s">
        <v>670</v>
      </c>
      <c r="D254" s="6" t="s">
        <v>768</v>
      </c>
    </row>
    <row r="255" ht="15.75" customHeight="1">
      <c r="A255" s="8" t="s">
        <v>671</v>
      </c>
      <c r="B255" s="8" t="s">
        <v>444</v>
      </c>
      <c r="C255" s="8" t="s">
        <v>153</v>
      </c>
      <c r="D255" s="8" t="s">
        <v>764</v>
      </c>
    </row>
    <row r="256" ht="15.75" customHeight="1">
      <c r="A256" s="6" t="s">
        <v>671</v>
      </c>
      <c r="B256" s="6" t="s">
        <v>625</v>
      </c>
      <c r="C256" s="6" t="s">
        <v>341</v>
      </c>
      <c r="D256" s="6" t="s">
        <v>764</v>
      </c>
    </row>
    <row r="257" ht="15.75" customHeight="1">
      <c r="A257" s="8" t="s">
        <v>671</v>
      </c>
      <c r="B257" s="8" t="s">
        <v>520</v>
      </c>
      <c r="C257" s="8" t="s">
        <v>216</v>
      </c>
      <c r="D257" s="8" t="s">
        <v>764</v>
      </c>
    </row>
    <row r="258" ht="15.75" customHeight="1">
      <c r="A258" s="6" t="s">
        <v>671</v>
      </c>
      <c r="B258" s="6" t="s">
        <v>408</v>
      </c>
      <c r="C258" s="6" t="s">
        <v>765</v>
      </c>
      <c r="D258" s="6" t="s">
        <v>767</v>
      </c>
    </row>
    <row r="259" ht="15.75" customHeight="1">
      <c r="A259" s="8" t="s">
        <v>444</v>
      </c>
      <c r="B259" s="8" t="s">
        <v>671</v>
      </c>
      <c r="C259" s="8" t="s">
        <v>672</v>
      </c>
      <c r="D259" s="8" t="s">
        <v>768</v>
      </c>
    </row>
    <row r="260" ht="15.75" customHeight="1">
      <c r="A260" s="6" t="s">
        <v>674</v>
      </c>
      <c r="B260" s="6" t="s">
        <v>444</v>
      </c>
      <c r="C260" s="6" t="s">
        <v>153</v>
      </c>
      <c r="D260" s="6" t="s">
        <v>764</v>
      </c>
    </row>
    <row r="261" ht="15.75" customHeight="1">
      <c r="A261" s="8" t="s">
        <v>674</v>
      </c>
      <c r="B261" s="8" t="s">
        <v>625</v>
      </c>
      <c r="C261" s="8" t="s">
        <v>341</v>
      </c>
      <c r="D261" s="8" t="s">
        <v>764</v>
      </c>
    </row>
    <row r="262" ht="15.75" customHeight="1">
      <c r="A262" s="6" t="s">
        <v>674</v>
      </c>
      <c r="B262" s="6" t="s">
        <v>520</v>
      </c>
      <c r="C262" s="6" t="s">
        <v>216</v>
      </c>
      <c r="D262" s="6" t="s">
        <v>764</v>
      </c>
    </row>
    <row r="263" ht="15.75" customHeight="1">
      <c r="A263" s="8" t="s">
        <v>674</v>
      </c>
      <c r="B263" s="8" t="s">
        <v>408</v>
      </c>
      <c r="C263" s="8" t="s">
        <v>765</v>
      </c>
      <c r="D263" s="8" t="s">
        <v>767</v>
      </c>
    </row>
    <row r="264" ht="15.75" customHeight="1">
      <c r="A264" s="6" t="s">
        <v>625</v>
      </c>
      <c r="B264" s="6" t="s">
        <v>674</v>
      </c>
      <c r="C264" s="6" t="s">
        <v>675</v>
      </c>
      <c r="D264" s="6" t="s">
        <v>768</v>
      </c>
    </row>
    <row r="265" ht="15.75" customHeight="1">
      <c r="A265" s="8" t="s">
        <v>676</v>
      </c>
      <c r="B265" s="8" t="s">
        <v>444</v>
      </c>
      <c r="C265" s="8" t="s">
        <v>153</v>
      </c>
      <c r="D265" s="8" t="s">
        <v>764</v>
      </c>
    </row>
    <row r="266" ht="15.75" customHeight="1">
      <c r="A266" s="6" t="s">
        <v>676</v>
      </c>
      <c r="B266" s="6" t="s">
        <v>625</v>
      </c>
      <c r="C266" s="6" t="s">
        <v>341</v>
      </c>
      <c r="D266" s="6" t="s">
        <v>764</v>
      </c>
    </row>
    <row r="267" ht="15.75" customHeight="1">
      <c r="A267" s="8" t="s">
        <v>676</v>
      </c>
      <c r="B267" s="8" t="s">
        <v>520</v>
      </c>
      <c r="C267" s="8" t="s">
        <v>216</v>
      </c>
      <c r="D267" s="8" t="s">
        <v>764</v>
      </c>
    </row>
    <row r="268" ht="15.75" customHeight="1">
      <c r="A268" s="6" t="s">
        <v>676</v>
      </c>
      <c r="B268" s="6" t="s">
        <v>408</v>
      </c>
      <c r="C268" s="6" t="s">
        <v>765</v>
      </c>
      <c r="D268" s="6" t="s">
        <v>767</v>
      </c>
    </row>
    <row r="269" ht="15.75" customHeight="1">
      <c r="A269" s="8" t="s">
        <v>625</v>
      </c>
      <c r="B269" s="8" t="s">
        <v>676</v>
      </c>
      <c r="C269" s="8" t="s">
        <v>677</v>
      </c>
      <c r="D269" s="8" t="s">
        <v>768</v>
      </c>
    </row>
    <row r="270" ht="15.75" customHeight="1">
      <c r="A270" s="6" t="s">
        <v>678</v>
      </c>
      <c r="B270" s="6" t="s">
        <v>408</v>
      </c>
      <c r="C270" s="6" t="s">
        <v>775</v>
      </c>
      <c r="D270" s="6" t="s">
        <v>776</v>
      </c>
    </row>
    <row r="271" ht="15.75" customHeight="1">
      <c r="A271" s="8" t="s">
        <v>638</v>
      </c>
      <c r="B271" s="8" t="s">
        <v>408</v>
      </c>
      <c r="C271" s="8" t="s">
        <v>777</v>
      </c>
      <c r="D271" s="8" t="s">
        <v>776</v>
      </c>
    </row>
    <row r="272" ht="15.75" customHeight="1">
      <c r="A272" s="6" t="s">
        <v>386</v>
      </c>
      <c r="B272" s="6" t="s">
        <v>637</v>
      </c>
      <c r="C272" s="6" t="s">
        <v>778</v>
      </c>
      <c r="D272" s="6" t="s">
        <v>779</v>
      </c>
    </row>
    <row r="273" ht="15.75" customHeight="1">
      <c r="A273" s="8" t="s">
        <v>386</v>
      </c>
      <c r="B273" s="8" t="s">
        <v>459</v>
      </c>
      <c r="C273" s="8" t="s">
        <v>781</v>
      </c>
      <c r="D273" s="8" t="s">
        <v>779</v>
      </c>
    </row>
    <row r="274" ht="15.75" customHeight="1">
      <c r="A274" s="6" t="s">
        <v>408</v>
      </c>
      <c r="B274" s="6" t="s">
        <v>386</v>
      </c>
      <c r="C274" s="6" t="s">
        <v>782</v>
      </c>
      <c r="D274" s="6" t="s">
        <v>783</v>
      </c>
    </row>
    <row r="275" ht="15.75" customHeight="1">
      <c r="A275" s="8" t="s">
        <v>642</v>
      </c>
      <c r="B275" s="8" t="s">
        <v>444</v>
      </c>
      <c r="C275" s="8" t="s">
        <v>153</v>
      </c>
      <c r="D275" s="8" t="s">
        <v>784</v>
      </c>
    </row>
    <row r="276" ht="15.75" customHeight="1">
      <c r="A276" s="6" t="s">
        <v>444</v>
      </c>
      <c r="B276" s="6" t="s">
        <v>642</v>
      </c>
      <c r="C276" s="6" t="s">
        <v>785</v>
      </c>
      <c r="D276" s="6" t="s">
        <v>786</v>
      </c>
    </row>
    <row r="277" ht="15.75" customHeight="1">
      <c r="A277" s="8" t="s">
        <v>642</v>
      </c>
      <c r="B277" s="8" t="s">
        <v>448</v>
      </c>
      <c r="C277" s="8" t="s">
        <v>169</v>
      </c>
      <c r="D277" s="8" t="s">
        <v>784</v>
      </c>
    </row>
    <row r="278" ht="15.75" customHeight="1">
      <c r="A278" s="6" t="s">
        <v>448</v>
      </c>
      <c r="B278" s="6" t="s">
        <v>642</v>
      </c>
      <c r="C278" s="6" t="s">
        <v>785</v>
      </c>
      <c r="D278" s="6" t="s">
        <v>786</v>
      </c>
    </row>
    <row r="279" ht="15.75" customHeight="1">
      <c r="A279" s="8" t="s">
        <v>642</v>
      </c>
      <c r="B279" s="8" t="s">
        <v>637</v>
      </c>
      <c r="C279" s="8" t="s">
        <v>347</v>
      </c>
      <c r="D279" s="8" t="s">
        <v>784</v>
      </c>
    </row>
    <row r="280" ht="15.75" customHeight="1">
      <c r="A280" s="6" t="s">
        <v>637</v>
      </c>
      <c r="B280" s="6" t="s">
        <v>642</v>
      </c>
      <c r="C280" s="6" t="s">
        <v>785</v>
      </c>
      <c r="D280" s="6" t="s">
        <v>786</v>
      </c>
    </row>
    <row r="281" ht="15.75" customHeight="1">
      <c r="A281" s="8" t="s">
        <v>642</v>
      </c>
      <c r="B281" s="8" t="s">
        <v>511</v>
      </c>
      <c r="C281" s="8" t="s">
        <v>199</v>
      </c>
      <c r="D281" s="8" t="s">
        <v>784</v>
      </c>
    </row>
    <row r="282" ht="15.75" customHeight="1">
      <c r="A282" s="6" t="s">
        <v>511</v>
      </c>
      <c r="B282" s="6" t="s">
        <v>642</v>
      </c>
      <c r="C282" s="6" t="s">
        <v>785</v>
      </c>
      <c r="D282" s="6" t="s">
        <v>786</v>
      </c>
    </row>
    <row r="283" ht="15.75" customHeight="1">
      <c r="A283" s="8" t="s">
        <v>642</v>
      </c>
      <c r="B283" s="8" t="s">
        <v>611</v>
      </c>
      <c r="C283" s="8" t="s">
        <v>259</v>
      </c>
      <c r="D283" s="8" t="s">
        <v>784</v>
      </c>
    </row>
    <row r="284" ht="15.75" customHeight="1">
      <c r="A284" s="6" t="s">
        <v>611</v>
      </c>
      <c r="B284" s="6" t="s">
        <v>642</v>
      </c>
      <c r="C284" s="6" t="s">
        <v>785</v>
      </c>
      <c r="D284" s="6" t="s">
        <v>786</v>
      </c>
    </row>
    <row r="285" ht="15.75" customHeight="1">
      <c r="A285" s="8" t="s">
        <v>642</v>
      </c>
      <c r="B285" s="8" t="s">
        <v>459</v>
      </c>
      <c r="C285" s="8" t="s">
        <v>450</v>
      </c>
      <c r="D285" s="8" t="s">
        <v>784</v>
      </c>
    </row>
    <row r="286" ht="15.75" customHeight="1">
      <c r="A286" s="6" t="s">
        <v>459</v>
      </c>
      <c r="B286" s="6" t="s">
        <v>642</v>
      </c>
      <c r="C286" s="6" t="s">
        <v>785</v>
      </c>
      <c r="D286" s="6" t="s">
        <v>786</v>
      </c>
    </row>
    <row r="287" ht="15.75" customHeight="1">
      <c r="A287" s="8" t="s">
        <v>439</v>
      </c>
      <c r="B287" s="8" t="s">
        <v>678</v>
      </c>
      <c r="C287" s="8" t="s">
        <v>787</v>
      </c>
      <c r="D287" s="8" t="s">
        <v>788</v>
      </c>
    </row>
    <row r="288" ht="15.75" customHeight="1">
      <c r="A288" s="6" t="s">
        <v>439</v>
      </c>
      <c r="B288" s="6" t="s">
        <v>638</v>
      </c>
      <c r="C288" s="6" t="s">
        <v>789</v>
      </c>
      <c r="D288" s="6" t="s">
        <v>790</v>
      </c>
    </row>
    <row r="289" ht="15.75" customHeight="1">
      <c r="A289" s="8" t="s">
        <v>444</v>
      </c>
      <c r="B289" s="8" t="s">
        <v>678</v>
      </c>
      <c r="C289" s="8" t="s">
        <v>787</v>
      </c>
      <c r="D289" s="8" t="s">
        <v>788</v>
      </c>
    </row>
    <row r="290" ht="15.75" customHeight="1">
      <c r="A290" s="6" t="s">
        <v>444</v>
      </c>
      <c r="B290" s="6" t="s">
        <v>638</v>
      </c>
      <c r="C290" s="6" t="s">
        <v>789</v>
      </c>
      <c r="D290" s="6" t="s">
        <v>790</v>
      </c>
    </row>
    <row r="291" ht="15.75" customHeight="1">
      <c r="A291" s="8" t="s">
        <v>520</v>
      </c>
      <c r="B291" s="8" t="s">
        <v>678</v>
      </c>
      <c r="C291" s="8" t="s">
        <v>787</v>
      </c>
      <c r="D291" s="8" t="s">
        <v>788</v>
      </c>
    </row>
    <row r="292" ht="15.75" customHeight="1">
      <c r="A292" s="6" t="s">
        <v>520</v>
      </c>
      <c r="B292" s="6" t="s">
        <v>638</v>
      </c>
      <c r="C292" s="6" t="s">
        <v>789</v>
      </c>
      <c r="D292" s="6" t="s">
        <v>790</v>
      </c>
    </row>
    <row r="293" ht="15.75" customHeight="1">
      <c r="A293" s="8" t="s">
        <v>535</v>
      </c>
      <c r="B293" s="8" t="s">
        <v>678</v>
      </c>
      <c r="C293" s="8" t="s">
        <v>787</v>
      </c>
      <c r="D293" s="8" t="s">
        <v>788</v>
      </c>
    </row>
    <row r="294" ht="15.75" customHeight="1">
      <c r="A294" s="6" t="s">
        <v>535</v>
      </c>
      <c r="B294" s="6" t="s">
        <v>638</v>
      </c>
      <c r="C294" s="6" t="s">
        <v>789</v>
      </c>
      <c r="D294" s="6" t="s">
        <v>790</v>
      </c>
    </row>
    <row r="295" ht="15.75" customHeight="1">
      <c r="A295" s="8" t="s">
        <v>595</v>
      </c>
      <c r="B295" s="8" t="s">
        <v>678</v>
      </c>
      <c r="C295" s="8" t="s">
        <v>787</v>
      </c>
      <c r="D295" s="8" t="s">
        <v>788</v>
      </c>
    </row>
    <row r="296" ht="15.75" customHeight="1">
      <c r="A296" s="6" t="s">
        <v>595</v>
      </c>
      <c r="B296" s="6" t="s">
        <v>638</v>
      </c>
      <c r="C296" s="6" t="s">
        <v>789</v>
      </c>
      <c r="D296" s="6" t="s">
        <v>790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9.43"/>
    <col customWidth="1" min="2" max="2" width="7.71"/>
    <col customWidth="1" min="3" max="3" width="15.43"/>
    <col customWidth="1" min="4" max="4" width="62.0"/>
    <col customWidth="1" min="5" max="5" width="41.14"/>
    <col customWidth="1" min="6" max="6" width="13.29"/>
    <col customWidth="1" min="7" max="7" width="7.29"/>
    <col customWidth="1" min="8" max="8" width="43.29"/>
    <col customWidth="1" min="9" max="9" width="35.71"/>
    <col customWidth="1" min="10" max="26" width="8.71"/>
  </cols>
  <sheetData>
    <row r="1">
      <c r="A1" s="1" t="s">
        <v>798</v>
      </c>
      <c r="B1" s="1" t="s">
        <v>84</v>
      </c>
      <c r="C1" s="1" t="s">
        <v>799</v>
      </c>
      <c r="D1" s="1" t="s">
        <v>800</v>
      </c>
      <c r="E1" s="1" t="s">
        <v>801</v>
      </c>
      <c r="F1" s="1" t="s">
        <v>27</v>
      </c>
      <c r="G1" s="1" t="s">
        <v>9</v>
      </c>
      <c r="H1" s="1" t="s">
        <v>267</v>
      </c>
      <c r="I1" s="1" t="s">
        <v>802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" t="s">
        <v>806</v>
      </c>
      <c r="B2" s="12" t="str">
        <f t="array" ref="B2">INDEX('Keyword Master Database'!$W$2:$W$242,MATCH(E2,'Keyword Master Database'!$A$2:$A$242,0))</f>
        <v>Critical</v>
      </c>
      <c r="C2" s="6" t="s">
        <v>807</v>
      </c>
      <c r="D2" s="6" t="s">
        <v>808</v>
      </c>
      <c r="E2" s="6" t="s">
        <v>21</v>
      </c>
      <c r="F2" s="12" t="str">
        <f t="array" ref="F2">INDEX('Keyword Master Database'!$E$2:$E$242,MATCH(E2,'Keyword Master Database'!$A$2:$A$242,0))</f>
        <v>Transactional</v>
      </c>
      <c r="G2" s="12" t="str">
        <f t="array" ref="G2">INDEX('Keyword Master Database'!$F$2:$F$242,MATCH(E2,'Keyword Master Database'!$A$2:$A$242,0))</f>
        <v>BOFU</v>
      </c>
      <c r="H2" s="6" t="s">
        <v>180</v>
      </c>
      <c r="I2" s="6" t="s">
        <v>811</v>
      </c>
    </row>
    <row r="3">
      <c r="A3" s="8" t="s">
        <v>806</v>
      </c>
      <c r="B3" s="30" t="str">
        <f t="array" ref="B3">INDEX('Keyword Master Database'!$W$2:$W$242,MATCH(E3,'Keyword Master Database'!$A$2:$A$242,0))</f>
        <v>Critical</v>
      </c>
      <c r="C3" s="8" t="s">
        <v>133</v>
      </c>
      <c r="D3" s="8" t="s">
        <v>814</v>
      </c>
      <c r="E3" s="8" t="s">
        <v>146</v>
      </c>
      <c r="F3" s="30" t="str">
        <f t="array" ref="F3">INDEX('Keyword Master Database'!$E$2:$E$242,MATCH(E3,'Keyword Master Database'!$A$2:$A$242,0))</f>
        <v>Transactional</v>
      </c>
      <c r="G3" s="30" t="str">
        <f t="array" ref="G3">INDEX('Keyword Master Database'!$F$2:$F$242,MATCH(E3,'Keyword Master Database'!$A$2:$A$242,0))</f>
        <v>BOFU</v>
      </c>
      <c r="H3" s="8" t="s">
        <v>439</v>
      </c>
      <c r="I3" s="8" t="s">
        <v>818</v>
      </c>
    </row>
    <row r="4">
      <c r="A4" s="6" t="s">
        <v>806</v>
      </c>
      <c r="B4" s="12" t="str">
        <f t="array" ref="B4">INDEX('Keyword Master Database'!$W$2:$W$242,MATCH(E4,'Keyword Master Database'!$A$2:$A$242,0))</f>
        <v>Critical</v>
      </c>
      <c r="C4" s="6" t="s">
        <v>159</v>
      </c>
      <c r="D4" s="6" t="s">
        <v>819</v>
      </c>
      <c r="E4" s="6" t="s">
        <v>153</v>
      </c>
      <c r="F4" s="12" t="str">
        <f t="array" ref="F4">INDEX('Keyword Master Database'!$E$2:$E$242,MATCH(E4,'Keyword Master Database'!$A$2:$A$242,0))</f>
        <v>Transactional</v>
      </c>
      <c r="G4" s="12" t="str">
        <f t="array" ref="G4">INDEX('Keyword Master Database'!$F$2:$F$242,MATCH(E4,'Keyword Master Database'!$A$2:$A$242,0))</f>
        <v>BOFU</v>
      </c>
      <c r="H4" s="6" t="s">
        <v>444</v>
      </c>
      <c r="I4" s="6" t="s">
        <v>822</v>
      </c>
    </row>
    <row r="5">
      <c r="A5" s="8" t="s">
        <v>806</v>
      </c>
      <c r="B5" s="30" t="str">
        <f t="array" ref="B5">INDEX('Keyword Master Database'!$W$2:$W$242,MATCH(E5,'Keyword Master Database'!$A$2:$A$242,0))</f>
        <v>Critical</v>
      </c>
      <c r="C5" s="8" t="s">
        <v>823</v>
      </c>
      <c r="D5" s="8" t="s">
        <v>824</v>
      </c>
      <c r="E5" s="8" t="s">
        <v>370</v>
      </c>
      <c r="F5" s="30" t="str">
        <f t="array" ref="F5">INDEX('Keyword Master Database'!$E$2:$E$242,MATCH(E5,'Keyword Master Database'!$A$2:$A$242,0))</f>
        <v>Transactional</v>
      </c>
      <c r="G5" s="30" t="str">
        <f t="array" ref="G5">INDEX('Keyword Master Database'!$F$2:$F$242,MATCH(E5,'Keyword Master Database'!$A$2:$A$242,0))</f>
        <v>BOFU</v>
      </c>
      <c r="H5" s="8" t="s">
        <v>386</v>
      </c>
      <c r="I5" s="8" t="s">
        <v>811</v>
      </c>
    </row>
    <row r="6">
      <c r="A6" s="6" t="s">
        <v>806</v>
      </c>
      <c r="B6" s="12" t="str">
        <f t="array" ref="B6">INDEX('Keyword Master Database'!$W$2:$W$242,MATCH(E6,'Keyword Master Database'!$A$2:$A$242,0))</f>
        <v>High</v>
      </c>
      <c r="C6" s="6" t="s">
        <v>828</v>
      </c>
      <c r="D6" s="6" t="s">
        <v>829</v>
      </c>
      <c r="E6" s="6" t="s">
        <v>169</v>
      </c>
      <c r="F6" s="12" t="str">
        <f t="array" ref="F6">INDEX('Keyword Master Database'!$E$2:$E$242,MATCH(E6,'Keyword Master Database'!$A$2:$A$242,0))</f>
        <v>Transactional</v>
      </c>
      <c r="G6" s="12" t="str">
        <f t="array" ref="G6">INDEX('Keyword Master Database'!$F$2:$F$242,MATCH(E6,'Keyword Master Database'!$A$2:$A$242,0))</f>
        <v>BOFU</v>
      </c>
      <c r="H6" s="6" t="s">
        <v>448</v>
      </c>
      <c r="I6" s="6" t="s">
        <v>822</v>
      </c>
    </row>
    <row r="7">
      <c r="A7" s="8" t="s">
        <v>806</v>
      </c>
      <c r="B7" s="30" t="str">
        <f t="array" ref="B7">INDEX('Keyword Master Database'!$W$2:$W$242,MATCH(E7,'Keyword Master Database'!$A$2:$A$242,0))</f>
        <v>High</v>
      </c>
      <c r="C7" s="8" t="s">
        <v>831</v>
      </c>
      <c r="D7" s="8" t="s">
        <v>832</v>
      </c>
      <c r="E7" s="8" t="s">
        <v>361</v>
      </c>
      <c r="F7" s="30" t="str">
        <f t="array" ref="F7">INDEX('Keyword Master Database'!$E$2:$E$242,MATCH(E7,'Keyword Master Database'!$A$2:$A$242,0))</f>
        <v>Navigational</v>
      </c>
      <c r="G7" s="30" t="str">
        <f t="array" ref="G7">INDEX('Keyword Master Database'!$F$2:$F$242,MATCH(E7,'Keyword Master Database'!$A$2:$A$242,0))</f>
        <v>BOFU</v>
      </c>
      <c r="H7" s="8" t="s">
        <v>833</v>
      </c>
      <c r="I7" s="8" t="s">
        <v>834</v>
      </c>
    </row>
    <row r="8">
      <c r="A8" s="6" t="s">
        <v>806</v>
      </c>
      <c r="B8" s="12" t="str">
        <f t="array" ref="B8">INDEX('Keyword Master Database'!$W$2:$W$242,MATCH(E8,'Keyword Master Database'!$A$2:$A$242,0))</f>
        <v>High</v>
      </c>
      <c r="C8" s="6" t="s">
        <v>828</v>
      </c>
      <c r="D8" s="6" t="s">
        <v>836</v>
      </c>
      <c r="E8" s="6" t="s">
        <v>450</v>
      </c>
      <c r="F8" s="12" t="str">
        <f t="array" ref="F8">INDEX('Keyword Master Database'!$E$2:$E$242,MATCH(E8,'Keyword Master Database'!$A$2:$A$242,0))</f>
        <v>Commercial</v>
      </c>
      <c r="G8" s="12" t="str">
        <f t="array" ref="G8">INDEX('Keyword Master Database'!$F$2:$F$242,MATCH(E8,'Keyword Master Database'!$A$2:$A$242,0))</f>
        <v>MOFU</v>
      </c>
      <c r="H8" s="6" t="s">
        <v>459</v>
      </c>
      <c r="I8" s="6" t="s">
        <v>838</v>
      </c>
    </row>
    <row r="9">
      <c r="A9" s="8" t="s">
        <v>806</v>
      </c>
      <c r="B9" s="30" t="str">
        <f t="array" ref="B9">INDEX('Keyword Master Database'!$W$2:$W$242,MATCH(E9,'Keyword Master Database'!$A$2:$A$242,0))</f>
        <v>High</v>
      </c>
      <c r="C9" s="8" t="s">
        <v>841</v>
      </c>
      <c r="D9" s="8" t="s">
        <v>842</v>
      </c>
      <c r="E9" s="8" t="s">
        <v>427</v>
      </c>
      <c r="F9" s="30" t="str">
        <f t="array" ref="F9">INDEX('Keyword Master Database'!$E$2:$E$242,MATCH(E9,'Keyword Master Database'!$A$2:$A$242,0))</f>
        <v>Navigational</v>
      </c>
      <c r="G9" s="30" t="str">
        <f t="array" ref="G9">INDEX('Keyword Master Database'!$F$2:$F$242,MATCH(E9,'Keyword Master Database'!$A$2:$A$242,0))</f>
        <v>BOFU</v>
      </c>
      <c r="H9" s="8" t="s">
        <v>408</v>
      </c>
      <c r="I9" s="8" t="s">
        <v>811</v>
      </c>
    </row>
    <row r="10">
      <c r="A10" s="6" t="s">
        <v>806</v>
      </c>
      <c r="B10" s="12" t="str">
        <f t="array" ref="B10">INDEX('Keyword Master Database'!$W$2:$W$242,MATCH(E10,'Keyword Master Database'!$A$2:$A$242,0))</f>
        <v>High</v>
      </c>
      <c r="C10" s="6" t="s">
        <v>159</v>
      </c>
      <c r="D10" s="6" t="s">
        <v>848</v>
      </c>
      <c r="E10" s="6" t="s">
        <v>347</v>
      </c>
      <c r="F10" s="12" t="str">
        <f t="array" ref="F10">INDEX('Keyword Master Database'!$E$2:$E$242,MATCH(E10,'Keyword Master Database'!$A$2:$A$242,0))</f>
        <v>Transactional</v>
      </c>
      <c r="G10" s="12" t="str">
        <f t="array" ref="G10">INDEX('Keyword Master Database'!$F$2:$F$242,MATCH(E10,'Keyword Master Database'!$A$2:$A$242,0))</f>
        <v>BOFU</v>
      </c>
      <c r="H10" s="6" t="s">
        <v>637</v>
      </c>
      <c r="I10" s="6" t="s">
        <v>838</v>
      </c>
    </row>
    <row r="11">
      <c r="A11" s="8" t="s">
        <v>806</v>
      </c>
      <c r="B11" s="30" t="str">
        <f t="array" ref="B11">INDEX('Keyword Master Database'!$W$2:$W$242,MATCH(E11,'Keyword Master Database'!$A$2:$A$242,0))</f>
        <v>High</v>
      </c>
      <c r="C11" s="8" t="s">
        <v>823</v>
      </c>
      <c r="D11" s="8" t="s">
        <v>854</v>
      </c>
      <c r="E11" s="8" t="s">
        <v>680</v>
      </c>
      <c r="F11" s="30" t="str">
        <f t="array" ref="F11">INDEX('Keyword Master Database'!$E$2:$E$242,MATCH(E11,'Keyword Master Database'!$A$2:$A$242,0))</f>
        <v>Navigational</v>
      </c>
      <c r="G11" s="30" t="str">
        <f t="array" ref="G11">INDEX('Keyword Master Database'!$F$2:$F$242,MATCH(E11,'Keyword Master Database'!$A$2:$A$242,0))</f>
        <v>MOFU</v>
      </c>
      <c r="H11" s="8" t="s">
        <v>678</v>
      </c>
      <c r="I11" s="8" t="s">
        <v>859</v>
      </c>
    </row>
    <row r="12">
      <c r="A12" s="6" t="s">
        <v>806</v>
      </c>
      <c r="B12" s="12" t="str">
        <f t="array" ref="B12">INDEX('Keyword Master Database'!$W$2:$W$242,MATCH(E12,'Keyword Master Database'!$A$2:$A$242,0))</f>
        <v>High</v>
      </c>
      <c r="C12" s="6" t="s">
        <v>823</v>
      </c>
      <c r="D12" s="6" t="s">
        <v>860</v>
      </c>
      <c r="E12" s="6" t="s">
        <v>639</v>
      </c>
      <c r="F12" s="12" t="str">
        <f t="array" ref="F12">INDEX('Keyword Master Database'!$E$2:$E$242,MATCH(E12,'Keyword Master Database'!$A$2:$A$242,0))</f>
        <v>Navigational</v>
      </c>
      <c r="G12" s="12" t="str">
        <f t="array" ref="G12">INDEX('Keyword Master Database'!$F$2:$F$242,MATCH(E12,'Keyword Master Database'!$A$2:$A$242,0))</f>
        <v>MOFU</v>
      </c>
      <c r="H12" s="6" t="s">
        <v>638</v>
      </c>
      <c r="I12" s="6" t="s">
        <v>859</v>
      </c>
    </row>
    <row r="13">
      <c r="A13" s="8" t="s">
        <v>806</v>
      </c>
      <c r="B13" s="30" t="str">
        <f t="array" ref="B13">INDEX('Keyword Master Database'!$W$2:$W$242,MATCH(E13,'Keyword Master Database'!$A$2:$A$242,0))</f>
        <v>Low</v>
      </c>
      <c r="C13" s="8" t="s">
        <v>823</v>
      </c>
      <c r="D13" s="8" t="s">
        <v>868</v>
      </c>
      <c r="E13" s="8" t="s">
        <v>641</v>
      </c>
      <c r="F13" s="30" t="str">
        <f t="array" ref="F13">INDEX('Keyword Master Database'!$E$2:$E$242,MATCH(E13,'Keyword Master Database'!$A$2:$A$242,0))</f>
        <v>Commercial</v>
      </c>
      <c r="G13" s="30" t="str">
        <f t="array" ref="G13">INDEX('Keyword Master Database'!$F$2:$F$242,MATCH(E13,'Keyword Master Database'!$A$2:$A$242,0))</f>
        <v>MOFU</v>
      </c>
      <c r="H13" s="8" t="s">
        <v>640</v>
      </c>
      <c r="I13" s="8" t="s">
        <v>859</v>
      </c>
    </row>
    <row r="14">
      <c r="A14" s="6" t="s">
        <v>806</v>
      </c>
      <c r="B14" s="12" t="str">
        <f t="array" ref="B14">INDEX('Keyword Master Database'!$W$2:$W$242,MATCH(E14,'Keyword Master Database'!$A$2:$A$242,0))</f>
        <v>Low</v>
      </c>
      <c r="C14" s="6" t="s">
        <v>874</v>
      </c>
      <c r="D14" s="6" t="s">
        <v>875</v>
      </c>
      <c r="E14" s="6" t="s">
        <v>643</v>
      </c>
      <c r="F14" s="12" t="str">
        <f t="array" ref="F14">INDEX('Keyword Master Database'!$E$2:$E$242,MATCH(E14,'Keyword Master Database'!$A$2:$A$242,0))</f>
        <v>Informational</v>
      </c>
      <c r="G14" s="12" t="str">
        <f t="array" ref="G14">INDEX('Keyword Master Database'!$F$2:$F$242,MATCH(E14,'Keyword Master Database'!$A$2:$A$242,0))</f>
        <v>TOFU</v>
      </c>
      <c r="H14" s="6" t="s">
        <v>642</v>
      </c>
      <c r="I14" s="6" t="s">
        <v>878</v>
      </c>
    </row>
    <row r="15">
      <c r="A15" s="8" t="s">
        <v>880</v>
      </c>
      <c r="B15" s="30" t="str">
        <f t="array" ref="B15">INDEX('Keyword Master Database'!$W$2:$W$242,MATCH(E15,'Keyword Master Database'!$A$2:$A$242,0))</f>
        <v>High</v>
      </c>
      <c r="C15" s="8" t="s">
        <v>159</v>
      </c>
      <c r="D15" s="8" t="s">
        <v>883</v>
      </c>
      <c r="E15" s="8" t="s">
        <v>193</v>
      </c>
      <c r="F15" s="30" t="str">
        <f t="array" ref="F15">INDEX('Keyword Master Database'!$E$2:$E$242,MATCH(E15,'Keyword Master Database'!$A$2:$A$242,0))</f>
        <v>Transactional</v>
      </c>
      <c r="G15" s="30" t="str">
        <f t="array" ref="G15">INDEX('Keyword Master Database'!$F$2:$F$242,MATCH(E15,'Keyword Master Database'!$A$2:$A$242,0))</f>
        <v>BOFU</v>
      </c>
      <c r="H15" s="8" t="s">
        <v>493</v>
      </c>
      <c r="I15" s="8" t="s">
        <v>822</v>
      </c>
    </row>
    <row r="16">
      <c r="A16" s="6" t="s">
        <v>880</v>
      </c>
      <c r="B16" s="12" t="str">
        <f t="array" ref="B16">INDEX('Keyword Master Database'!$W$2:$W$242,MATCH(E16,'Keyword Master Database'!$A$2:$A$242,0))</f>
        <v>High</v>
      </c>
      <c r="C16" s="6" t="s">
        <v>133</v>
      </c>
      <c r="D16" s="6" t="s">
        <v>889</v>
      </c>
      <c r="E16" s="6" t="s">
        <v>516</v>
      </c>
      <c r="F16" s="12" t="str">
        <f t="array" ref="F16">INDEX('Keyword Master Database'!$E$2:$E$242,MATCH(E16,'Keyword Master Database'!$A$2:$A$242,0))</f>
        <v>Transactional</v>
      </c>
      <c r="G16" s="12" t="str">
        <f t="array" ref="G16">INDEX('Keyword Master Database'!$F$2:$F$242,MATCH(E16,'Keyword Master Database'!$A$2:$A$242,0))</f>
        <v>BOFU</v>
      </c>
      <c r="H16" s="6" t="s">
        <v>514</v>
      </c>
      <c r="I16" s="6" t="s">
        <v>818</v>
      </c>
    </row>
    <row r="17">
      <c r="A17" s="8" t="s">
        <v>880</v>
      </c>
      <c r="B17" s="30" t="str">
        <f t="array" ref="B17">INDEX('Keyword Master Database'!$W$2:$W$242,MATCH(E17,'Keyword Master Database'!$A$2:$A$242,0))</f>
        <v>High</v>
      </c>
      <c r="C17" s="8" t="s">
        <v>159</v>
      </c>
      <c r="D17" s="8" t="s">
        <v>897</v>
      </c>
      <c r="E17" s="8" t="s">
        <v>185</v>
      </c>
      <c r="F17" s="30" t="str">
        <f t="array" ref="F17">INDEX('Keyword Master Database'!$E$2:$E$242,MATCH(E17,'Keyword Master Database'!$A$2:$A$242,0))</f>
        <v>Transactional</v>
      </c>
      <c r="G17" s="30" t="str">
        <f t="array" ref="G17">INDEX('Keyword Master Database'!$F$2:$F$242,MATCH(E17,'Keyword Master Database'!$A$2:$A$242,0))</f>
        <v>BOFU</v>
      </c>
      <c r="H17" s="8" t="s">
        <v>452</v>
      </c>
      <c r="I17" s="8" t="s">
        <v>822</v>
      </c>
    </row>
    <row r="18">
      <c r="A18" s="6" t="s">
        <v>880</v>
      </c>
      <c r="B18" s="12" t="str">
        <f t="array" ref="B18">INDEX('Keyword Master Database'!$W$2:$W$242,MATCH(E18,'Keyword Master Database'!$A$2:$A$242,0))</f>
        <v>High</v>
      </c>
      <c r="C18" s="6" t="s">
        <v>159</v>
      </c>
      <c r="D18" s="6" t="s">
        <v>902</v>
      </c>
      <c r="E18" s="6" t="s">
        <v>199</v>
      </c>
      <c r="F18" s="12" t="str">
        <f t="array" ref="F18">INDEX('Keyword Master Database'!$E$2:$E$242,MATCH(E18,'Keyword Master Database'!$A$2:$A$242,0))</f>
        <v>Transactional</v>
      </c>
      <c r="G18" s="12" t="str">
        <f t="array" ref="G18">INDEX('Keyword Master Database'!$F$2:$F$242,MATCH(E18,'Keyword Master Database'!$A$2:$A$242,0))</f>
        <v>BOFU</v>
      </c>
      <c r="H18" s="6" t="s">
        <v>511</v>
      </c>
      <c r="I18" s="6" t="s">
        <v>822</v>
      </c>
    </row>
    <row r="19">
      <c r="A19" s="8" t="s">
        <v>880</v>
      </c>
      <c r="B19" s="30" t="str">
        <f t="array" ref="B19">INDEX('Keyword Master Database'!$W$2:$W$242,MATCH(E19,'Keyword Master Database'!$A$2:$A$242,0))</f>
        <v>High</v>
      </c>
      <c r="C19" s="8" t="s">
        <v>159</v>
      </c>
      <c r="D19" s="8" t="s">
        <v>907</v>
      </c>
      <c r="E19" s="8" t="s">
        <v>216</v>
      </c>
      <c r="F19" s="30" t="str">
        <f t="array" ref="F19">INDEX('Keyword Master Database'!$E$2:$E$242,MATCH(E19,'Keyword Master Database'!$A$2:$A$242,0))</f>
        <v>Transactional</v>
      </c>
      <c r="G19" s="30" t="str">
        <f t="array" ref="G19">INDEX('Keyword Master Database'!$F$2:$F$242,MATCH(E19,'Keyword Master Database'!$A$2:$A$242,0))</f>
        <v>BOFU</v>
      </c>
      <c r="H19" s="8" t="s">
        <v>520</v>
      </c>
      <c r="I19" s="8" t="s">
        <v>911</v>
      </c>
    </row>
    <row r="20">
      <c r="A20" s="6" t="s">
        <v>880</v>
      </c>
      <c r="B20" s="12" t="str">
        <f t="array" ref="B20">INDEX('Keyword Master Database'!$W$2:$W$242,MATCH(E20,'Keyword Master Database'!$A$2:$A$242,0))</f>
        <v>High</v>
      </c>
      <c r="C20" s="6" t="s">
        <v>159</v>
      </c>
      <c r="D20" s="6" t="s">
        <v>914</v>
      </c>
      <c r="E20" s="6" t="s">
        <v>222</v>
      </c>
      <c r="F20" s="12" t="str">
        <f t="array" ref="F20">INDEX('Keyword Master Database'!$E$2:$E$242,MATCH(E20,'Keyword Master Database'!$A$2:$A$242,0))</f>
        <v>Transactional</v>
      </c>
      <c r="G20" s="12" t="str">
        <f t="array" ref="G20">INDEX('Keyword Master Database'!$F$2:$F$242,MATCH(E20,'Keyword Master Database'!$A$2:$A$242,0))</f>
        <v>BOFU</v>
      </c>
      <c r="H20" s="6" t="s">
        <v>531</v>
      </c>
      <c r="I20" s="6" t="s">
        <v>911</v>
      </c>
    </row>
    <row r="21" ht="15.75" customHeight="1">
      <c r="A21" s="8" t="s">
        <v>880</v>
      </c>
      <c r="B21" s="30" t="str">
        <f t="array" ref="B21">INDEX('Keyword Master Database'!$W$2:$W$242,MATCH(E21,'Keyword Master Database'!$A$2:$A$242,0))</f>
        <v>High</v>
      </c>
      <c r="C21" s="8" t="s">
        <v>159</v>
      </c>
      <c r="D21" s="8" t="s">
        <v>920</v>
      </c>
      <c r="E21" s="8" t="s">
        <v>229</v>
      </c>
      <c r="F21" s="30" t="str">
        <f t="array" ref="F21">INDEX('Keyword Master Database'!$E$2:$E$242,MATCH(E21,'Keyword Master Database'!$A$2:$A$242,0))</f>
        <v>Transactional</v>
      </c>
      <c r="G21" s="30" t="str">
        <f t="array" ref="G21">INDEX('Keyword Master Database'!$F$2:$F$242,MATCH(E21,'Keyword Master Database'!$A$2:$A$242,0))</f>
        <v>BOFU</v>
      </c>
      <c r="H21" s="8" t="s">
        <v>535</v>
      </c>
      <c r="I21" s="8" t="s">
        <v>911</v>
      </c>
    </row>
    <row r="22" ht="15.75" customHeight="1">
      <c r="A22" s="6" t="s">
        <v>880</v>
      </c>
      <c r="B22" s="12" t="str">
        <f t="array" ref="B22">INDEX('Keyword Master Database'!$W$2:$W$242,MATCH(E22,'Keyword Master Database'!$A$2:$A$242,0))</f>
        <v>High</v>
      </c>
      <c r="C22" s="6" t="s">
        <v>133</v>
      </c>
      <c r="D22" s="6" t="s">
        <v>924</v>
      </c>
      <c r="E22" s="6" t="s">
        <v>243</v>
      </c>
      <c r="F22" s="12" t="str">
        <f t="array" ref="F22">INDEX('Keyword Master Database'!$E$2:$E$242,MATCH(E22,'Keyword Master Database'!$A$2:$A$242,0))</f>
        <v>Transactional</v>
      </c>
      <c r="G22" s="12" t="str">
        <f t="array" ref="G22">INDEX('Keyword Master Database'!$F$2:$F$242,MATCH(E22,'Keyword Master Database'!$A$2:$A$242,0))</f>
        <v>BOFU</v>
      </c>
      <c r="H22" s="6" t="s">
        <v>595</v>
      </c>
      <c r="I22" s="6" t="s">
        <v>911</v>
      </c>
    </row>
    <row r="23" ht="15.75" customHeight="1">
      <c r="A23" s="8" t="s">
        <v>880</v>
      </c>
      <c r="B23" s="30" t="str">
        <f t="array" ref="B23">INDEX('Keyword Master Database'!$W$2:$W$242,MATCH(E23,'Keyword Master Database'!$A$2:$A$242,0))</f>
        <v>Medium</v>
      </c>
      <c r="C23" s="8" t="s">
        <v>159</v>
      </c>
      <c r="D23" s="8" t="s">
        <v>928</v>
      </c>
      <c r="E23" s="8" t="s">
        <v>237</v>
      </c>
      <c r="F23" s="30" t="str">
        <f t="array" ref="F23">INDEX('Keyword Master Database'!$E$2:$E$242,MATCH(E23,'Keyword Master Database'!$A$2:$A$242,0))</f>
        <v>Transactional</v>
      </c>
      <c r="G23" s="30" t="str">
        <f t="array" ref="G23">INDEX('Keyword Master Database'!$F$2:$F$242,MATCH(E23,'Keyword Master Database'!$A$2:$A$242,0))</f>
        <v>BOFU</v>
      </c>
      <c r="H23" s="8" t="s">
        <v>547</v>
      </c>
      <c r="I23" s="8" t="s">
        <v>911</v>
      </c>
    </row>
    <row r="24" ht="15.75" customHeight="1">
      <c r="A24" s="6" t="s">
        <v>880</v>
      </c>
      <c r="B24" s="12" t="str">
        <f t="array" ref="B24">INDEX('Keyword Master Database'!$W$2:$W$242,MATCH(E24,'Keyword Master Database'!$A$2:$A$242,0))</f>
        <v>Low</v>
      </c>
      <c r="C24" s="6" t="s">
        <v>929</v>
      </c>
      <c r="D24" s="6" t="s">
        <v>816</v>
      </c>
      <c r="E24" s="6" t="s">
        <v>704</v>
      </c>
      <c r="F24" s="12" t="str">
        <f t="array" ref="F24">INDEX('Keyword Master Database'!$E$2:$E$242,MATCH(E24,'Keyword Master Database'!$A$2:$A$242,0))</f>
        <v>Commercial</v>
      </c>
      <c r="G24" s="12" t="str">
        <f t="array" ref="G24">INDEX('Keyword Master Database'!$F$2:$F$242,MATCH(E24,'Keyword Master Database'!$A$2:$A$242,0))</f>
        <v>MOFU</v>
      </c>
      <c r="H24" s="6" t="s">
        <v>703</v>
      </c>
      <c r="I24" s="6" t="s">
        <v>818</v>
      </c>
    </row>
    <row r="25" ht="15.75" customHeight="1">
      <c r="A25" s="8" t="s">
        <v>880</v>
      </c>
      <c r="B25" s="30" t="str">
        <f t="array" ref="B25">INDEX('Keyword Master Database'!$W$2:$W$242,MATCH(E25,'Keyword Master Database'!$A$2:$A$242,0))</f>
        <v>Low</v>
      </c>
      <c r="C25" s="8" t="s">
        <v>929</v>
      </c>
      <c r="D25" s="8" t="s">
        <v>809</v>
      </c>
      <c r="E25" s="8" t="s">
        <v>690</v>
      </c>
      <c r="F25" s="30" t="str">
        <f t="array" ref="F25">INDEX('Keyword Master Database'!$E$2:$E$242,MATCH(E25,'Keyword Master Database'!$A$2:$A$242,0))</f>
        <v>Informational</v>
      </c>
      <c r="G25" s="30" t="str">
        <f t="array" ref="G25">INDEX('Keyword Master Database'!$F$2:$F$242,MATCH(E25,'Keyword Master Database'!$A$2:$A$242,0))</f>
        <v>TOFU</v>
      </c>
      <c r="H25" s="8" t="s">
        <v>694</v>
      </c>
      <c r="I25" s="8" t="s">
        <v>818</v>
      </c>
    </row>
    <row r="26" ht="15.75" customHeight="1">
      <c r="A26" s="6" t="s">
        <v>933</v>
      </c>
      <c r="B26" s="12" t="str">
        <f t="array" ref="B26">INDEX('Keyword Master Database'!$W$2:$W$242,MATCH(E26,'Keyword Master Database'!$A$2:$A$242,0))</f>
        <v>High</v>
      </c>
      <c r="C26" s="6" t="s">
        <v>936</v>
      </c>
      <c r="D26" s="6" t="s">
        <v>937</v>
      </c>
      <c r="E26" s="6" t="s">
        <v>411</v>
      </c>
      <c r="F26" s="12" t="str">
        <f t="array" ref="F26">INDEX('Keyword Master Database'!$E$2:$E$242,MATCH(E26,'Keyword Master Database'!$A$2:$A$242,0))</f>
        <v>Transactional</v>
      </c>
      <c r="G26" s="12" t="str">
        <f t="array" ref="G26">INDEX('Keyword Master Database'!$F$2:$F$242,MATCH(E26,'Keyword Master Database'!$A$2:$A$242,0))</f>
        <v>BOFU</v>
      </c>
      <c r="H26" s="6" t="s">
        <v>417</v>
      </c>
      <c r="I26" s="6" t="s">
        <v>941</v>
      </c>
    </row>
    <row r="27" ht="15.75" customHeight="1">
      <c r="A27" s="8" t="s">
        <v>933</v>
      </c>
      <c r="B27" s="30" t="str">
        <f t="array" ref="B27">INDEX('Keyword Master Database'!$W$2:$W$242,MATCH(E27,'Keyword Master Database'!$A$2:$A$242,0))</f>
        <v>High</v>
      </c>
      <c r="C27" s="8" t="s">
        <v>133</v>
      </c>
      <c r="D27" s="8" t="s">
        <v>942</v>
      </c>
      <c r="E27" s="8" t="s">
        <v>341</v>
      </c>
      <c r="F27" s="30" t="str">
        <f t="array" ref="F27">INDEX('Keyword Master Database'!$E$2:$E$242,MATCH(E27,'Keyword Master Database'!$A$2:$A$242,0))</f>
        <v>Transactional</v>
      </c>
      <c r="G27" s="30" t="str">
        <f t="array" ref="G27">INDEX('Keyword Master Database'!$F$2:$F$242,MATCH(E27,'Keyword Master Database'!$A$2:$A$242,0))</f>
        <v>BOFU</v>
      </c>
      <c r="H27" s="8" t="s">
        <v>625</v>
      </c>
      <c r="I27" s="8" t="s">
        <v>811</v>
      </c>
    </row>
    <row r="28" ht="15.75" customHeight="1">
      <c r="A28" s="6" t="s">
        <v>933</v>
      </c>
      <c r="B28" s="12" t="str">
        <f t="array" ref="B28">INDEX('Keyword Master Database'!$W$2:$W$242,MATCH(E28,'Keyword Master Database'!$A$2:$A$242,0))</f>
        <v>High</v>
      </c>
      <c r="C28" s="6" t="s">
        <v>133</v>
      </c>
      <c r="D28" s="6" t="s">
        <v>943</v>
      </c>
      <c r="E28" s="6" t="s">
        <v>123</v>
      </c>
      <c r="F28" s="12" t="str">
        <f t="array" ref="F28">INDEX('Keyword Master Database'!$E$2:$E$242,MATCH(E28,'Keyword Master Database'!$A$2:$A$242,0))</f>
        <v>Commercial</v>
      </c>
      <c r="G28" s="12" t="str">
        <f t="array" ref="G28">INDEX('Keyword Master Database'!$F$2:$F$242,MATCH(E28,'Keyword Master Database'!$A$2:$A$242,0))</f>
        <v>MOFU</v>
      </c>
      <c r="H28" s="6" t="s">
        <v>436</v>
      </c>
      <c r="I28" s="6" t="s">
        <v>944</v>
      </c>
    </row>
    <row r="29" ht="15.75" customHeight="1">
      <c r="A29" s="8" t="s">
        <v>933</v>
      </c>
      <c r="B29" s="30" t="str">
        <f t="array" ref="B29">INDEX('Keyword Master Database'!$W$2:$W$242,MATCH(E29,'Keyword Master Database'!$A$2:$A$242,0))</f>
        <v>High</v>
      </c>
      <c r="C29" s="8" t="s">
        <v>947</v>
      </c>
      <c r="D29" s="8" t="s">
        <v>948</v>
      </c>
      <c r="E29" s="8" t="s">
        <v>354</v>
      </c>
      <c r="F29" s="30" t="str">
        <f t="array" ref="F29">INDEX('Keyword Master Database'!$E$2:$E$242,MATCH(E29,'Keyword Master Database'!$A$2:$A$242,0))</f>
        <v>Transactional</v>
      </c>
      <c r="G29" s="30" t="str">
        <f t="array" ref="G29">INDEX('Keyword Master Database'!$F$2:$F$242,MATCH(E29,'Keyword Master Database'!$A$2:$A$242,0))</f>
        <v>BOFU</v>
      </c>
      <c r="H29" s="8" t="s">
        <v>652</v>
      </c>
      <c r="I29" s="8" t="s">
        <v>941</v>
      </c>
    </row>
    <row r="30" ht="15.75" customHeight="1">
      <c r="A30" s="6" t="s">
        <v>933</v>
      </c>
      <c r="B30" s="12" t="str">
        <f t="array" ref="B30">INDEX('Keyword Master Database'!$W$2:$W$242,MATCH(E30,'Keyword Master Database'!$A$2:$A$242,0))</f>
        <v>High</v>
      </c>
      <c r="C30" s="6" t="s">
        <v>947</v>
      </c>
      <c r="D30" s="6" t="s">
        <v>949</v>
      </c>
      <c r="E30" s="6" t="s">
        <v>655</v>
      </c>
      <c r="F30" s="12" t="str">
        <f t="array" ref="F30">INDEX('Keyword Master Database'!$E$2:$E$242,MATCH(E30,'Keyword Master Database'!$A$2:$A$242,0))</f>
        <v>Transactional</v>
      </c>
      <c r="G30" s="12" t="str">
        <f t="array" ref="G30">INDEX('Keyword Master Database'!$F$2:$F$242,MATCH(E30,'Keyword Master Database'!$A$2:$A$242,0))</f>
        <v>BOFU</v>
      </c>
      <c r="H30" s="6" t="s">
        <v>654</v>
      </c>
      <c r="I30" s="6" t="s">
        <v>941</v>
      </c>
    </row>
    <row r="31" ht="15.75" customHeight="1">
      <c r="A31" s="8" t="s">
        <v>933</v>
      </c>
      <c r="B31" s="30" t="str">
        <f t="array" ref="B31">INDEX('Keyword Master Database'!$W$2:$W$242,MATCH(E31,'Keyword Master Database'!$A$2:$A$242,0))</f>
        <v>High</v>
      </c>
      <c r="C31" s="8" t="s">
        <v>947</v>
      </c>
      <c r="D31" s="8" t="s">
        <v>953</v>
      </c>
      <c r="E31" s="8" t="s">
        <v>657</v>
      </c>
      <c r="F31" s="30" t="str">
        <f t="array" ref="F31">INDEX('Keyword Master Database'!$E$2:$E$242,MATCH(E31,'Keyword Master Database'!$A$2:$A$242,0))</f>
        <v>Transactional</v>
      </c>
      <c r="G31" s="30" t="str">
        <f t="array" ref="G31">INDEX('Keyword Master Database'!$F$2:$F$242,MATCH(E31,'Keyword Master Database'!$A$2:$A$242,0))</f>
        <v>BOFU</v>
      </c>
      <c r="H31" s="8" t="s">
        <v>656</v>
      </c>
      <c r="I31" s="8" t="s">
        <v>941</v>
      </c>
    </row>
    <row r="32" ht="15.75" customHeight="1">
      <c r="A32" s="6" t="s">
        <v>933</v>
      </c>
      <c r="B32" s="12" t="str">
        <f t="array" ref="B32">INDEX('Keyword Master Database'!$W$2:$W$242,MATCH(E32,'Keyword Master Database'!$A$2:$A$242,0))</f>
        <v>High</v>
      </c>
      <c r="C32" s="6" t="s">
        <v>159</v>
      </c>
      <c r="D32" s="6" t="s">
        <v>955</v>
      </c>
      <c r="E32" s="6" t="s">
        <v>309</v>
      </c>
      <c r="F32" s="12" t="str">
        <f t="array" ref="F32">INDEX('Keyword Master Database'!$E$2:$E$242,MATCH(E32,'Keyword Master Database'!$A$2:$A$242,0))</f>
        <v>Transactional</v>
      </c>
      <c r="G32" s="12" t="str">
        <f t="array" ref="G32">INDEX('Keyword Master Database'!$F$2:$F$242,MATCH(E32,'Keyword Master Database'!$A$2:$A$242,0))</f>
        <v>BOFU</v>
      </c>
      <c r="H32" s="6" t="s">
        <v>633</v>
      </c>
      <c r="I32" s="6" t="s">
        <v>911</v>
      </c>
    </row>
    <row r="33" ht="15.75" customHeight="1">
      <c r="A33" s="8" t="s">
        <v>933</v>
      </c>
      <c r="B33" s="30" t="str">
        <f t="array" ref="B33">INDEX('Keyword Master Database'!$W$2:$W$242,MATCH(E33,'Keyword Master Database'!$A$2:$A$242,0))</f>
        <v>Medium</v>
      </c>
      <c r="C33" s="8" t="s">
        <v>159</v>
      </c>
      <c r="D33" s="8" t="s">
        <v>958</v>
      </c>
      <c r="E33" s="8" t="s">
        <v>621</v>
      </c>
      <c r="F33" s="30" t="str">
        <f t="array" ref="F33">INDEX('Keyword Master Database'!$E$2:$E$242,MATCH(E33,'Keyword Master Database'!$A$2:$A$242,0))</f>
        <v>Transactional</v>
      </c>
      <c r="G33" s="30" t="str">
        <f t="array" ref="G33">INDEX('Keyword Master Database'!$F$2:$F$242,MATCH(E33,'Keyword Master Database'!$A$2:$A$242,0))</f>
        <v>BOFU</v>
      </c>
      <c r="H33" s="8" t="s">
        <v>619</v>
      </c>
      <c r="I33" s="8" t="s">
        <v>911</v>
      </c>
    </row>
    <row r="34" ht="15.75" customHeight="1">
      <c r="A34" s="6" t="s">
        <v>933</v>
      </c>
      <c r="B34" s="12" t="str">
        <f t="array" ref="B34">INDEX('Keyword Master Database'!$W$2:$W$242,MATCH(E34,'Keyword Master Database'!$A$2:$A$242,0))</f>
        <v>Medium</v>
      </c>
      <c r="C34" s="6" t="s">
        <v>159</v>
      </c>
      <c r="D34" s="6" t="s">
        <v>962</v>
      </c>
      <c r="E34" s="6" t="s">
        <v>334</v>
      </c>
      <c r="F34" s="12" t="str">
        <f t="array" ref="F34">INDEX('Keyword Master Database'!$E$2:$E$242,MATCH(E34,'Keyword Master Database'!$A$2:$A$242,0))</f>
        <v>Transactional</v>
      </c>
      <c r="G34" s="12" t="str">
        <f t="array" ref="G34">INDEX('Keyword Master Database'!$F$2:$F$242,MATCH(E34,'Keyword Master Database'!$A$2:$A$242,0))</f>
        <v>BOFU</v>
      </c>
      <c r="H34" s="6" t="s">
        <v>646</v>
      </c>
      <c r="I34" s="6" t="s">
        <v>911</v>
      </c>
    </row>
    <row r="35" ht="15.75" customHeight="1">
      <c r="A35" s="8" t="s">
        <v>933</v>
      </c>
      <c r="B35" s="30" t="str">
        <f t="array" ref="B35">INDEX('Keyword Master Database'!$W$2:$W$242,MATCH(E35,'Keyword Master Database'!$A$2:$A$242,0))</f>
        <v>Medium</v>
      </c>
      <c r="C35" s="8" t="s">
        <v>159</v>
      </c>
      <c r="D35" s="8" t="s">
        <v>964</v>
      </c>
      <c r="E35" s="8" t="s">
        <v>252</v>
      </c>
      <c r="F35" s="30" t="str">
        <f t="array" ref="F35">INDEX('Keyword Master Database'!$E$2:$E$242,MATCH(E35,'Keyword Master Database'!$A$2:$A$242,0))</f>
        <v>Transactional</v>
      </c>
      <c r="G35" s="30" t="str">
        <f t="array" ref="G35">INDEX('Keyword Master Database'!$F$2:$F$242,MATCH(E35,'Keyword Master Database'!$A$2:$A$242,0))</f>
        <v>BOFU</v>
      </c>
      <c r="H35" s="8" t="s">
        <v>608</v>
      </c>
      <c r="I35" s="8" t="s">
        <v>911</v>
      </c>
    </row>
    <row r="36" ht="15.75" customHeight="1">
      <c r="A36" s="6" t="s">
        <v>933</v>
      </c>
      <c r="B36" s="12" t="str">
        <f t="array" ref="B36">INDEX('Keyword Master Database'!$W$2:$W$242,MATCH(E36,'Keyword Master Database'!$A$2:$A$242,0))</f>
        <v>Medium</v>
      </c>
      <c r="C36" s="6" t="s">
        <v>133</v>
      </c>
      <c r="D36" s="6" t="s">
        <v>967</v>
      </c>
      <c r="E36" s="6" t="s">
        <v>272</v>
      </c>
      <c r="F36" s="12" t="str">
        <f t="array" ref="F36">INDEX('Keyword Master Database'!$E$2:$E$242,MATCH(E36,'Keyword Master Database'!$A$2:$A$242,0))</f>
        <v>Transactional</v>
      </c>
      <c r="G36" s="12" t="str">
        <f t="array" ref="G36">INDEX('Keyword Master Database'!$F$2:$F$242,MATCH(E36,'Keyword Master Database'!$A$2:$A$242,0))</f>
        <v>BOFU</v>
      </c>
      <c r="H36" s="6" t="s">
        <v>615</v>
      </c>
      <c r="I36" s="6" t="s">
        <v>911</v>
      </c>
    </row>
    <row r="37" ht="15.75" customHeight="1">
      <c r="A37" s="8" t="s">
        <v>933</v>
      </c>
      <c r="B37" s="30" t="str">
        <f t="array" ref="B37">INDEX('Keyword Master Database'!$W$2:$W$242,MATCH(E37,'Keyword Master Database'!$A$2:$A$242,0))</f>
        <v>Medium</v>
      </c>
      <c r="C37" s="8" t="s">
        <v>159</v>
      </c>
      <c r="D37" s="8" t="s">
        <v>971</v>
      </c>
      <c r="E37" s="8" t="s">
        <v>259</v>
      </c>
      <c r="F37" s="30" t="str">
        <f t="array" ref="F37">INDEX('Keyword Master Database'!$E$2:$E$242,MATCH(E37,'Keyword Master Database'!$A$2:$A$242,0))</f>
        <v>Transactional</v>
      </c>
      <c r="G37" s="30" t="str">
        <f t="array" ref="G37">INDEX('Keyword Master Database'!$F$2:$F$242,MATCH(E37,'Keyword Master Database'!$A$2:$A$242,0))</f>
        <v>BOFU</v>
      </c>
      <c r="H37" s="8" t="s">
        <v>611</v>
      </c>
      <c r="I37" s="8" t="s">
        <v>972</v>
      </c>
    </row>
    <row r="38" ht="15.75" customHeight="1">
      <c r="A38" s="6" t="s">
        <v>933</v>
      </c>
      <c r="B38" s="12" t="str">
        <f t="array" ref="B38">INDEX('Keyword Master Database'!$W$2:$W$242,MATCH(E38,'Keyword Master Database'!$A$2:$A$242,0))</f>
        <v>Low</v>
      </c>
      <c r="C38" s="6" t="s">
        <v>929</v>
      </c>
      <c r="D38" s="6" t="s">
        <v>813</v>
      </c>
      <c r="E38" s="6" t="s">
        <v>702</v>
      </c>
      <c r="F38" s="12" t="str">
        <f t="array" ref="F38">INDEX('Keyword Master Database'!$E$2:$E$242,MATCH(E38,'Keyword Master Database'!$A$2:$A$242,0))</f>
        <v>Commercial</v>
      </c>
      <c r="G38" s="12" t="str">
        <f t="array" ref="G38">INDEX('Keyword Master Database'!$F$2:$F$242,MATCH(E38,'Keyword Master Database'!$A$2:$A$242,0))</f>
        <v>MOFU</v>
      </c>
      <c r="H38" s="6" t="s">
        <v>701</v>
      </c>
      <c r="I38" s="6" t="s">
        <v>818</v>
      </c>
    </row>
    <row r="39" ht="15.75" customHeight="1">
      <c r="A39" s="8" t="s">
        <v>933</v>
      </c>
      <c r="B39" s="30" t="str">
        <f t="array" ref="B39">INDEX('Keyword Master Database'!$W$2:$W$242,MATCH(E39,'Keyword Master Database'!$A$2:$A$242,0))</f>
        <v>Low</v>
      </c>
      <c r="C39" s="8" t="s">
        <v>929</v>
      </c>
      <c r="D39" s="8" t="s">
        <v>839</v>
      </c>
      <c r="E39" s="8" t="s">
        <v>715</v>
      </c>
      <c r="F39" s="30" t="str">
        <f t="array" ref="F39">INDEX('Keyword Master Database'!$E$2:$E$242,MATCH(E39,'Keyword Master Database'!$A$2:$A$242,0))</f>
        <v>Commercial</v>
      </c>
      <c r="G39" s="30" t="str">
        <f t="array" ref="G39">INDEX('Keyword Master Database'!$F$2:$F$242,MATCH(E39,'Keyword Master Database'!$A$2:$A$242,0))</f>
        <v>MOFU</v>
      </c>
      <c r="H39" s="8" t="s">
        <v>713</v>
      </c>
      <c r="I39" s="8" t="s">
        <v>818</v>
      </c>
    </row>
    <row r="40" ht="15.75" customHeight="1">
      <c r="A40" s="6" t="s">
        <v>974</v>
      </c>
      <c r="B40" s="12" t="str">
        <f t="array" ref="B40">INDEX('Keyword Master Database'!$W$2:$W$242,MATCH(E40,'Keyword Master Database'!$A$2:$A$242,0))</f>
        <v>High</v>
      </c>
      <c r="C40" s="6" t="s">
        <v>947</v>
      </c>
      <c r="D40" s="6" t="s">
        <v>975</v>
      </c>
      <c r="E40" s="6" t="s">
        <v>668</v>
      </c>
      <c r="F40" s="12" t="str">
        <f t="array" ref="F40">INDEX('Keyword Master Database'!$E$2:$E$242,MATCH(E40,'Keyword Master Database'!$A$2:$A$242,0))</f>
        <v>Transactional</v>
      </c>
      <c r="G40" s="12" t="str">
        <f t="array" ref="G40">INDEX('Keyword Master Database'!$F$2:$F$242,MATCH(E40,'Keyword Master Database'!$A$2:$A$242,0))</f>
        <v>BOFU</v>
      </c>
      <c r="H40" s="6" t="s">
        <v>667</v>
      </c>
      <c r="I40" s="6" t="s">
        <v>941</v>
      </c>
    </row>
    <row r="41" ht="15.75" customHeight="1">
      <c r="A41" s="8" t="s">
        <v>974</v>
      </c>
      <c r="B41" s="30" t="str">
        <f t="array" ref="B41">INDEX('Keyword Master Database'!$W$2:$W$242,MATCH(E41,'Keyword Master Database'!$A$2:$A$242,0))</f>
        <v>High</v>
      </c>
      <c r="C41" s="8" t="s">
        <v>947</v>
      </c>
      <c r="D41" s="8" t="s">
        <v>977</v>
      </c>
      <c r="E41" s="8" t="s">
        <v>672</v>
      </c>
      <c r="F41" s="30" t="str">
        <f t="array" ref="F41">INDEX('Keyword Master Database'!$E$2:$E$242,MATCH(E41,'Keyword Master Database'!$A$2:$A$242,0))</f>
        <v>Transactional</v>
      </c>
      <c r="G41" s="30" t="str">
        <f t="array" ref="G41">INDEX('Keyword Master Database'!$F$2:$F$242,MATCH(E41,'Keyword Master Database'!$A$2:$A$242,0))</f>
        <v>BOFU</v>
      </c>
      <c r="H41" s="8" t="s">
        <v>671</v>
      </c>
      <c r="I41" s="8" t="s">
        <v>941</v>
      </c>
    </row>
    <row r="42" ht="15.75" customHeight="1">
      <c r="A42" s="6" t="s">
        <v>974</v>
      </c>
      <c r="B42" s="12" t="str">
        <f t="array" ref="B42">INDEX('Keyword Master Database'!$W$2:$W$242,MATCH(E42,'Keyword Master Database'!$A$2:$A$242,0))</f>
        <v>High</v>
      </c>
      <c r="C42" s="6" t="s">
        <v>947</v>
      </c>
      <c r="D42" s="6" t="s">
        <v>979</v>
      </c>
      <c r="E42" s="6" t="s">
        <v>659</v>
      </c>
      <c r="F42" s="12" t="str">
        <f t="array" ref="F42">INDEX('Keyword Master Database'!$E$2:$E$242,MATCH(E42,'Keyword Master Database'!$A$2:$A$242,0))</f>
        <v>Transactional</v>
      </c>
      <c r="G42" s="12" t="str">
        <f t="array" ref="G42">INDEX('Keyword Master Database'!$F$2:$F$242,MATCH(E42,'Keyword Master Database'!$A$2:$A$242,0))</f>
        <v>BOFU</v>
      </c>
      <c r="H42" s="6" t="s">
        <v>658</v>
      </c>
      <c r="I42" s="6" t="s">
        <v>941</v>
      </c>
    </row>
    <row r="43" ht="15.75" customHeight="1">
      <c r="A43" s="8" t="s">
        <v>974</v>
      </c>
      <c r="B43" s="30" t="str">
        <f t="array" ref="B43">INDEX('Keyword Master Database'!$W$2:$W$242,MATCH(E43,'Keyword Master Database'!$A$2:$A$242,0))</f>
        <v>High</v>
      </c>
      <c r="C43" s="8" t="s">
        <v>947</v>
      </c>
      <c r="D43" s="8" t="s">
        <v>980</v>
      </c>
      <c r="E43" s="8" t="s">
        <v>662</v>
      </c>
      <c r="F43" s="30" t="str">
        <f t="array" ref="F43">INDEX('Keyword Master Database'!$E$2:$E$242,MATCH(E43,'Keyword Master Database'!$A$2:$A$242,0))</f>
        <v>Transactional</v>
      </c>
      <c r="G43" s="30" t="str">
        <f t="array" ref="G43">INDEX('Keyword Master Database'!$F$2:$F$242,MATCH(E43,'Keyword Master Database'!$A$2:$A$242,0))</f>
        <v>BOFU</v>
      </c>
      <c r="H43" s="8" t="s">
        <v>661</v>
      </c>
      <c r="I43" s="8" t="s">
        <v>941</v>
      </c>
    </row>
    <row r="44" ht="15.75" customHeight="1">
      <c r="A44" s="6" t="s">
        <v>974</v>
      </c>
      <c r="B44" s="12" t="str">
        <f t="array" ref="B44">INDEX('Keyword Master Database'!$W$2:$W$242,MATCH(E44,'Keyword Master Database'!$A$2:$A$242,0))</f>
        <v>High</v>
      </c>
      <c r="C44" s="6" t="s">
        <v>947</v>
      </c>
      <c r="D44" s="6" t="s">
        <v>982</v>
      </c>
      <c r="E44" s="6" t="s">
        <v>666</v>
      </c>
      <c r="F44" s="12" t="str">
        <f t="array" ref="F44">INDEX('Keyword Master Database'!$E$2:$E$242,MATCH(E44,'Keyword Master Database'!$A$2:$A$242,0))</f>
        <v>Transactional</v>
      </c>
      <c r="G44" s="12" t="str">
        <f t="array" ref="G44">INDEX('Keyword Master Database'!$F$2:$F$242,MATCH(E44,'Keyword Master Database'!$A$2:$A$242,0))</f>
        <v>BOFU</v>
      </c>
      <c r="H44" s="6" t="s">
        <v>665</v>
      </c>
      <c r="I44" s="6" t="s">
        <v>941</v>
      </c>
    </row>
    <row r="45" ht="15.75" customHeight="1">
      <c r="A45" s="8" t="s">
        <v>974</v>
      </c>
      <c r="B45" s="30" t="str">
        <f t="array" ref="B45">INDEX('Keyword Master Database'!$W$2:$W$242,MATCH(E45,'Keyword Master Database'!$A$2:$A$242,0))</f>
        <v>High</v>
      </c>
      <c r="C45" s="8" t="s">
        <v>947</v>
      </c>
      <c r="D45" s="8" t="s">
        <v>984</v>
      </c>
      <c r="E45" s="8" t="s">
        <v>677</v>
      </c>
      <c r="F45" s="30" t="str">
        <f t="array" ref="F45">INDEX('Keyword Master Database'!$E$2:$E$242,MATCH(E45,'Keyword Master Database'!$A$2:$A$242,0))</f>
        <v>Transactional</v>
      </c>
      <c r="G45" s="30" t="str">
        <f t="array" ref="G45">INDEX('Keyword Master Database'!$F$2:$F$242,MATCH(E45,'Keyword Master Database'!$A$2:$A$242,0))</f>
        <v>BOFU</v>
      </c>
      <c r="H45" s="8" t="s">
        <v>676</v>
      </c>
      <c r="I45" s="8" t="s">
        <v>941</v>
      </c>
    </row>
    <row r="46" ht="15.75" customHeight="1">
      <c r="A46" s="6" t="s">
        <v>974</v>
      </c>
      <c r="B46" s="12" t="str">
        <f t="array" ref="B46">INDEX('Keyword Master Database'!$W$2:$W$242,MATCH(E46,'Keyword Master Database'!$A$2:$A$242,0))</f>
        <v>High</v>
      </c>
      <c r="C46" s="6" t="s">
        <v>947</v>
      </c>
      <c r="D46" s="6" t="s">
        <v>985</v>
      </c>
      <c r="E46" s="6" t="s">
        <v>670</v>
      </c>
      <c r="F46" s="12" t="str">
        <f t="array" ref="F46">INDEX('Keyword Master Database'!$E$2:$E$242,MATCH(E46,'Keyword Master Database'!$A$2:$A$242,0))</f>
        <v>Transactional</v>
      </c>
      <c r="G46" s="12" t="str">
        <f t="array" ref="G46">INDEX('Keyword Master Database'!$F$2:$F$242,MATCH(E46,'Keyword Master Database'!$A$2:$A$242,0))</f>
        <v>BOFU</v>
      </c>
      <c r="H46" s="6" t="s">
        <v>669</v>
      </c>
      <c r="I46" s="6" t="s">
        <v>941</v>
      </c>
    </row>
    <row r="47" ht="15.75" customHeight="1">
      <c r="A47" s="8" t="s">
        <v>974</v>
      </c>
      <c r="B47" s="30" t="str">
        <f t="array" ref="B47">INDEX('Keyword Master Database'!$W$2:$W$242,MATCH(E47,'Keyword Master Database'!$A$2:$A$242,0))</f>
        <v>High</v>
      </c>
      <c r="C47" s="8" t="s">
        <v>947</v>
      </c>
      <c r="D47" s="8" t="s">
        <v>987</v>
      </c>
      <c r="E47" s="8" t="s">
        <v>675</v>
      </c>
      <c r="F47" s="30" t="str">
        <f t="array" ref="F47">INDEX('Keyword Master Database'!$E$2:$E$242,MATCH(E47,'Keyword Master Database'!$A$2:$A$242,0))</f>
        <v>Transactional</v>
      </c>
      <c r="G47" s="30" t="str">
        <f t="array" ref="G47">INDEX('Keyword Master Database'!$F$2:$F$242,MATCH(E47,'Keyword Master Database'!$A$2:$A$242,0))</f>
        <v>BOFU</v>
      </c>
      <c r="H47" s="8" t="s">
        <v>674</v>
      </c>
      <c r="I47" s="8" t="s">
        <v>941</v>
      </c>
    </row>
    <row r="48" ht="15.75" customHeight="1">
      <c r="A48" s="6" t="s">
        <v>974</v>
      </c>
      <c r="B48" s="12" t="str">
        <f t="array" ref="B48">INDEX('Keyword Master Database'!$W$2:$W$242,MATCH(E48,'Keyword Master Database'!$A$2:$A$242,0))</f>
        <v>Low</v>
      </c>
      <c r="C48" s="6" t="s">
        <v>929</v>
      </c>
      <c r="D48" s="6" t="s">
        <v>959</v>
      </c>
      <c r="E48" s="6" t="s">
        <v>761</v>
      </c>
      <c r="F48" s="12" t="str">
        <f t="array" ref="F48">INDEX('Keyword Master Database'!$E$2:$E$242,MATCH(E48,'Keyword Master Database'!$A$2:$A$242,0))</f>
        <v>Commercial</v>
      </c>
      <c r="G48" s="12" t="str">
        <f t="array" ref="G48">INDEX('Keyword Master Database'!$F$2:$F$242,MATCH(E48,'Keyword Master Database'!$A$2:$A$242,0))</f>
        <v>MOFU</v>
      </c>
      <c r="H48" s="6" t="s">
        <v>760</v>
      </c>
      <c r="I48" s="6" t="s">
        <v>818</v>
      </c>
    </row>
    <row r="49" ht="15.75" customHeight="1">
      <c r="A49" s="8" t="s">
        <v>974</v>
      </c>
      <c r="B49" s="30" t="str">
        <f t="array" ref="B49">INDEX('Keyword Master Database'!$W$2:$W$242,MATCH(E49,'Keyword Master Database'!$A$2:$A$242,0))</f>
        <v>Low</v>
      </c>
      <c r="C49" s="8" t="s">
        <v>929</v>
      </c>
      <c r="D49" s="8" t="s">
        <v>821</v>
      </c>
      <c r="E49" s="8" t="s">
        <v>522</v>
      </c>
      <c r="F49" s="30" t="str">
        <f t="array" ref="F49">INDEX('Keyword Master Database'!$E$2:$E$242,MATCH(E49,'Keyword Master Database'!$A$2:$A$242,0))</f>
        <v>Informational</v>
      </c>
      <c r="G49" s="30" t="str">
        <f t="array" ref="G49">INDEX('Keyword Master Database'!$F$2:$F$242,MATCH(E49,'Keyword Master Database'!$A$2:$A$242,0))</f>
        <v>TOFU</v>
      </c>
      <c r="H49" s="8" t="s">
        <v>527</v>
      </c>
      <c r="I49" s="8" t="s">
        <v>818</v>
      </c>
    </row>
    <row r="50" ht="15.75" customHeight="1">
      <c r="A50" s="6" t="s">
        <v>974</v>
      </c>
      <c r="B50" s="12" t="str">
        <f t="array" ref="B50">INDEX('Keyword Master Database'!$W$2:$W$242,MATCH(E50,'Keyword Master Database'!$A$2:$A$242,0))</f>
        <v>Low</v>
      </c>
      <c r="C50" s="6" t="s">
        <v>929</v>
      </c>
      <c r="D50" s="6" t="s">
        <v>849</v>
      </c>
      <c r="E50" s="6" t="s">
        <v>717</v>
      </c>
      <c r="F50" s="12" t="str">
        <f t="array" ref="F50">INDEX('Keyword Master Database'!$E$2:$E$242,MATCH(E50,'Keyword Master Database'!$A$2:$A$242,0))</f>
        <v>Informational</v>
      </c>
      <c r="G50" s="12" t="str">
        <f t="array" ref="G50">INDEX('Keyword Master Database'!$F$2:$F$242,MATCH(E50,'Keyword Master Database'!$A$2:$A$242,0))</f>
        <v>TOFU</v>
      </c>
      <c r="H50" s="6" t="s">
        <v>716</v>
      </c>
      <c r="I50" s="6" t="s">
        <v>818</v>
      </c>
    </row>
    <row r="51" ht="15.75" customHeight="1">
      <c r="A51" s="8" t="s">
        <v>974</v>
      </c>
      <c r="B51" s="30" t="str">
        <f t="array" ref="B51">INDEX('Keyword Master Database'!$W$2:$W$242,MATCH(E51,'Keyword Master Database'!$A$2:$A$242,0))</f>
        <v>Optional</v>
      </c>
      <c r="C51" s="8" t="s">
        <v>929</v>
      </c>
      <c r="D51" s="8" t="s">
        <v>826</v>
      </c>
      <c r="E51" s="8" t="s">
        <v>709</v>
      </c>
      <c r="F51" s="30" t="str">
        <f t="array" ref="F51">INDEX('Keyword Master Database'!$E$2:$E$242,MATCH(E51,'Keyword Master Database'!$A$2:$A$242,0))</f>
        <v>Informational</v>
      </c>
      <c r="G51" s="30" t="str">
        <f t="array" ref="G51">INDEX('Keyword Master Database'!$F$2:$F$242,MATCH(E51,'Keyword Master Database'!$A$2:$A$242,0))</f>
        <v>TOFU</v>
      </c>
      <c r="H51" s="8" t="s">
        <v>706</v>
      </c>
      <c r="I51" s="8" t="s">
        <v>818</v>
      </c>
    </row>
    <row r="52" ht="15.75" customHeight="1">
      <c r="A52" s="6" t="s">
        <v>992</v>
      </c>
      <c r="B52" s="12" t="str">
        <f t="array" ref="B52">INDEX('Keyword Master Database'!$W$2:$W$242,MATCH(E52,'Keyword Master Database'!$A$2:$A$242,0))</f>
        <v>Low</v>
      </c>
      <c r="C52" s="6" t="s">
        <v>929</v>
      </c>
      <c r="D52" s="6" t="s">
        <v>887</v>
      </c>
      <c r="E52" s="6" t="s">
        <v>728</v>
      </c>
      <c r="F52" s="12" t="str">
        <f t="array" ref="F52">INDEX('Keyword Master Database'!$E$2:$E$242,MATCH(E52,'Keyword Master Database'!$A$2:$A$242,0))</f>
        <v>Commercial</v>
      </c>
      <c r="G52" s="12" t="str">
        <f t="array" ref="G52">INDEX('Keyword Master Database'!$F$2:$F$242,MATCH(E52,'Keyword Master Database'!$A$2:$A$242,0))</f>
        <v>MOFU</v>
      </c>
      <c r="H52" s="6" t="s">
        <v>727</v>
      </c>
      <c r="I52" s="6" t="s">
        <v>818</v>
      </c>
    </row>
    <row r="53" ht="15.75" customHeight="1">
      <c r="A53" s="8" t="s">
        <v>992</v>
      </c>
      <c r="B53" s="30" t="str">
        <f t="array" ref="B53">INDEX('Keyword Master Database'!$W$2:$W$242,MATCH(E53,'Keyword Master Database'!$A$2:$A$242,0))</f>
        <v>Low</v>
      </c>
      <c r="C53" s="8" t="s">
        <v>929</v>
      </c>
      <c r="D53" s="8" t="s">
        <v>908</v>
      </c>
      <c r="E53" s="8" t="s">
        <v>733</v>
      </c>
      <c r="F53" s="30" t="str">
        <f t="array" ref="F53">INDEX('Keyword Master Database'!$E$2:$E$242,MATCH(E53,'Keyword Master Database'!$A$2:$A$242,0))</f>
        <v>Commercial</v>
      </c>
      <c r="G53" s="30" t="str">
        <f t="array" ref="G53">INDEX('Keyword Master Database'!$F$2:$F$242,MATCH(E53,'Keyword Master Database'!$A$2:$A$242,0))</f>
        <v>MOFU</v>
      </c>
      <c r="H53" s="8" t="s">
        <v>731</v>
      </c>
      <c r="I53" s="8" t="s">
        <v>818</v>
      </c>
    </row>
    <row r="54" ht="15.75" customHeight="1">
      <c r="A54" s="6" t="s">
        <v>992</v>
      </c>
      <c r="B54" s="12" t="str">
        <f t="array" ref="B54">INDEX('Keyword Master Database'!$W$2:$W$242,MATCH(E54,'Keyword Master Database'!$A$2:$A$242,0))</f>
        <v>Low</v>
      </c>
      <c r="C54" s="6" t="s">
        <v>929</v>
      </c>
      <c r="D54" s="6" t="s">
        <v>870</v>
      </c>
      <c r="E54" s="6" t="s">
        <v>724</v>
      </c>
      <c r="F54" s="12" t="str">
        <f t="array" ref="F54">INDEX('Keyword Master Database'!$E$2:$E$242,MATCH(E54,'Keyword Master Database'!$A$2:$A$242,0))</f>
        <v>Commercial</v>
      </c>
      <c r="G54" s="12" t="str">
        <f t="array" ref="G54">INDEX('Keyword Master Database'!$F$2:$F$242,MATCH(E54,'Keyword Master Database'!$A$2:$A$242,0))</f>
        <v>MOFU</v>
      </c>
      <c r="H54" s="6" t="s">
        <v>723</v>
      </c>
      <c r="I54" s="6" t="s">
        <v>818</v>
      </c>
    </row>
    <row r="55" ht="15.75" customHeight="1">
      <c r="A55" s="8" t="s">
        <v>992</v>
      </c>
      <c r="B55" s="30" t="str">
        <f t="array" ref="B55">INDEX('Keyword Master Database'!$W$2:$W$242,MATCH(E55,'Keyword Master Database'!$A$2:$A$242,0))</f>
        <v>Low</v>
      </c>
      <c r="C55" s="8" t="s">
        <v>929</v>
      </c>
      <c r="D55" s="8" t="s">
        <v>855</v>
      </c>
      <c r="E55" s="8" t="s">
        <v>720</v>
      </c>
      <c r="F55" s="30" t="str">
        <f t="array" ref="F55">INDEX('Keyword Master Database'!$E$2:$E$242,MATCH(E55,'Keyword Master Database'!$A$2:$A$242,0))</f>
        <v>Commercial</v>
      </c>
      <c r="G55" s="30" t="str">
        <f t="array" ref="G55">INDEX('Keyword Master Database'!$F$2:$F$242,MATCH(E55,'Keyword Master Database'!$A$2:$A$242,0))</f>
        <v>MOFU</v>
      </c>
      <c r="H55" s="8" t="s">
        <v>718</v>
      </c>
      <c r="I55" s="8" t="s">
        <v>818</v>
      </c>
    </row>
    <row r="56" ht="15.75" customHeight="1">
      <c r="A56" s="6" t="s">
        <v>992</v>
      </c>
      <c r="B56" s="12" t="str">
        <f t="array" ref="B56">INDEX('Keyword Master Database'!$W$2:$W$242,MATCH(E56,'Keyword Master Database'!$A$2:$A$242,0))</f>
        <v>Low</v>
      </c>
      <c r="C56" s="6" t="s">
        <v>929</v>
      </c>
      <c r="D56" s="6" t="s">
        <v>879</v>
      </c>
      <c r="E56" s="6" t="s">
        <v>726</v>
      </c>
      <c r="F56" s="12" t="str">
        <f t="array" ref="F56">INDEX('Keyword Master Database'!$E$2:$E$242,MATCH(E56,'Keyword Master Database'!$A$2:$A$242,0))</f>
        <v>Informational</v>
      </c>
      <c r="G56" s="12" t="str">
        <f t="array" ref="G56">INDEX('Keyword Master Database'!$F$2:$F$242,MATCH(E56,'Keyword Master Database'!$A$2:$A$242,0))</f>
        <v>TOFU</v>
      </c>
      <c r="H56" s="6" t="s">
        <v>725</v>
      </c>
      <c r="I56" s="6" t="s">
        <v>818</v>
      </c>
    </row>
    <row r="57" ht="15.75" customHeight="1">
      <c r="A57" s="8" t="s">
        <v>992</v>
      </c>
      <c r="B57" s="30" t="str">
        <f t="array" ref="B57">INDEX('Keyword Master Database'!$W$2:$W$242,MATCH(E57,'Keyword Master Database'!$A$2:$A$242,0))</f>
        <v>Low</v>
      </c>
      <c r="C57" s="8" t="s">
        <v>929</v>
      </c>
      <c r="D57" s="8" t="s">
        <v>865</v>
      </c>
      <c r="E57" s="8" t="s">
        <v>722</v>
      </c>
      <c r="F57" s="30" t="str">
        <f t="array" ref="F57">INDEX('Keyword Master Database'!$E$2:$E$242,MATCH(E57,'Keyword Master Database'!$A$2:$A$242,0))</f>
        <v>Informational</v>
      </c>
      <c r="G57" s="30" t="str">
        <f t="array" ref="G57">INDEX('Keyword Master Database'!$F$2:$F$242,MATCH(E57,'Keyword Master Database'!$A$2:$A$242,0))</f>
        <v>TOFU</v>
      </c>
      <c r="H57" s="8" t="s">
        <v>721</v>
      </c>
      <c r="I57" s="8" t="s">
        <v>818</v>
      </c>
    </row>
    <row r="58" ht="15.75" customHeight="1">
      <c r="A58" s="6" t="s">
        <v>992</v>
      </c>
      <c r="B58" s="12" t="str">
        <f t="array" ref="B58">INDEX('Keyword Master Database'!$W$2:$W$242,MATCH(E58,'Keyword Master Database'!$A$2:$A$242,0))</f>
        <v>Optional</v>
      </c>
      <c r="C58" s="6" t="s">
        <v>929</v>
      </c>
      <c r="D58" s="6" t="s">
        <v>893</v>
      </c>
      <c r="E58" s="6" t="s">
        <v>730</v>
      </c>
      <c r="F58" s="12" t="str">
        <f t="array" ref="F58">INDEX('Keyword Master Database'!$E$2:$E$242,MATCH(E58,'Keyword Master Database'!$A$2:$A$242,0))</f>
        <v>Informational</v>
      </c>
      <c r="G58" s="12" t="str">
        <f t="array" ref="G58">INDEX('Keyword Master Database'!$F$2:$F$242,MATCH(E58,'Keyword Master Database'!$A$2:$A$242,0))</f>
        <v>TOFU</v>
      </c>
      <c r="H58" s="6" t="s">
        <v>729</v>
      </c>
      <c r="I58" s="6" t="s">
        <v>818</v>
      </c>
    </row>
    <row r="59" ht="15.75" customHeight="1">
      <c r="A59" s="8" t="s">
        <v>992</v>
      </c>
      <c r="B59" s="30" t="str">
        <f t="array" ref="B59">INDEX('Keyword Master Database'!$W$2:$W$242,MATCH(E59,'Keyword Master Database'!$A$2:$A$242,0))</f>
        <v>Optional</v>
      </c>
      <c r="C59" s="8" t="s">
        <v>929</v>
      </c>
      <c r="D59" s="8" t="s">
        <v>956</v>
      </c>
      <c r="E59" s="8" t="s">
        <v>757</v>
      </c>
      <c r="F59" s="30" t="str">
        <f t="array" ref="F59">INDEX('Keyword Master Database'!$E$2:$E$242,MATCH(E59,'Keyword Master Database'!$A$2:$A$242,0))</f>
        <v>Informational</v>
      </c>
      <c r="G59" s="30" t="str">
        <f t="array" ref="G59">INDEX('Keyword Master Database'!$F$2:$F$242,MATCH(E59,'Keyword Master Database'!$A$2:$A$242,0))</f>
        <v>TOFU</v>
      </c>
      <c r="H59" s="8" t="s">
        <v>756</v>
      </c>
      <c r="I59" s="8" t="s">
        <v>818</v>
      </c>
    </row>
    <row r="60" ht="15.75" customHeight="1">
      <c r="A60" s="6" t="s">
        <v>1001</v>
      </c>
      <c r="B60" s="12" t="str">
        <f t="array" ref="B60">INDEX('Keyword Master Database'!$W$2:$W$242,MATCH(E60,'Keyword Master Database'!$A$2:$A$242,0))</f>
        <v>Low</v>
      </c>
      <c r="C60" s="6" t="s">
        <v>929</v>
      </c>
      <c r="D60" s="6" t="s">
        <v>477</v>
      </c>
      <c r="E60" s="6" t="s">
        <v>748</v>
      </c>
      <c r="F60" s="12" t="str">
        <f t="array" ref="F60">INDEX('Keyword Master Database'!$E$2:$E$242,MATCH(E60,'Keyword Master Database'!$A$2:$A$242,0))</f>
        <v>Commercial</v>
      </c>
      <c r="G60" s="12" t="str">
        <f t="array" ref="G60">INDEX('Keyword Master Database'!$F$2:$F$242,MATCH(E60,'Keyword Master Database'!$A$2:$A$242,0))</f>
        <v>MOFU</v>
      </c>
      <c r="H60" s="6" t="s">
        <v>747</v>
      </c>
      <c r="I60" s="6" t="s">
        <v>818</v>
      </c>
    </row>
    <row r="61" ht="15.75" customHeight="1">
      <c r="A61" s="8" t="s">
        <v>1001</v>
      </c>
      <c r="B61" s="30" t="str">
        <f t="array" ref="B61">INDEX('Keyword Master Database'!$W$2:$W$242,MATCH(E61,'Keyword Master Database'!$A$2:$A$242,0))</f>
        <v>Low</v>
      </c>
      <c r="C61" s="8" t="s">
        <v>929</v>
      </c>
      <c r="D61" s="8" t="s">
        <v>931</v>
      </c>
      <c r="E61" s="8" t="s">
        <v>740</v>
      </c>
      <c r="F61" s="30" t="str">
        <f t="array" ref="F61">INDEX('Keyword Master Database'!$E$2:$E$242,MATCH(E61,'Keyword Master Database'!$A$2:$A$242,0))</f>
        <v>Informational</v>
      </c>
      <c r="G61" s="30" t="str">
        <f t="array" ref="G61">INDEX('Keyword Master Database'!$F$2:$F$242,MATCH(E61,'Keyword Master Database'!$A$2:$A$242,0))</f>
        <v>TOFU</v>
      </c>
      <c r="H61" s="8" t="s">
        <v>739</v>
      </c>
      <c r="I61" s="8" t="s">
        <v>818</v>
      </c>
    </row>
    <row r="62" ht="15.75" customHeight="1">
      <c r="A62" s="6" t="s">
        <v>1001</v>
      </c>
      <c r="B62" s="12" t="str">
        <f t="array" ref="B62">INDEX('Keyword Master Database'!$W$2:$W$242,MATCH(E62,'Keyword Master Database'!$A$2:$A$242,0))</f>
        <v>Low</v>
      </c>
      <c r="C62" s="6" t="s">
        <v>929</v>
      </c>
      <c r="D62" s="6" t="s">
        <v>961</v>
      </c>
      <c r="E62" s="6" t="s">
        <v>763</v>
      </c>
      <c r="F62" s="12" t="str">
        <f t="array" ref="F62">INDEX('Keyword Master Database'!$E$2:$E$242,MATCH(E62,'Keyword Master Database'!$A$2:$A$242,0))</f>
        <v>Informational</v>
      </c>
      <c r="G62" s="12" t="str">
        <f t="array" ref="G62">INDEX('Keyword Master Database'!$F$2:$F$242,MATCH(E62,'Keyword Master Database'!$A$2:$A$242,0))</f>
        <v>TOFU</v>
      </c>
      <c r="H62" s="6" t="s">
        <v>762</v>
      </c>
      <c r="I62" s="6" t="s">
        <v>818</v>
      </c>
    </row>
    <row r="63" ht="15.75" customHeight="1">
      <c r="A63" s="8" t="s">
        <v>1001</v>
      </c>
      <c r="B63" s="30" t="str">
        <f t="array" ref="B63">INDEX('Keyword Master Database'!$W$2:$W$242,MATCH(E63,'Keyword Master Database'!$A$2:$A$242,0))</f>
        <v>Low</v>
      </c>
      <c r="C63" s="8" t="s">
        <v>929</v>
      </c>
      <c r="D63" s="8" t="s">
        <v>916</v>
      </c>
      <c r="E63" s="8" t="s">
        <v>735</v>
      </c>
      <c r="F63" s="30" t="str">
        <f t="array" ref="F63">INDEX('Keyword Master Database'!$E$2:$E$242,MATCH(E63,'Keyword Master Database'!$A$2:$A$242,0))</f>
        <v>Informational</v>
      </c>
      <c r="G63" s="30" t="str">
        <f t="array" ref="G63">INDEX('Keyword Master Database'!$F$2:$F$242,MATCH(E63,'Keyword Master Database'!$A$2:$A$242,0))</f>
        <v>TOFU</v>
      </c>
      <c r="H63" s="8" t="s">
        <v>734</v>
      </c>
      <c r="I63" s="8" t="s">
        <v>818</v>
      </c>
    </row>
    <row r="64" ht="15.75" customHeight="1">
      <c r="A64" s="6" t="s">
        <v>1001</v>
      </c>
      <c r="B64" s="12" t="str">
        <f t="array" ref="B64">INDEX('Keyword Master Database'!$W$2:$W$242,MATCH(E64,'Keyword Master Database'!$A$2:$A$242,0))</f>
        <v>Low</v>
      </c>
      <c r="C64" s="6" t="s">
        <v>929</v>
      </c>
      <c r="D64" s="6" t="s">
        <v>945</v>
      </c>
      <c r="E64" s="6" t="s">
        <v>750</v>
      </c>
      <c r="F64" s="12" t="str">
        <f t="array" ref="F64">INDEX('Keyword Master Database'!$E$2:$E$242,MATCH(E64,'Keyword Master Database'!$A$2:$A$242,0))</f>
        <v>Informational</v>
      </c>
      <c r="G64" s="12" t="str">
        <f t="array" ref="G64">INDEX('Keyword Master Database'!$F$2:$F$242,MATCH(E64,'Keyword Master Database'!$A$2:$A$242,0))</f>
        <v>TOFU</v>
      </c>
      <c r="H64" s="6" t="s">
        <v>749</v>
      </c>
      <c r="I64" s="6" t="s">
        <v>818</v>
      </c>
    </row>
    <row r="65" ht="15.75" customHeight="1">
      <c r="A65" s="8" t="s">
        <v>1001</v>
      </c>
      <c r="B65" s="30" t="str">
        <f t="array" ref="B65">INDEX('Keyword Master Database'!$W$2:$W$242,MATCH(E65,'Keyword Master Database'!$A$2:$A$242,0))</f>
        <v>Optional</v>
      </c>
      <c r="C65" s="8" t="s">
        <v>929</v>
      </c>
      <c r="D65" s="8" t="s">
        <v>925</v>
      </c>
      <c r="E65" s="8" t="s">
        <v>738</v>
      </c>
      <c r="F65" s="30" t="str">
        <f t="array" ref="F65">INDEX('Keyword Master Database'!$E$2:$E$242,MATCH(E65,'Keyword Master Database'!$A$2:$A$242,0))</f>
        <v>Informational</v>
      </c>
      <c r="G65" s="30" t="str">
        <f t="array" ref="G65">INDEX('Keyword Master Database'!$F$2:$F$242,MATCH(E65,'Keyword Master Database'!$A$2:$A$242,0))</f>
        <v>TOFU</v>
      </c>
      <c r="H65" s="8" t="s">
        <v>737</v>
      </c>
      <c r="I65" s="8" t="s">
        <v>1005</v>
      </c>
    </row>
    <row r="66" ht="15.75" customHeight="1">
      <c r="A66" s="6" t="s">
        <v>1001</v>
      </c>
      <c r="B66" s="12" t="str">
        <f t="array" ref="B66">INDEX('Keyword Master Database'!$W$2:$W$242,MATCH(E66,'Keyword Master Database'!$A$2:$A$242,0))</f>
        <v>Optional</v>
      </c>
      <c r="C66" s="6" t="s">
        <v>929</v>
      </c>
      <c r="D66" s="6" t="s">
        <v>954</v>
      </c>
      <c r="E66" s="6" t="s">
        <v>754</v>
      </c>
      <c r="F66" s="12" t="str">
        <f t="array" ref="F66">INDEX('Keyword Master Database'!$E$2:$E$242,MATCH(E66,'Keyword Master Database'!$A$2:$A$242,0))</f>
        <v>Informational</v>
      </c>
      <c r="G66" s="12" t="str">
        <f t="array" ref="G66">INDEX('Keyword Master Database'!$F$2:$F$242,MATCH(E66,'Keyword Master Database'!$A$2:$A$242,0))</f>
        <v>TOFU</v>
      </c>
      <c r="H66" s="6" t="s">
        <v>753</v>
      </c>
      <c r="I66" s="6" t="s">
        <v>818</v>
      </c>
    </row>
    <row r="67" ht="15.75" customHeight="1">
      <c r="A67" s="8" t="s">
        <v>1001</v>
      </c>
      <c r="B67" s="30" t="str">
        <f t="array" ref="B67">INDEX('Keyword Master Database'!$W$2:$W$242,MATCH(E67,'Keyword Master Database'!$A$2:$A$242,0))</f>
        <v>Optional</v>
      </c>
      <c r="C67" s="8" t="s">
        <v>929</v>
      </c>
      <c r="D67" s="8" t="s">
        <v>835</v>
      </c>
      <c r="E67" s="8" t="s">
        <v>205</v>
      </c>
      <c r="F67" s="30" t="str">
        <f t="array" ref="F67">INDEX('Keyword Master Database'!$E$2:$E$242,MATCH(E67,'Keyword Master Database'!$A$2:$A$242,0))</f>
        <v>Informational</v>
      </c>
      <c r="G67" s="30" t="str">
        <f t="array" ref="G67">INDEX('Keyword Master Database'!$F$2:$F$242,MATCH(E67,'Keyword Master Database'!$A$2:$A$242,0))</f>
        <v>TOFU</v>
      </c>
      <c r="H67" s="8" t="s">
        <v>712</v>
      </c>
      <c r="I67" s="8" t="s">
        <v>818</v>
      </c>
    </row>
    <row r="68" ht="15.75" customHeight="1">
      <c r="A68" s="6" t="s">
        <v>1001</v>
      </c>
      <c r="B68" s="12" t="str">
        <f t="array" ref="B68">INDEX('Keyword Master Database'!$W$2:$W$242,MATCH(E68,'Keyword Master Database'!$A$2:$A$242,0))</f>
        <v>Optional</v>
      </c>
      <c r="C68" s="6" t="s">
        <v>929</v>
      </c>
      <c r="D68" s="6" t="s">
        <v>950</v>
      </c>
      <c r="E68" s="6" t="s">
        <v>752</v>
      </c>
      <c r="F68" s="12" t="str">
        <f t="array" ref="F68">INDEX('Keyword Master Database'!$E$2:$E$242,MATCH(E68,'Keyword Master Database'!$A$2:$A$242,0))</f>
        <v>Informational</v>
      </c>
      <c r="G68" s="12" t="str">
        <f t="array" ref="G68">INDEX('Keyword Master Database'!$F$2:$F$242,MATCH(E68,'Keyword Master Database'!$A$2:$A$242,0))</f>
        <v>TOFU</v>
      </c>
      <c r="H68" s="6" t="s">
        <v>751</v>
      </c>
      <c r="I68" s="6" t="s">
        <v>818</v>
      </c>
    </row>
    <row r="69" ht="15.75" customHeight="1">
      <c r="A69" s="8" t="s">
        <v>1001</v>
      </c>
      <c r="B69" s="30" t="str">
        <f t="array" ref="B69">INDEX('Keyword Master Database'!$W$2:$W$242,MATCH(E69,'Keyword Master Database'!$A$2:$A$242,0))</f>
        <v>Optional</v>
      </c>
      <c r="C69" s="8" t="s">
        <v>929</v>
      </c>
      <c r="D69" s="8" t="s">
        <v>830</v>
      </c>
      <c r="E69" s="8" t="s">
        <v>711</v>
      </c>
      <c r="F69" s="30" t="str">
        <f t="array" ref="F69">INDEX('Keyword Master Database'!$E$2:$E$242,MATCH(E69,'Keyword Master Database'!$A$2:$A$242,0))</f>
        <v>Informational</v>
      </c>
      <c r="G69" s="30" t="str">
        <f t="array" ref="G69">INDEX('Keyword Master Database'!$F$2:$F$242,MATCH(E69,'Keyword Master Database'!$A$2:$A$242,0))</f>
        <v>TOFU</v>
      </c>
      <c r="H69" s="8" t="s">
        <v>710</v>
      </c>
      <c r="I69" s="8" t="s">
        <v>818</v>
      </c>
    </row>
    <row r="70" ht="15.75" customHeight="1">
      <c r="A70" s="6" t="s">
        <v>1001</v>
      </c>
      <c r="B70" s="12" t="str">
        <f t="array" ref="B70">INDEX('Keyword Master Database'!$W$2:$W$242,MATCH(E70,'Keyword Master Database'!$A$2:$A$242,0))</f>
        <v>Optional</v>
      </c>
      <c r="C70" s="6" t="s">
        <v>929</v>
      </c>
      <c r="D70" s="6" t="s">
        <v>934</v>
      </c>
      <c r="E70" s="6" t="s">
        <v>742</v>
      </c>
      <c r="F70" s="12" t="str">
        <f t="array" ref="F70">INDEX('Keyword Master Database'!$E$2:$E$242,MATCH(E70,'Keyword Master Database'!$A$2:$A$242,0))</f>
        <v>Informational</v>
      </c>
      <c r="G70" s="12" t="str">
        <f t="array" ref="G70">INDEX('Keyword Master Database'!$F$2:$F$242,MATCH(E70,'Keyword Master Database'!$A$2:$A$242,0))</f>
        <v>TOFU</v>
      </c>
      <c r="H70" s="6" t="s">
        <v>741</v>
      </c>
      <c r="I70" s="6" t="s">
        <v>818</v>
      </c>
    </row>
    <row r="71" ht="15.75" customHeight="1">
      <c r="A71" s="8" t="s">
        <v>1001</v>
      </c>
      <c r="B71" s="30" t="str">
        <f t="array" ref="B71">INDEX('Keyword Master Database'!$W$2:$W$242,MATCH(E71,'Keyword Master Database'!$A$2:$A$242,0))</f>
        <v>Optional</v>
      </c>
      <c r="C71" s="8" t="s">
        <v>929</v>
      </c>
      <c r="D71" s="8" t="s">
        <v>939</v>
      </c>
      <c r="E71" s="8" t="s">
        <v>745</v>
      </c>
      <c r="F71" s="30" t="str">
        <f t="array" ref="F71">INDEX('Keyword Master Database'!$E$2:$E$242,MATCH(E71,'Keyword Master Database'!$A$2:$A$242,0))</f>
        <v>Informational</v>
      </c>
      <c r="G71" s="30" t="str">
        <f t="array" ref="G71">INDEX('Keyword Master Database'!$F$2:$F$242,MATCH(E71,'Keyword Master Database'!$A$2:$A$242,0))</f>
        <v>TOFU</v>
      </c>
      <c r="H71" s="8" t="s">
        <v>743</v>
      </c>
      <c r="I71" s="8" t="s">
        <v>1005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1">
    <cfRule type="cellIs" dxfId="0" priority="1" operator="equal">
      <formula>"Critical"</formula>
    </cfRule>
  </conditionalFormatting>
  <conditionalFormatting sqref="B2:B71">
    <cfRule type="cellIs" dxfId="1" priority="2" operator="equal">
      <formula>"High"</formula>
    </cfRule>
  </conditionalFormatting>
  <conditionalFormatting sqref="B2:B71">
    <cfRule type="cellIs" dxfId="2" priority="3" operator="equal">
      <formula>"Medium"</formula>
    </cfRule>
  </conditionalFormatting>
  <conditionalFormatting sqref="B2:B71">
    <cfRule type="cellIs" dxfId="3" priority="4" operator="equal">
      <formula>"Low"</formula>
    </cfRule>
  </conditionalFormatting>
  <conditionalFormatting sqref="B2:B71">
    <cfRule type="cellIs" dxfId="4" priority="5" operator="equal">
      <formula>"Optional"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F3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4.0"/>
    <col customWidth="1" min="2" max="2" width="15.0"/>
    <col customWidth="1" min="3" max="3" width="11.0"/>
    <col customWidth="1" min="4" max="4" width="14.0"/>
    <col customWidth="1" min="5" max="6" width="70.0"/>
    <col customWidth="1" min="7" max="26" width="8.71"/>
  </cols>
  <sheetData>
    <row r="1" ht="27.75" customHeight="1">
      <c r="A1" s="1" t="s">
        <v>2</v>
      </c>
      <c r="B1" s="1" t="s">
        <v>7</v>
      </c>
      <c r="C1" s="1" t="s">
        <v>9</v>
      </c>
      <c r="D1" s="1" t="s">
        <v>276</v>
      </c>
      <c r="E1" s="1" t="s">
        <v>837</v>
      </c>
      <c r="F1" s="1" t="s">
        <v>68</v>
      </c>
    </row>
    <row r="2" ht="40.5" customHeight="1">
      <c r="A2" s="6" t="s">
        <v>153</v>
      </c>
      <c r="B2" s="11" t="str">
        <f t="array" ref="B2">INDEX('Keyword Master Database'!$E$2:$E$242,MATCH(A2,'Keyword Master Database'!$A$2:$A$242,0))</f>
        <v>Transactional</v>
      </c>
      <c r="C2" s="11" t="str">
        <f t="array" ref="C2">INDEX('Keyword Master Database'!$F$2:$F$242,MATCH(A2,'Keyword Master Database'!$A$2:$A$242,0))</f>
        <v>BOFU</v>
      </c>
      <c r="D2" s="7" t="s">
        <v>845</v>
      </c>
      <c r="E2" s="6" t="s">
        <v>846</v>
      </c>
      <c r="F2" s="6" t="s">
        <v>847</v>
      </c>
    </row>
    <row r="3" ht="27.75" customHeight="1">
      <c r="A3" s="8" t="s">
        <v>21</v>
      </c>
      <c r="B3" s="20" t="str">
        <f t="array" ref="B3">INDEX('Keyword Master Database'!$E$2:$E$242,MATCH(A3,'Keyword Master Database'!$A$2:$A$242,0))</f>
        <v>Transactional</v>
      </c>
      <c r="C3" s="20" t="str">
        <f t="array" ref="C3">INDEX('Keyword Master Database'!$F$2:$F$242,MATCH(A3,'Keyword Master Database'!$A$2:$A$242,0))</f>
        <v>BOFU</v>
      </c>
      <c r="D3" s="9" t="s">
        <v>845</v>
      </c>
      <c r="E3" s="8" t="s">
        <v>852</v>
      </c>
      <c r="F3" s="8" t="s">
        <v>853</v>
      </c>
    </row>
    <row r="4" ht="27.75" customHeight="1">
      <c r="A4" s="6" t="s">
        <v>361</v>
      </c>
      <c r="B4" s="11" t="str">
        <f t="array" ref="B4">INDEX('Keyword Master Database'!$E$2:$E$242,MATCH(A4,'Keyword Master Database'!$A$2:$A$242,0))</f>
        <v>Navigational</v>
      </c>
      <c r="C4" s="11" t="str">
        <f t="array" ref="C4">INDEX('Keyword Master Database'!$F$2:$F$242,MATCH(A4,'Keyword Master Database'!$A$2:$A$242,0))</f>
        <v>BOFU</v>
      </c>
      <c r="D4" s="7" t="s">
        <v>94</v>
      </c>
      <c r="E4" s="6" t="s">
        <v>857</v>
      </c>
      <c r="F4" s="6" t="s">
        <v>858</v>
      </c>
    </row>
    <row r="5" ht="27.75" customHeight="1">
      <c r="A5" s="8" t="s">
        <v>169</v>
      </c>
      <c r="B5" s="20" t="str">
        <f t="array" ref="B5">INDEX('Keyword Master Database'!$E$2:$E$242,MATCH(A5,'Keyword Master Database'!$A$2:$A$242,0))</f>
        <v>Transactional</v>
      </c>
      <c r="C5" s="20" t="str">
        <f t="array" ref="C5">INDEX('Keyword Master Database'!$F$2:$F$242,MATCH(A5,'Keyword Master Database'!$A$2:$A$242,0))</f>
        <v>BOFU</v>
      </c>
      <c r="D5" s="9" t="s">
        <v>94</v>
      </c>
      <c r="E5" s="8" t="s">
        <v>861</v>
      </c>
      <c r="F5" s="8" t="s">
        <v>862</v>
      </c>
    </row>
    <row r="6" ht="27.75" customHeight="1">
      <c r="A6" s="6" t="s">
        <v>863</v>
      </c>
      <c r="B6" s="11" t="str">
        <f t="array" ref="B6">INDEX('Keyword Master Database'!$E$2:$E$242,MATCH(A6,'Keyword Master Database'!$A$2:$A$242,0))</f>
        <v>Commercial</v>
      </c>
      <c r="C6" s="11" t="str">
        <f t="array" ref="C6">INDEX('Keyword Master Database'!$F$2:$F$242,MATCH(A6,'Keyword Master Database'!$A$2:$A$242,0))</f>
        <v>MOFU</v>
      </c>
      <c r="D6" s="7" t="s">
        <v>94</v>
      </c>
      <c r="E6" s="6" t="s">
        <v>866</v>
      </c>
      <c r="F6" s="6" t="s">
        <v>867</v>
      </c>
    </row>
    <row r="7" ht="27.75" customHeight="1">
      <c r="A7" s="8" t="s">
        <v>347</v>
      </c>
      <c r="B7" s="20" t="str">
        <f t="array" ref="B7">INDEX('Keyword Master Database'!$E$2:$E$242,MATCH(A7,'Keyword Master Database'!$A$2:$A$242,0))</f>
        <v>Transactional</v>
      </c>
      <c r="C7" s="20" t="str">
        <f t="array" ref="C7">INDEX('Keyword Master Database'!$F$2:$F$242,MATCH(A7,'Keyword Master Database'!$A$2:$A$242,0))</f>
        <v>BOFU</v>
      </c>
      <c r="D7" s="9" t="s">
        <v>94</v>
      </c>
      <c r="E7" s="8" t="s">
        <v>871</v>
      </c>
      <c r="F7" s="8" t="s">
        <v>873</v>
      </c>
    </row>
    <row r="8" ht="27.75" customHeight="1">
      <c r="A8" s="6" t="s">
        <v>123</v>
      </c>
      <c r="B8" s="11" t="str">
        <f t="array" ref="B8">INDEX('Keyword Master Database'!$E$2:$E$242,MATCH(A8,'Keyword Master Database'!$A$2:$A$242,0))</f>
        <v>Commercial</v>
      </c>
      <c r="C8" s="11" t="str">
        <f t="array" ref="C8">INDEX('Keyword Master Database'!$F$2:$F$242,MATCH(A8,'Keyword Master Database'!$A$2:$A$242,0))</f>
        <v>MOFU</v>
      </c>
      <c r="D8" s="7" t="s">
        <v>94</v>
      </c>
      <c r="E8" s="6" t="s">
        <v>876</v>
      </c>
      <c r="F8" s="6" t="s">
        <v>877</v>
      </c>
    </row>
    <row r="9" ht="27.75" customHeight="1">
      <c r="A9" s="8" t="s">
        <v>450</v>
      </c>
      <c r="B9" s="20" t="str">
        <f t="array" ref="B9">INDEX('Keyword Master Database'!$E$2:$E$242,MATCH(A9,'Keyword Master Database'!$A$2:$A$242,0))</f>
        <v>Commercial</v>
      </c>
      <c r="C9" s="20" t="str">
        <f t="array" ref="C9">INDEX('Keyword Master Database'!$F$2:$F$242,MATCH(A9,'Keyword Master Database'!$A$2:$A$242,0))</f>
        <v>MOFU</v>
      </c>
      <c r="D9" s="9" t="s">
        <v>94</v>
      </c>
      <c r="E9" s="8" t="s">
        <v>881</v>
      </c>
      <c r="F9" s="8" t="s">
        <v>882</v>
      </c>
    </row>
    <row r="10" ht="27.75" customHeight="1">
      <c r="A10" s="6" t="s">
        <v>354</v>
      </c>
      <c r="B10" s="11" t="str">
        <f t="array" ref="B10">INDEX('Keyword Master Database'!$E$2:$E$242,MATCH(A10,'Keyword Master Database'!$A$2:$A$242,0))</f>
        <v>Transactional</v>
      </c>
      <c r="C10" s="11" t="str">
        <f t="array" ref="C10">INDEX('Keyword Master Database'!$F$2:$F$242,MATCH(A10,'Keyword Master Database'!$A$2:$A$242,0))</f>
        <v>BOFU</v>
      </c>
      <c r="D10" s="7" t="s">
        <v>114</v>
      </c>
      <c r="E10" s="6" t="s">
        <v>885</v>
      </c>
      <c r="F10" s="6" t="s">
        <v>886</v>
      </c>
    </row>
    <row r="11" ht="27.75" customHeight="1">
      <c r="A11" s="8" t="s">
        <v>655</v>
      </c>
      <c r="B11" s="20" t="str">
        <f t="array" ref="B11">INDEX('Keyword Master Database'!$E$2:$E$242,MATCH(A11,'Keyword Master Database'!$A$2:$A$242,0))</f>
        <v>Transactional</v>
      </c>
      <c r="C11" s="20" t="str">
        <f t="array" ref="C11">INDEX('Keyword Master Database'!$F$2:$F$242,MATCH(A11,'Keyword Master Database'!$A$2:$A$242,0))</f>
        <v>BOFU</v>
      </c>
      <c r="D11" s="9" t="s">
        <v>114</v>
      </c>
      <c r="E11" s="8" t="s">
        <v>890</v>
      </c>
      <c r="F11" s="8" t="s">
        <v>891</v>
      </c>
    </row>
    <row r="12" ht="27.75" customHeight="1">
      <c r="A12" s="6" t="s">
        <v>229</v>
      </c>
      <c r="B12" s="11" t="str">
        <f t="array" ref="B12">INDEX('Keyword Master Database'!$E$2:$E$242,MATCH(A12,'Keyword Master Database'!$A$2:$A$242,0))</f>
        <v>Transactional</v>
      </c>
      <c r="C12" s="11" t="str">
        <f t="array" ref="C12">INDEX('Keyword Master Database'!$F$2:$F$242,MATCH(A12,'Keyword Master Database'!$A$2:$A$242,0))</f>
        <v>BOFU</v>
      </c>
      <c r="D12" s="7" t="s">
        <v>94</v>
      </c>
      <c r="E12" s="6" t="s">
        <v>892</v>
      </c>
      <c r="F12" s="6" t="s">
        <v>894</v>
      </c>
    </row>
    <row r="13" ht="27.75" customHeight="1">
      <c r="A13" s="8" t="s">
        <v>216</v>
      </c>
      <c r="B13" s="20" t="str">
        <f t="array" ref="B13">INDEX('Keyword Master Database'!$E$2:$E$242,MATCH(A13,'Keyword Master Database'!$A$2:$A$242,0))</f>
        <v>Transactional</v>
      </c>
      <c r="C13" s="20" t="str">
        <f t="array" ref="C13">INDEX('Keyword Master Database'!$F$2:$F$242,MATCH(A13,'Keyword Master Database'!$A$2:$A$242,0))</f>
        <v>BOFU</v>
      </c>
      <c r="D13" s="9" t="s">
        <v>94</v>
      </c>
      <c r="E13" s="8" t="s">
        <v>898</v>
      </c>
      <c r="F13" s="8" t="s">
        <v>899</v>
      </c>
    </row>
    <row r="14" ht="27.75" customHeight="1">
      <c r="A14" s="6" t="s">
        <v>243</v>
      </c>
      <c r="B14" s="11" t="str">
        <f t="array" ref="B14">INDEX('Keyword Master Database'!$E$2:$E$242,MATCH(A14,'Keyword Master Database'!$A$2:$A$242,0))</f>
        <v>Transactional</v>
      </c>
      <c r="C14" s="11" t="str">
        <f t="array" ref="C14">INDEX('Keyword Master Database'!$F$2:$F$242,MATCH(A14,'Keyword Master Database'!$A$2:$A$242,0))</f>
        <v>BOFU</v>
      </c>
      <c r="D14" s="7" t="s">
        <v>94</v>
      </c>
      <c r="E14" s="6" t="s">
        <v>900</v>
      </c>
      <c r="F14" s="6" t="s">
        <v>901</v>
      </c>
    </row>
    <row r="15" ht="27.75" customHeight="1">
      <c r="A15" s="8" t="s">
        <v>643</v>
      </c>
      <c r="B15" s="20" t="str">
        <f t="array" ref="B15">INDEX('Keyword Master Database'!$E$2:$E$242,MATCH(A15,'Keyword Master Database'!$A$2:$A$242,0))</f>
        <v>Informational</v>
      </c>
      <c r="C15" s="20" t="str">
        <f t="array" ref="C15">INDEX('Keyword Master Database'!$F$2:$F$242,MATCH(A15,'Keyword Master Database'!$A$2:$A$242,0))</f>
        <v>TOFU</v>
      </c>
      <c r="D15" s="9" t="s">
        <v>94</v>
      </c>
      <c r="E15" s="8" t="s">
        <v>903</v>
      </c>
      <c r="F15" s="8" t="s">
        <v>904</v>
      </c>
    </row>
    <row r="16" ht="27.75" customHeight="1">
      <c r="A16" s="6" t="s">
        <v>680</v>
      </c>
      <c r="B16" s="11" t="str">
        <f t="array" ref="B16">INDEX('Keyword Master Database'!$E$2:$E$242,MATCH(A16,'Keyword Master Database'!$A$2:$A$242,0))</f>
        <v>Navigational</v>
      </c>
      <c r="C16" s="11" t="str">
        <f t="array" ref="C16">INDEX('Keyword Master Database'!$F$2:$F$242,MATCH(A16,'Keyword Master Database'!$A$2:$A$242,0))</f>
        <v>MOFU</v>
      </c>
      <c r="D16" s="7" t="s">
        <v>114</v>
      </c>
      <c r="E16" s="6" t="s">
        <v>905</v>
      </c>
      <c r="F16" s="6" t="s">
        <v>906</v>
      </c>
    </row>
    <row r="17" ht="27.75" customHeight="1">
      <c r="A17" s="8" t="s">
        <v>639</v>
      </c>
      <c r="B17" s="20" t="str">
        <f t="array" ref="B17">INDEX('Keyword Master Database'!$E$2:$E$242,MATCH(A17,'Keyword Master Database'!$A$2:$A$242,0))</f>
        <v>Navigational</v>
      </c>
      <c r="C17" s="20" t="str">
        <f t="array" ref="C17">INDEX('Keyword Master Database'!$F$2:$F$242,MATCH(A17,'Keyword Master Database'!$A$2:$A$242,0))</f>
        <v>MOFU</v>
      </c>
      <c r="D17" s="9" t="s">
        <v>114</v>
      </c>
      <c r="E17" s="8" t="s">
        <v>912</v>
      </c>
      <c r="F17" s="8" t="s">
        <v>913</v>
      </c>
    </row>
    <row r="18" ht="27.75" customHeight="1">
      <c r="A18" s="6" t="s">
        <v>352</v>
      </c>
      <c r="B18" s="11" t="str">
        <f t="array" ref="B18">INDEX('Keyword Master Database'!$E$2:$E$242,MATCH(A18,'Keyword Master Database'!$A$2:$A$242,0))</f>
        <v>Transactional</v>
      </c>
      <c r="C18" s="11" t="str">
        <f t="array" ref="C18">INDEX('Keyword Master Database'!$F$2:$F$242,MATCH(A18,'Keyword Master Database'!$A$2:$A$242,0))</f>
        <v>BOFU</v>
      </c>
      <c r="D18" s="7" t="s">
        <v>94</v>
      </c>
      <c r="E18" s="6" t="s">
        <v>917</v>
      </c>
      <c r="F18" s="6" t="s">
        <v>918</v>
      </c>
    </row>
    <row r="19" ht="27.75" customHeight="1">
      <c r="A19" s="8" t="s">
        <v>259</v>
      </c>
      <c r="B19" s="20" t="str">
        <f t="array" ref="B19">INDEX('Keyword Master Database'!$E$2:$E$242,MATCH(A19,'Keyword Master Database'!$A$2:$A$242,0))</f>
        <v>Transactional</v>
      </c>
      <c r="C19" s="20" t="str">
        <f t="array" ref="C19">INDEX('Keyword Master Database'!$F$2:$F$242,MATCH(A19,'Keyword Master Database'!$A$2:$A$242,0))</f>
        <v>BOFU</v>
      </c>
      <c r="D19" s="9" t="s">
        <v>114</v>
      </c>
      <c r="E19" s="8" t="s">
        <v>921</v>
      </c>
      <c r="F19" s="8" t="s">
        <v>922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